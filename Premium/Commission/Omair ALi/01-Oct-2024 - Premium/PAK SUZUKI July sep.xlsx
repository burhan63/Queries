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emium\Commission\Omair ALi\01-Oct-2024 - Premium\"/>
    </mc:Choice>
  </mc:AlternateContent>
  <xr:revisionPtr revIDLastSave="0" documentId="13_ncr:1_{331EBA0D-FC50-4E00-915B-313E6E263E8C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Invoice" sheetId="1" state="hidden" r:id="rId1"/>
    <sheet name="Summary" sheetId="3" state="hidden" r:id="rId2"/>
    <sheet name="Detail" sheetId="2" state="hidden" r:id="rId3"/>
    <sheet name="PREMIUM" sheetId="4" r:id="rId4"/>
    <sheet name="working" sheetId="5" r:id="rId5"/>
    <sheet name="Sheet2" sheetId="6" r:id="rId6"/>
  </sheets>
  <externalReferences>
    <externalReference r:id="rId7"/>
  </externalReferences>
  <definedNames>
    <definedName name="_xlnm._FilterDatabase" localSheetId="2" hidden="1">Detail!$A$2:$P$961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9" i="5" l="1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G2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96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2" i="5"/>
  <c r="F2" i="5"/>
  <c r="D2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1" i="6"/>
  <c r="H2" i="5" l="1"/>
  <c r="B962" i="4"/>
  <c r="I1" i="2"/>
  <c r="H1" i="2"/>
  <c r="K31" i="1" s="1"/>
  <c r="O962" i="2"/>
  <c r="N962" i="2"/>
  <c r="O111" i="2"/>
  <c r="N111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P1" i="2" l="1"/>
  <c r="N1" i="2"/>
  <c r="A1" i="2"/>
  <c r="J21" i="1" s="1"/>
  <c r="O1" i="2"/>
  <c r="K27" i="1" l="1"/>
  <c r="K28" i="1" l="1"/>
  <c r="K29" i="1"/>
  <c r="K30" i="1"/>
  <c r="F36" i="1" l="1"/>
  <c r="C34" i="1" s="1"/>
</calcChain>
</file>

<file path=xl/sharedStrings.xml><?xml version="1.0" encoding="utf-8"?>
<sst xmlns="http://schemas.openxmlformats.org/spreadsheetml/2006/main" count="10638" uniqueCount="2493">
  <si>
    <t>Participant Name</t>
  </si>
  <si>
    <t>Address</t>
  </si>
  <si>
    <t>Computation</t>
  </si>
  <si>
    <t>PAK SUZUKI MOTOR COMPANY LIMITED.</t>
  </si>
  <si>
    <t>DSU-13 PAKISTAN STEEL INDUSTRIAL ESTATE, BIN QASIM, KARACHI -75000.</t>
  </si>
  <si>
    <t>Expiry Date :</t>
  </si>
  <si>
    <t>To be advised</t>
  </si>
  <si>
    <t>Effective Date:</t>
  </si>
  <si>
    <t>Date Of Issue:</t>
  </si>
  <si>
    <t>Make:</t>
  </si>
  <si>
    <t>Suzuki Motorcycle</t>
  </si>
  <si>
    <t>No of Bikes</t>
  </si>
  <si>
    <t>Gross Contribution</t>
  </si>
  <si>
    <t>F.I.F   1%</t>
  </si>
  <si>
    <t>Stamp Duty</t>
  </si>
  <si>
    <t>Net Contribution</t>
  </si>
  <si>
    <t>/- be cheque in favour of M/s. Salaam Takaful Limited.</t>
  </si>
  <si>
    <t>Policy #</t>
  </si>
  <si>
    <t>Dealer</t>
  </si>
  <si>
    <t>Period From</t>
  </si>
  <si>
    <t>Period To</t>
  </si>
  <si>
    <t>Insured Name</t>
  </si>
  <si>
    <t>Vehicle Info</t>
  </si>
  <si>
    <t>Net</t>
  </si>
  <si>
    <t>Gross</t>
  </si>
  <si>
    <t>Engine</t>
  </si>
  <si>
    <t>Issue date</t>
  </si>
  <si>
    <t>Policy Name</t>
  </si>
  <si>
    <t>SumCovered</t>
  </si>
  <si>
    <t>F.I.F 1%</t>
  </si>
  <si>
    <t>A R Suzuki</t>
  </si>
  <si>
    <t>TR Suzuki</t>
  </si>
  <si>
    <t>UR Suzuki</t>
  </si>
  <si>
    <t xml:space="preserve">	Suzuki Defence Motors</t>
  </si>
  <si>
    <t>FSD Suzuki</t>
  </si>
  <si>
    <t>UP Suzuki</t>
  </si>
  <si>
    <t>South</t>
  </si>
  <si>
    <t>GT Suzuki</t>
  </si>
  <si>
    <t>Khalil Motor</t>
  </si>
  <si>
    <t>Suzuki Mandviwalla Motors</t>
  </si>
  <si>
    <t>Grand Total</t>
  </si>
  <si>
    <t>Net Premium</t>
  </si>
  <si>
    <t>No. Of Policies</t>
  </si>
  <si>
    <t>Showroom</t>
  </si>
  <si>
    <t>Policy</t>
  </si>
  <si>
    <t>As Per Schedule</t>
  </si>
  <si>
    <t>Risk Covered</t>
  </si>
  <si>
    <t>MOTORCYCLE COMPREHENSIVE</t>
  </si>
  <si>
    <t xml:space="preserve">Payment Of PKR. Rs. </t>
  </si>
  <si>
    <t>KR Suzuki</t>
  </si>
  <si>
    <t>GR Suzuki</t>
  </si>
  <si>
    <t>Suzuki Falcon Motors</t>
  </si>
  <si>
    <t>Suzuki Zeeshan Autos</t>
  </si>
  <si>
    <t>Suzuki R.Y.Khan</t>
  </si>
  <si>
    <t>MS Suzuki</t>
  </si>
  <si>
    <t>Suzuki Canal Motors Faisalabad Branch</t>
  </si>
  <si>
    <t>MUHAMMAD SHAHZAD</t>
  </si>
  <si>
    <t>MUHAMMAD USMAN</t>
  </si>
  <si>
    <t>MOTORCYCLE  COMPREHENSIVE</t>
  </si>
  <si>
    <t>MUHAMMAD IMRAN</t>
  </si>
  <si>
    <t>MUHAMMAD ASIF</t>
  </si>
  <si>
    <t>SUZUKI-GD-110S</t>
  </si>
  <si>
    <t>SUZUKI-GS 150</t>
  </si>
  <si>
    <t>SUZUKI-GR150 EURO II</t>
  </si>
  <si>
    <t>SUZUKI-GSX 125</t>
  </si>
  <si>
    <t>SUZUKI-GS-150</t>
  </si>
  <si>
    <t>CR Suzuki</t>
  </si>
  <si>
    <t>WR Suzuki</t>
  </si>
  <si>
    <t>ABDUL REHMAN</t>
  </si>
  <si>
    <t>MUHAMMAD AKRAM</t>
  </si>
  <si>
    <t>MUHAMMAD WAQAS</t>
  </si>
  <si>
    <t>MR Suzuki</t>
  </si>
  <si>
    <t>Gujrat Suzuki</t>
  </si>
  <si>
    <t>Sethi Motors</t>
  </si>
  <si>
    <t>SG Suzuki</t>
  </si>
  <si>
    <t>ABDUL SAMAD</t>
  </si>
  <si>
    <t>ABDULLAH</t>
  </si>
  <si>
    <t>ZEESHAN</t>
  </si>
  <si>
    <t>UMAR FAROOQ</t>
  </si>
  <si>
    <t>MUHAMMAD ALI</t>
  </si>
  <si>
    <t>MUHAMMAD UMAR</t>
  </si>
  <si>
    <t>MUHAMMAD AMIR</t>
  </si>
  <si>
    <t>ZAHID ALI</t>
  </si>
  <si>
    <t>MUHAMMAD RIAZ</t>
  </si>
  <si>
    <t>MUHAMMAD UMAIR</t>
  </si>
  <si>
    <t>MUHAMMAD ABDULLAH</t>
  </si>
  <si>
    <t>FARHAN</t>
  </si>
  <si>
    <t>SR Suzuki</t>
  </si>
  <si>
    <t>Suzuki Ravi Motors</t>
  </si>
  <si>
    <t>USMAN GHANI</t>
  </si>
  <si>
    <t>ASIF ALI</t>
  </si>
  <si>
    <t>ALI RAZA</t>
  </si>
  <si>
    <t>MEHBOOB ALI</t>
  </si>
  <si>
    <t>JUNAID IQBAL</t>
  </si>
  <si>
    <t>HAMZA ALI</t>
  </si>
  <si>
    <t>MUHAMMAD EJAZ</t>
  </si>
  <si>
    <t>FAIZAN AHMED</t>
  </si>
  <si>
    <t>MUHAMMAD WASEEM</t>
  </si>
  <si>
    <t>MUHAMMAD SAMI</t>
  </si>
  <si>
    <t>MUHAMMAD ZEESHAN</t>
  </si>
  <si>
    <t>FAISAL MAHMOOD</t>
  </si>
  <si>
    <t>MUHAMMAD ADNAN</t>
  </si>
  <si>
    <t>MUHAMMAD QASIM</t>
  </si>
  <si>
    <t>MUHAMMAD NAWAZ</t>
  </si>
  <si>
    <t>MUHAMMAD SHOAIB</t>
  </si>
  <si>
    <t>MUHAMMAD NADEEM</t>
  </si>
  <si>
    <t>MUHAMAMD SALEEM</t>
  </si>
  <si>
    <t>MUHAMMAD DANIYAL</t>
  </si>
  <si>
    <t>AMIR SOHAIL</t>
  </si>
  <si>
    <t>AMEER HAMZA</t>
  </si>
  <si>
    <t>GHULAM MUSTAFA</t>
  </si>
  <si>
    <t>MUHAMMAD KAMRAN</t>
  </si>
  <si>
    <t>MUHAMMAD SHAHID</t>
  </si>
  <si>
    <t>Endorsement</t>
  </si>
  <si>
    <t>KHI/HO/D/MO/MC COMP/P/92057/07/2024</t>
  </si>
  <si>
    <t>KHI/HO/D/MO/MC COMP/P/92058/07/2024</t>
  </si>
  <si>
    <t>KHI/HO/D/MO/MC COMP/P/92068/07/2024</t>
  </si>
  <si>
    <t>KHI/HO/D/MO/MC COMP/P/92069/07/2024</t>
  </si>
  <si>
    <t>KHI/HO/D/MO/MC COMP/P/92074/07/2024</t>
  </si>
  <si>
    <t>KHI/HO/D/MO/MC COMP/P/92075/07/2024</t>
  </si>
  <si>
    <t>KHI/HO/D/MO/MC COMP/P/92077/07/2024</t>
  </si>
  <si>
    <t>KHI/HO/D/MO/MC COMP/P/92078/07/2024</t>
  </si>
  <si>
    <t>KHI/HO/D/MO/MC COMP/P/92080/07/2024</t>
  </si>
  <si>
    <t>KHI/HO/D/MO/MC COMP/P/92081/07/2024</t>
  </si>
  <si>
    <t>KHI/HO/D/MO/MC COMP/P/92083/07/2024</t>
  </si>
  <si>
    <t>KHI/HO/D/MO/MC COMP/P/92086/07/2024</t>
  </si>
  <si>
    <t>KHI/HO/D/MO/MC COMP/P/92087/07/2024</t>
  </si>
  <si>
    <t>KHI/HO/D/MO/MC COMP/P/92091/07/2024</t>
  </si>
  <si>
    <t>KHI/HO/D/MO/MC COMP/P/92092/07/2024</t>
  </si>
  <si>
    <t>KHI/HO/D/MO/MC COMP/P/92093/07/2024</t>
  </si>
  <si>
    <t>KHI/HO/D/MO/MC COMP/P/92094/07/2024</t>
  </si>
  <si>
    <t>KHI/HO/D/MO/MC COMP/P/92096/07/2024</t>
  </si>
  <si>
    <t>KHI/HO/D/MO/MC COMP/P/92097/07/2024</t>
  </si>
  <si>
    <t>KHI/HO/D/MO/MC COMP/P/92098/07/2024</t>
  </si>
  <si>
    <t>KHI/HO/D/MO/MC COMP/P/92099/07/2024</t>
  </si>
  <si>
    <t>KHI/HO/D/MO/MC COMP/P/92100/07/2024</t>
  </si>
  <si>
    <t>KHI/HO/D/MO/MC COMP/P/92101/07/2024</t>
  </si>
  <si>
    <t>KHI/HO/D/MO/MC COMP/P/92106/07/2024</t>
  </si>
  <si>
    <t>KHI/HO/D/MO/MC COMP/P/92107/07/2024</t>
  </si>
  <si>
    <t>KHI/HO/D/MO/MC COMP/P/92108/07/2024</t>
  </si>
  <si>
    <t>KHI/HO/D/MO/MC COMP/P/92110/07/2024</t>
  </si>
  <si>
    <t>KHI/HO/D/MO/MC COMP/P/92111/07/2024</t>
  </si>
  <si>
    <t>KHI/HO/D/MO/MC COMP/P/92112/07/2024</t>
  </si>
  <si>
    <t>KHI/HO/D/MO/MC COMP/P/92114/07/2024</t>
  </si>
  <si>
    <t>KHI/HO/D/MO/MC COMP/P/92117/07/2024</t>
  </si>
  <si>
    <t>KHI/HO/D/MO/MC COMP/P/92118/07/2024</t>
  </si>
  <si>
    <t>KHI/HO/D/MO/MC COMP/P/92119/07/2024</t>
  </si>
  <si>
    <t>KHI/HO/D/MO/MC COMP/P/92120/07/2024</t>
  </si>
  <si>
    <t>KHI/HO/D/MO/MC COMP/P/92121/07/2024</t>
  </si>
  <si>
    <t>KHI/HO/D/MO/MC COMP/P/92133/07/2024</t>
  </si>
  <si>
    <t>KHI/HO/D/MO/MC COMP/P/92134/07/2024</t>
  </si>
  <si>
    <t>KHI/HO/D/MO/MC COMP/P/92135/07/2024</t>
  </si>
  <si>
    <t>KHI/HO/D/MO/MC COMP/P/92136/07/2024</t>
  </si>
  <si>
    <t>KHI/HO/D/MO/MC COMP/P/92137/07/2024</t>
  </si>
  <si>
    <t>KHI/HO/D/MO/MC COMP/P/92138/07/2024</t>
  </si>
  <si>
    <t>KHI/HO/D/MO/MC COMP/P/92140/07/2024</t>
  </si>
  <si>
    <t>KHI/HO/D/MO/MC COMP/P/92145/07/2024</t>
  </si>
  <si>
    <t>KHI/HO/D/MO/MC COMP/P/92146/07/2024</t>
  </si>
  <si>
    <t>KHI/HO/D/MO/MC COMP/P/92148/07/2024</t>
  </si>
  <si>
    <t>KHI/HO/D/MO/MC COMP/P/92149/07/2024</t>
  </si>
  <si>
    <t>KHI/HO/D/MO/MC COMP/P/92151/07/2024</t>
  </si>
  <si>
    <t>KHI/HO/D/MO/MC COMP/P/92152/07/2024</t>
  </si>
  <si>
    <t>KHI/HO/D/MO/MC COMP/P/92156/07/2024</t>
  </si>
  <si>
    <t>KHI/HO/D/MO/MC COMP/P/92157/07/2024</t>
  </si>
  <si>
    <t>KHI/HO/D/MO/MC COMP/P/92158/07/2024</t>
  </si>
  <si>
    <t>KHI/HO/D/MO/MC COMP/P/92160/07/2024</t>
  </si>
  <si>
    <t>KHI/HO/D/MO/MC COMP/P/92161/07/2024</t>
  </si>
  <si>
    <t>KHI/HO/D/MO/MC COMP/P/92162/07/2024</t>
  </si>
  <si>
    <t>KHI/HO/D/MO/MC COMP/P/92163/07/2024</t>
  </si>
  <si>
    <t>KHI/HO/D/MO/MC COMP/P/92164/07/2024</t>
  </si>
  <si>
    <t>KHI/HO/D/MO/MC COMP/P/92167/07/2024</t>
  </si>
  <si>
    <t>KHI/HO/D/MO/MC COMP/P/92173/07/2024</t>
  </si>
  <si>
    <t>KHI/HO/D/MO/MC COMP/P/92174/07/2024</t>
  </si>
  <si>
    <t>KHI/HO/D/MO/MC COMP/P/92175/07/2024</t>
  </si>
  <si>
    <t>KHI/HO/D/MO/MC COMP/P/92180/07/2024</t>
  </si>
  <si>
    <t>KHI/HO/D/MO/MC COMP/P/92182/07/2024</t>
  </si>
  <si>
    <t>KHI/HO/D/MO/MC COMP/P/92186/07/2024</t>
  </si>
  <si>
    <t>KHI/HO/D/MO/MC COMP/P/92188/07/2024</t>
  </si>
  <si>
    <t>KHI/HO/D/MO/MC COMP/P/92195/07/2024</t>
  </si>
  <si>
    <t>KHI/HO/D/MO/MC COMP/P/92200/07/2024</t>
  </si>
  <si>
    <t>KHI/HO/D/MO/MC COMP/P/92203/07/2024</t>
  </si>
  <si>
    <t>KHI/HO/D/MO/MC COMP/P/92204/07/2024</t>
  </si>
  <si>
    <t>KHI/HO/D/MO/MC COMP/P/92205/07/2024</t>
  </si>
  <si>
    <t>KHI/HO/D/MO/MC COMP/P/92206/07/2024</t>
  </si>
  <si>
    <t>KHI/HO/D/MO/MC COMP/P/92210/07/2024</t>
  </si>
  <si>
    <t>KHI/HO/D/MO/MC COMP/P/92211/07/2024</t>
  </si>
  <si>
    <t>KHI/HO/D/MO/MC COMP/P/92215/07/2024</t>
  </si>
  <si>
    <t>KHI/HO/D/MO/MC COMP/P/92217/07/2024</t>
  </si>
  <si>
    <t>KHI/HO/D/MO/MC COMP/P/92230/07/2024</t>
  </si>
  <si>
    <t>KHI/HO/D/MO/MC COMP/P/92231/07/2024</t>
  </si>
  <si>
    <t>KHI/HO/D/MO/MC COMP/P/92235/07/2024</t>
  </si>
  <si>
    <t>KHI/HO/D/MO/MC COMP/P/92236/07/2024</t>
  </si>
  <si>
    <t>KHI/HO/D/MO/MC COMP/P/92238/07/2024</t>
  </si>
  <si>
    <t>KHI/HO/D/MO/MC COMP/P/92239/07/2024</t>
  </si>
  <si>
    <t>KHI/HO/D/MO/MC COMP/P/92240/07/2024</t>
  </si>
  <si>
    <t>KHI/HO/D/MO/MC COMP/P/92242/07/2024</t>
  </si>
  <si>
    <t>KHI/HO/D/MO/MC COMP/P/92243/07/2024</t>
  </si>
  <si>
    <t>KHI/HO/D/MO/MC COMP/P/92245/07/2024</t>
  </si>
  <si>
    <t>KHI/HO/D/MO/MC COMP/P/92248/07/2024</t>
  </si>
  <si>
    <t>KHI/HO/D/MO/MC COMP/P/92249/07/2024</t>
  </si>
  <si>
    <t>KHI/HO/D/MO/MC COMP/P/92250/07/2024</t>
  </si>
  <si>
    <t>KHI/HO/D/MO/MC COMP/P/92256/07/2024</t>
  </si>
  <si>
    <t>KHI/HO/D/MO/MC COMP/P/92257/07/2024</t>
  </si>
  <si>
    <t>KHI/HO/D/MO/MC COMP/P/92263/07/2024</t>
  </si>
  <si>
    <t>KHI/HO/D/MO/MC COMP/P/92264/07/2024</t>
  </si>
  <si>
    <t>KHI/HO/D/MO/MC COMP/P/92269/07/2024</t>
  </si>
  <si>
    <t>KHI/HO/D/MO/MC COMP/P/92272/07/2024</t>
  </si>
  <si>
    <t>KHI/HO/D/MO/MC COMP/P/92274/07/2024</t>
  </si>
  <si>
    <t>KHI/HO/D/MO/MC COMP/P/92276/07/2024</t>
  </si>
  <si>
    <t>KHI/HO/D/MO/MC COMP/P/92277/07/2024</t>
  </si>
  <si>
    <t>KHI/HO/D/MO/MC COMP/P/92278/07/2024</t>
  </si>
  <si>
    <t>KHI/HO/D/MO/MC COMP/P/92279/07/2024</t>
  </si>
  <si>
    <t>KHI/HO/D/MO/MC COMP/P/92280/07/2024</t>
  </si>
  <si>
    <t>KHI/HO/D/MO/MC COMP/P/92281/07/2024</t>
  </si>
  <si>
    <t>KHI/HO/D/MO/MC COMP/P/92282/07/2024</t>
  </si>
  <si>
    <t>KHI/HO/D/MO/MC COMP/P/92283/07/2024</t>
  </si>
  <si>
    <t>KHI/HO/D/MO/MC COMP/P/92285/07/2024</t>
  </si>
  <si>
    <t>KHI/HO/D/MO/MC COMP/P/92286/07/2024</t>
  </si>
  <si>
    <t>KHI/HO/D/MO/MC COMP/P/92287/07/2024</t>
  </si>
  <si>
    <t>KHI/HO/D/MO/MC COMP/P/92289/07/2024</t>
  </si>
  <si>
    <t>KHI/HO/D/MO/MC COMP/P/92291/07/2024</t>
  </si>
  <si>
    <t>KHI/HO/D/MO/MC COMP/P/92292/07/2024</t>
  </si>
  <si>
    <t>KHI/HO/D/MO/MC COMP/P/92293/07/2024</t>
  </si>
  <si>
    <t>KHI/HO/D/MO/MC COMP/P/92294/07/2024</t>
  </si>
  <si>
    <t>KHI/HO/D/MO/MC COMP/P/92310/07/2024</t>
  </si>
  <si>
    <t>KHI/HO/D/MO/MC COMP/P/92315/07/2024</t>
  </si>
  <si>
    <t>KHI/HO/D/MO/MC COMP/P/92316/07/2024</t>
  </si>
  <si>
    <t>KHI/HO/D/MO/MC COMP/P/92323/07/2024</t>
  </si>
  <si>
    <t>KHI/HO/D/MO/MC COMP/P/92324/07/2024</t>
  </si>
  <si>
    <t>KHI/HO/D/MO/MC COMP/P/92330/07/2024</t>
  </si>
  <si>
    <t>KHI/HO/D/MO/MC COMP/P/92337/07/2024</t>
  </si>
  <si>
    <t>KHI/HO/D/MO/MC COMP/P/92349/07/2024</t>
  </si>
  <si>
    <t>KHI/HO/D/MO/MC COMP/P/92354/07/2024</t>
  </si>
  <si>
    <t>KHI/HO/D/MO/MC COMP/P/92357/07/2024</t>
  </si>
  <si>
    <t>KHI/HO/D/MO/MC COMP/P/92358/07/2024</t>
  </si>
  <si>
    <t>KHI/HO/D/MO/MC COMP/P/92360/07/2024</t>
  </si>
  <si>
    <t>KHI/HO/D/MO/MC COMP/P/92362/07/2024</t>
  </si>
  <si>
    <t>KHI/HO/D/MO/MC COMP/P/92367/07/2024</t>
  </si>
  <si>
    <t>KHI/HO/D/MO/MC COMP/P/92370/07/2024</t>
  </si>
  <si>
    <t>KHI/HO/D/MO/MC COMP/P/92375/07/2024</t>
  </si>
  <si>
    <t>KHI/HO/D/MO/MC COMP/P/92377/07/2024</t>
  </si>
  <si>
    <t>KHI/HO/D/MO/MC COMP/P/92378/07/2024</t>
  </si>
  <si>
    <t>KHI/HO/D/MO/MC COMP/P/92390/07/2024</t>
  </si>
  <si>
    <t>KHI/HO/D/MO/MC COMP/P/92392/07/2024</t>
  </si>
  <si>
    <t>KHI/HO/D/MO/MC COMP/P/92399/07/2024</t>
  </si>
  <si>
    <t>KHI/HO/D/MO/MC COMP/P/92404/07/2024</t>
  </si>
  <si>
    <t>KHI/HO/D/MO/MC COMP/P/92405/07/2024</t>
  </si>
  <si>
    <t>KHI/HO/D/MO/MC COMP/P/92406/07/2024</t>
  </si>
  <si>
    <t>KHI/HO/D/MO/MC COMP/P/92407/07/2024</t>
  </si>
  <si>
    <t>KHI/HO/D/MO/MC COMP/P/92408/07/2024</t>
  </si>
  <si>
    <t>KHI/HO/D/MO/MC COMP/P/92409/07/2024</t>
  </si>
  <si>
    <t>KHI/HO/D/MO/MC COMP/P/92411/07/2024</t>
  </si>
  <si>
    <t>KHI/HO/D/MO/MC COMP/P/92412/07/2024</t>
  </si>
  <si>
    <t>KHI/HO/D/MO/MC COMP/P/92414/07/2024</t>
  </si>
  <si>
    <t>KHI/HO/D/MO/MC COMP/P/92421/07/2024</t>
  </si>
  <si>
    <t>KHI/HO/D/MO/MC COMP/P/92422/07/2024</t>
  </si>
  <si>
    <t>KHI/HO/D/MO/MC COMP/P/92427/07/2024</t>
  </si>
  <si>
    <t>KHI/HO/D/MO/MC COMP/P/92429/07/2024</t>
  </si>
  <si>
    <t>KHI/HO/D/MO/MC COMP/P/92430/07/2024</t>
  </si>
  <si>
    <t>KHI/HO/D/MO/MC COMP/P/92432/07/2024</t>
  </si>
  <si>
    <t>KHI/HO/D/MO/MC COMP/P/92433/07/2024</t>
  </si>
  <si>
    <t>KHI/HO/D/MO/MC COMP/P/92434/07/2024</t>
  </si>
  <si>
    <t>KHI/HO/D/MO/MC COMP/P/92435/07/2024</t>
  </si>
  <si>
    <t>KHI/HO/D/MO/MC COMP/P/92436/07/2024</t>
  </si>
  <si>
    <t>KHI/HO/D/MO/MC COMP/P/92437/07/2024</t>
  </si>
  <si>
    <t>KHI/HO/D/MO/MC COMP/P/92438/07/2024</t>
  </si>
  <si>
    <t>KHI/HO/D/MO/MC COMP/P/92439/07/2024</t>
  </si>
  <si>
    <t>KHI/HO/D/MO/MC COMP/P/92440/07/2024</t>
  </si>
  <si>
    <t>KHI/HO/D/MO/MC COMP/P/92442/07/2024</t>
  </si>
  <si>
    <t>KHI/HO/D/MO/MC COMP/P/92443/07/2024</t>
  </si>
  <si>
    <t>KHI/HO/D/MO/MC COMP/P/92444/07/2024</t>
  </si>
  <si>
    <t>KHI/HO/D/MO/MC COMP/P/92445/07/2024</t>
  </si>
  <si>
    <t>KHI/HO/D/MO/MC COMP/P/92446/07/2024</t>
  </si>
  <si>
    <t>KHI/HO/D/MO/MC COMP/P/92453/07/2024</t>
  </si>
  <si>
    <t>KHI/HO/D/MO/MC COMP/P/92454/07/2024</t>
  </si>
  <si>
    <t>KHI/HO/D/MO/MC COMP/P/92455/07/2024</t>
  </si>
  <si>
    <t>KHI/HO/D/MO/MC COMP/P/92458/07/2024</t>
  </si>
  <si>
    <t>KHI/HO/D/MO/MC COMP/P/92460/07/2024</t>
  </si>
  <si>
    <t>KHI/HO/D/MO/MC COMP/P/92461/07/2024</t>
  </si>
  <si>
    <t>KHI/HO/D/MO/MC COMP/P/92462/07/2024</t>
  </si>
  <si>
    <t>KHI/HO/D/MO/MC COMP/P/92463/07/2024</t>
  </si>
  <si>
    <t>KHI/HO/D/MO/MC COMP/P/92464/07/2024</t>
  </si>
  <si>
    <t>KHI/HO/D/MO/MC COMP/P/92465/07/2024</t>
  </si>
  <si>
    <t>KHI/HO/D/MO/MC COMP/P/92467/07/2024</t>
  </si>
  <si>
    <t>KHI/HO/D/MO/MC COMP/P/92468/07/2024</t>
  </si>
  <si>
    <t>KHI/HO/D/MO/MC COMP/P/92474/07/2024</t>
  </si>
  <si>
    <t>KHI/HO/D/MO/MC COMP/P/92475/07/2024</t>
  </si>
  <si>
    <t>KHI/HO/D/MO/MC COMP/P/92476/07/2024</t>
  </si>
  <si>
    <t>KHI/HO/D/MO/MC COMP/P/92477/07/2024</t>
  </si>
  <si>
    <t>KHI/HO/D/MO/MC COMP/P/92478/07/2024</t>
  </si>
  <si>
    <t>KHI/HO/D/MO/MC COMP/P/92479/07/2024</t>
  </si>
  <si>
    <t>KHI/HO/D/MO/MC COMP/P/92480/07/2024</t>
  </si>
  <si>
    <t>KHI/HO/D/MO/MC COMP/P/92481/07/2024</t>
  </si>
  <si>
    <t>KHI/HO/D/MO/MC COMP/P/92482/07/2024</t>
  </si>
  <si>
    <t>KHI/HO/D/MO/MC COMP/P/92483/07/2024</t>
  </si>
  <si>
    <t>KHI/HO/D/MO/MC COMP/P/92484/07/2024</t>
  </si>
  <si>
    <t>KHI/HO/D/MO/MC COMP/P/92485/07/2024</t>
  </si>
  <si>
    <t>KHI/HO/D/MO/MC COMP/P/92486/07/2024</t>
  </si>
  <si>
    <t>KHI/HO/D/MO/MC COMP/P/92487/07/2024</t>
  </si>
  <si>
    <t>KHI/HO/D/MO/MC COMP/P/92488/07/2024</t>
  </si>
  <si>
    <t>KHI/HO/D/MO/MC COMP/P/92489/07/2024</t>
  </si>
  <si>
    <t>KHI/HO/D/MO/MC COMP/P/92504/07/2024</t>
  </si>
  <si>
    <t>KHI/HO/D/MO/MC COMP/P/92505/07/2024</t>
  </si>
  <si>
    <t>KHI/HO/D/MO/MC COMP/P/92508/07/2024</t>
  </si>
  <si>
    <t>KHI/HO/D/MO/MC COMP/P/92510/07/2024</t>
  </si>
  <si>
    <t>KHI/HO/D/MO/MC COMP/P/92511/07/2024</t>
  </si>
  <si>
    <t>KHI/HO/D/MO/MC COMP/P/92512/07/2024</t>
  </si>
  <si>
    <t>KHI/HO/D/MO/MC COMP/P/92513/07/2024</t>
  </si>
  <si>
    <t>KHI/HO/D/MO/MC COMP/P/92516/07/2024</t>
  </si>
  <si>
    <t>KHI/HO/D/MO/MC COMP/P/92517/07/2024</t>
  </si>
  <si>
    <t>KHI/HO/D/MO/MC COMP/P/92518/07/2024</t>
  </si>
  <si>
    <t>KHI/HO/D/MO/MC COMP/P/92519/07/2024</t>
  </si>
  <si>
    <t>KHI/HO/D/MO/MC COMP/P/92520/07/2024</t>
  </si>
  <si>
    <t>KHI/HO/D/MO/MC COMP/P/92522/07/2024</t>
  </si>
  <si>
    <t>KHI/HO/D/MO/MC COMP/P/92523/07/2024</t>
  </si>
  <si>
    <t>KHI/HO/D/MO/MC COMP/P/92524/07/2024</t>
  </si>
  <si>
    <t>KHI/HO/D/MO/MC COMP/P/92525/07/2024</t>
  </si>
  <si>
    <t>KHI/HO/D/MO/MC COMP/P/92535/07/2024</t>
  </si>
  <si>
    <t>KHI/HO/D/MO/MC COMP/P/92536/07/2024</t>
  </si>
  <si>
    <t>KHI/HO/D/MO/MC COMP/P/92546/07/2024</t>
  </si>
  <si>
    <t>KHI/HO/D/MO/MC COMP/P/92559/07/2024</t>
  </si>
  <si>
    <t>KHI/HO/D/MO/MC COMP/P/92564/07/2024</t>
  </si>
  <si>
    <t>KHI/HO/D/MO/MC COMP/P/92571/07/2024</t>
  </si>
  <si>
    <t>KHI/HO/D/MO/MC COMP/P/92572/07/2024</t>
  </si>
  <si>
    <t>KHI/HO/D/MO/MC COMP/P/92598/07/2024</t>
  </si>
  <si>
    <t>KHI/HO/D/MO/MC COMP/P/92600/07/2024</t>
  </si>
  <si>
    <t>KHI/HO/D/MO/MC COMP/P/92601/07/2024</t>
  </si>
  <si>
    <t>KHI/HO/D/MO/MC COMP/P/92602/07/2024</t>
  </si>
  <si>
    <t>KHI/HO/D/MO/MC COMP/P/92603/07/2024</t>
  </si>
  <si>
    <t>KHI/HO/D/MO/MC COMP/P/92606/07/2024</t>
  </si>
  <si>
    <t>KHI/HO/D/MO/MC COMP/P/92607/07/2024</t>
  </si>
  <si>
    <t>KHI/HO/D/MO/MC COMP/P/92619/07/2024</t>
  </si>
  <si>
    <t>KHI/HO/D/MO/MC COMP/P/92621/07/2024</t>
  </si>
  <si>
    <t>KHI/HO/D/MO/MC COMP/P/92626/07/2024</t>
  </si>
  <si>
    <t>KHI/HO/D/MO/MC COMP/P/92628/07/2024</t>
  </si>
  <si>
    <t>KHI/HO/D/MO/MC COMP/P/92630/07/2024</t>
  </si>
  <si>
    <t>KHI/HO/D/MO/MC COMP/P/92631/07/2024</t>
  </si>
  <si>
    <t>KHI/HO/D/MO/MC COMP/P/92633/07/2024</t>
  </si>
  <si>
    <t>KHI/HO/D/MO/MC COMP/P/92635/07/2024</t>
  </si>
  <si>
    <t>KHI/HO/D/MO/MC COMP/P/92639/07/2024</t>
  </si>
  <si>
    <t>KHI/HO/D/MO/MC COMP/P/92641/07/2024</t>
  </si>
  <si>
    <t>KHI/HO/D/MO/MC COMP/P/92644/07/2024</t>
  </si>
  <si>
    <t>KHI/HO/D/MO/MC COMP/P/92655/07/2024</t>
  </si>
  <si>
    <t>KHI/HO/D/MO/MC COMP/P/92656/07/2024</t>
  </si>
  <si>
    <t>KHI/HO/D/MO/MC COMP/P/92657/07/2024</t>
  </si>
  <si>
    <t>KHI/HO/D/MO/MC COMP/P/92658/07/2024</t>
  </si>
  <si>
    <t>KHI/HO/D/MO/MC COMP/P/92659/07/2024</t>
  </si>
  <si>
    <t>KHI/HO/D/MO/MC COMP/P/92660/07/2024</t>
  </si>
  <si>
    <t>KHI/HO/D/MO/MC COMP/P/92661/07/2024</t>
  </si>
  <si>
    <t>KHI/HO/D/MO/MC COMP/P/92674/07/2024</t>
  </si>
  <si>
    <t>KHI/HO/D/MO/MC COMP/P/92676/07/2024</t>
  </si>
  <si>
    <t>KHI/HO/D/MO/MC COMP/P/92683/07/2024</t>
  </si>
  <si>
    <t>KHI/HO/D/MO/MC COMP/P/92687/07/2024</t>
  </si>
  <si>
    <t>KHI/HO/D/MO/MC COMP/P/92692/07/2024</t>
  </si>
  <si>
    <t>KHI/HO/D/MO/MC COMP/P/92694/07/2024</t>
  </si>
  <si>
    <t>KHI/HO/D/MO/MC COMP/P/92696/07/2024</t>
  </si>
  <si>
    <t>KHI/HO/D/MO/MC COMP/P/92700/07/2024</t>
  </si>
  <si>
    <t>KHI/HO/D/MO/MC COMP/P/92702/07/2024</t>
  </si>
  <si>
    <t>KHI/HO/D/MO/MC COMP/P/92708/07/2024</t>
  </si>
  <si>
    <t>KHI/HO/D/MO/MC COMP/P/92714/07/2024</t>
  </si>
  <si>
    <t>KHI/HO/D/MO/MC COMP/P/92717/07/2024</t>
  </si>
  <si>
    <t>KHI/HO/D/MO/MC COMP/P/92718/07/2024</t>
  </si>
  <si>
    <t>KHI/HO/D/MO/MC COMP/P/92726/07/2024</t>
  </si>
  <si>
    <t>KHI/HO/D/MO/MC COMP/P/92727/07/2024</t>
  </si>
  <si>
    <t>KHI/HO/D/MO/MC COMP/P/92729/07/2024</t>
  </si>
  <si>
    <t>KHI/HO/D/MO/MC COMP/P/92733/07/2024</t>
  </si>
  <si>
    <t>KHI/HO/D/MO/MC COMP/P/92734/07/2024</t>
  </si>
  <si>
    <t>KHI/HO/D/MO/MC COMP/P/92735/07/2024</t>
  </si>
  <si>
    <t>KHI/HO/D/MO/MC COMP/P/92738/07/2024</t>
  </si>
  <si>
    <t>KHI/HO/D/MO/MC COMP/P/92742/07/2024</t>
  </si>
  <si>
    <t>KHI/HO/D/MO/MC COMP/P/92745/07/2024</t>
  </si>
  <si>
    <t>KHI/HO/D/MO/MC COMP/P/92762/07/2024</t>
  </si>
  <si>
    <t>KHI/HO/D/MO/MC COMP/P/92764/07/2024</t>
  </si>
  <si>
    <t>KHI/HO/D/MO/MC COMP/P/92770/07/2024</t>
  </si>
  <si>
    <t>KHI/HO/D/MO/MC COMP/P/92773/07/2024</t>
  </si>
  <si>
    <t>KHI/HO/D/MO/MC COMP/P/92775/07/2024</t>
  </si>
  <si>
    <t>KHI/HO/D/MO/MC COMP/P/92780/07/2024</t>
  </si>
  <si>
    <t>KHI/HO/D/MO/MC COMP/P/92783/07/2024</t>
  </si>
  <si>
    <t>KHI/HO/D/MO/MC COMP/P/92784/07/2024</t>
  </si>
  <si>
    <t>KHI/HO/D/MO/MC COMP/P/92785/07/2024</t>
  </si>
  <si>
    <t>KHI/HO/D/MO/MC COMP/P/92786/07/2024</t>
  </si>
  <si>
    <t>KHI/HO/D/MO/MC COMP/P/92789/07/2024</t>
  </si>
  <si>
    <t>KHI/HO/D/MO/MC COMP/P/92790/07/2024</t>
  </si>
  <si>
    <t>KHI/HO/D/MO/MC COMP/P/92791/07/2024</t>
  </si>
  <si>
    <t>KHI/HO/D/MO/MC COMP/P/92792/07/2024</t>
  </si>
  <si>
    <t>KHI/HO/D/MO/MC COMP/P/92793/07/2024</t>
  </si>
  <si>
    <t>KHI/HO/D/MO/MC COMP/P/92794/07/2024</t>
  </si>
  <si>
    <t>KHI/HO/D/MO/MC COMP/P/92795/07/2024</t>
  </si>
  <si>
    <t>KHI/HO/D/MO/MC COMP/P/92796/07/2024</t>
  </si>
  <si>
    <t>KHI/HO/D/MO/MC COMP/P/92811/07/2024</t>
  </si>
  <si>
    <t>KHI/HO/D/MO/MC COMP/P/92813/07/2024</t>
  </si>
  <si>
    <t>KHI/HO/D/MO/MC COMP/P/92814/07/2024</t>
  </si>
  <si>
    <t>KHI/HO/D/MO/MC COMP/P/92816/07/2024</t>
  </si>
  <si>
    <t>KHI/HO/D/MO/MC COMP/P/92818/07/2024</t>
  </si>
  <si>
    <t>KHI/HO/D/MO/MC COMP/P/92821/07/2024</t>
  </si>
  <si>
    <t>KHI/HO/D/MO/MC COMP/P/92823/07/2024</t>
  </si>
  <si>
    <t>KHI/HO/D/MO/MC COMP/P/92824/07/2024</t>
  </si>
  <si>
    <t>KHI/HO/D/MO/MC COMP/P/92826/07/2024</t>
  </si>
  <si>
    <t>KHI/HO/D/MO/MC COMP/P/92828/07/2024</t>
  </si>
  <si>
    <t>KHI/HO/D/MO/MC COMP/P/92838/07/2024</t>
  </si>
  <si>
    <t>KHI/HO/D/MO/MC COMP/P/92841/07/2024</t>
  </si>
  <si>
    <t>KHI/HO/D/MO/MC COMP/P/92843/07/2024</t>
  </si>
  <si>
    <t>KHI/HO/D/MO/MC COMP/P/92844/07/2024</t>
  </si>
  <si>
    <t>KHI/HO/D/MO/MC COMP/P/92845/07/2024</t>
  </si>
  <si>
    <t>KHI/HO/D/MO/MC COMP/P/92846/07/2024</t>
  </si>
  <si>
    <t>KHI/HO/D/MO/MC COMP/P/92847/07/2024</t>
  </si>
  <si>
    <t>KHI/HO/D/MO/MC COMP/P/92850/07/2024</t>
  </si>
  <si>
    <t>KHI/HO/D/MO/MC COMP/P/92851/07/2024</t>
  </si>
  <si>
    <t>KHI/HO/D/MO/MC COMP/P/92852/07/2024</t>
  </si>
  <si>
    <t>KHI/HO/D/MO/MC COMP/P/92857/07/2024</t>
  </si>
  <si>
    <t>KHI/HO/D/MO/MC COMP/P/92859/07/2024</t>
  </si>
  <si>
    <t>KHI/HO/D/MO/MC COMP/P/92861/07/2024</t>
  </si>
  <si>
    <t>KHI/HO/D/MO/MC COMP/P/92865/07/2024</t>
  </si>
  <si>
    <t>KHI/HO/D/MO/MC COMP/P/92867/07/2024</t>
  </si>
  <si>
    <t>KHI/HO/D/MO/MC COMP/P/92869/07/2024</t>
  </si>
  <si>
    <t>KHI/HO/D/MO/MC COMP/P/92877/07/2024</t>
  </si>
  <si>
    <t>KHI/HO/D/MO/MC COMP/P/92878/07/2024</t>
  </si>
  <si>
    <t>KHI/HO/D/MO/MC COMP/P/92879/07/2024</t>
  </si>
  <si>
    <t>KHI/HO/D/MO/MC COMP/P/92880/07/2024</t>
  </si>
  <si>
    <t>KHI/HO/D/MO/MC COMP/P/92881/07/2024</t>
  </si>
  <si>
    <t>KHI/HO/D/MO/MC COMP/P/92883/07/2024</t>
  </si>
  <si>
    <t>KHI/HO/D/MO/MC COMP/P/92884/07/2024</t>
  </si>
  <si>
    <t>KHI/HO/D/MO/MC COMP/P/92885/07/2024</t>
  </si>
  <si>
    <t>KHI/HO/D/MO/MC COMP/P/92886/07/2024</t>
  </si>
  <si>
    <t>KHI/HO/D/MO/MC COMP/P/92887/07/2024</t>
  </si>
  <si>
    <t>KHI/HO/D/MO/MC COMP/P/92888/07/2024</t>
  </si>
  <si>
    <t>KHI/HO/D/MO/MC COMP/P/92889/07/2024</t>
  </si>
  <si>
    <t>KHI/HO/D/MO/MC COMP/P/92890/07/2024</t>
  </si>
  <si>
    <t>KHI/HO/D/MO/MC COMP/P/92891/07/2024</t>
  </si>
  <si>
    <t>KHI/HO/D/MO/MC COMP/P/92892/07/2024</t>
  </si>
  <si>
    <t>KHI/HO/D/MO/MC COMP/P/92893/07/2024</t>
  </si>
  <si>
    <t>KHI/HO/D/MO/MC COMP/P/92894/07/2024</t>
  </si>
  <si>
    <t>KHI/HO/D/MO/MC COMP/P/92895/07/2024</t>
  </si>
  <si>
    <t>KHI/HO/D/MO/MC COMP/P/92896/07/2024</t>
  </si>
  <si>
    <t>KHI/HO/D/MO/MC COMP/P/92897/07/2024</t>
  </si>
  <si>
    <t>KHI/HO/D/MO/MC COMP/P/92898/07/2024</t>
  </si>
  <si>
    <t>KHI/HO/D/MO/MC COMP/P/92899/07/2024</t>
  </si>
  <si>
    <t>KHI/HO/D/MO/MC COMP/P/92903/07/2024</t>
  </si>
  <si>
    <t>KHI/HO/D/MO/MC COMP/P/92905/07/2024</t>
  </si>
  <si>
    <t>KHI/HO/D/MO/MC COMP/P/92907/07/2024</t>
  </si>
  <si>
    <t>KHI/HO/D/MO/MC COMP/P/92908/07/2024</t>
  </si>
  <si>
    <t>KHI/HO/D/MO/MC COMP/P/92911/07/2024</t>
  </si>
  <si>
    <t>KHI/HO/D/MO/MC COMP/P/92912/07/2024</t>
  </si>
  <si>
    <t>KHI/HO/D/MO/MC COMP/P/92916/07/2024</t>
  </si>
  <si>
    <t>KHI/HO/D/MO/MC COMP/P/92917/07/2024</t>
  </si>
  <si>
    <t>KHI/HO/D/MO/MC COMP/P/92918/07/2024</t>
  </si>
  <si>
    <t>KHI/HO/D/MO/MC COMP/P/92919/07/2024</t>
  </si>
  <si>
    <t>KHI/HO/D/MO/MC COMP/P/92920/07/2024</t>
  </si>
  <si>
    <t>KHI/HO/D/MO/MC COMP/P/92921/07/2024</t>
  </si>
  <si>
    <t>KHI/HO/D/MO/MC COMP/P/92923/07/2024</t>
  </si>
  <si>
    <t>KHI/HO/D/MO/MC COMP/P/92925/07/2024</t>
  </si>
  <si>
    <t>KHI/HO/D/MO/MC COMP/P/92926/07/2024</t>
  </si>
  <si>
    <t>KHI/HO/D/MO/MC COMP/P/92929/07/2024</t>
  </si>
  <si>
    <t>KHI/HO/D/MO/MC COMP/P/92930/07/2024</t>
  </si>
  <si>
    <t>KHI/HO/D/MO/MC COMP/P/92931/07/2024</t>
  </si>
  <si>
    <t>KHI/HO/D/MO/MC COMP/P/92932/07/2024</t>
  </si>
  <si>
    <t>KHI/HO/D/MO/MC COMP/P/92933/07/2024</t>
  </si>
  <si>
    <t>KHI/HO/D/MO/MC COMP/P/92934/07/2024</t>
  </si>
  <si>
    <t>KHI/HO/D/MO/MC COMP/P/92935/07/2024</t>
  </si>
  <si>
    <t>KHI/HO/D/MO/MC COMP/P/92936/07/2024</t>
  </si>
  <si>
    <t>KHI/HO/D/MO/MC COMP/P/92937/07/2024</t>
  </si>
  <si>
    <t>KHI/HO/D/MO/MC COMP/P/92938/07/2024</t>
  </si>
  <si>
    <t>KHI/HO/D/MO/MC COMP/P/92939/07/2024</t>
  </si>
  <si>
    <t>KHI/HO/D/MO/MC COMP/P/92940/07/2024</t>
  </si>
  <si>
    <t>KHI/HO/D/MO/MC COMP/P/92941/07/2024</t>
  </si>
  <si>
    <t>KHI/HO/D/MO/MC COMP/P/92942/07/2024</t>
  </si>
  <si>
    <t>KHI/HO/D/MO/MC COMP/P/92943/07/2024</t>
  </si>
  <si>
    <t>KHI/HO/D/MO/MC COMP/P/92944/07/2024</t>
  </si>
  <si>
    <t>KHI/HO/D/MO/MC COMP/P/92946/07/2024</t>
  </si>
  <si>
    <t>KHI/HO/D/MO/MC COMP/P/92949/07/2024</t>
  </si>
  <si>
    <t>KHI/HO/D/MO/MC COMP/P/92950/07/2024</t>
  </si>
  <si>
    <t>KHI/HO/D/MO/MC COMP/P/92953/07/2024</t>
  </si>
  <si>
    <t>KHI/HO/D/MO/MC COMP/P/92954/07/2024</t>
  </si>
  <si>
    <t>KHI/HO/D/MO/MC COMP/P/92957/07/2024</t>
  </si>
  <si>
    <t>KHI/HO/D/MO/MC COMP/P/92958/07/2024</t>
  </si>
  <si>
    <t>KHI/HO/D/MO/MC COMP/P/92961/07/2024</t>
  </si>
  <si>
    <t>KHI/HO/D/MO/MC COMP/P/92962/07/2024</t>
  </si>
  <si>
    <t>KHI/HO/D/MO/MC COMP/P/92964/07/2024</t>
  </si>
  <si>
    <t>KHI/HO/D/MO/MC COMP/P/92968/07/2024</t>
  </si>
  <si>
    <t>KHI/HO/D/MO/MC COMP/P/92970/07/2024</t>
  </si>
  <si>
    <t>KHI/HO/D/MO/MC COMP/P/92971/07/2024</t>
  </si>
  <si>
    <t>KHI/HO/D/MO/MC COMP/P/92972/07/2024</t>
  </si>
  <si>
    <t>KHI/HO/D/MO/MC COMP/P/92973/07/2024</t>
  </si>
  <si>
    <t>KHI/HO/D/MO/MC COMP/P/92975/07/2024</t>
  </si>
  <si>
    <t>KHI/HO/D/MO/MC COMP/P/92976/07/2024</t>
  </si>
  <si>
    <t>KHI/HO/D/MO/MC COMP/P/92977/07/2024</t>
  </si>
  <si>
    <t>KHI/HO/D/MO/MC COMP/P/92981/07/2024</t>
  </si>
  <si>
    <t>KHI/HO/D/MO/MC COMP/P/92982/07/2024</t>
  </si>
  <si>
    <t>KHI/HO/D/MO/MC COMP/P/92984/07/2024</t>
  </si>
  <si>
    <t>KHI/HO/D/MO/MC COMP/P/92986/07/2024</t>
  </si>
  <si>
    <t>KHI/HO/D/MO/MC COMP/P/92987/07/2024</t>
  </si>
  <si>
    <t>KHI/HO/D/MO/MC COMP/P/92988/07/2024</t>
  </si>
  <si>
    <t>KHI/HO/D/MO/MC COMP/P/92989/07/2024</t>
  </si>
  <si>
    <t>KHI/HO/D/MO/MC COMP/P/92990/07/2024</t>
  </si>
  <si>
    <t>KHI/HO/D/MO/MC COMP/P/92991/07/2024</t>
  </si>
  <si>
    <t>KHI/HO/D/MO/MC COMP/P/92993/07/2024</t>
  </si>
  <si>
    <t>KHI/HO/D/MO/MC COMP/P/92994/07/2024</t>
  </si>
  <si>
    <t>KHI/HO/D/MO/MC COMP/P/92995/07/2024</t>
  </si>
  <si>
    <t>KHI/HO/D/MO/MC COMP/P/92996/07/2024</t>
  </si>
  <si>
    <t>KHI/HO/D/MO/MC COMP/P/92997/07/2024</t>
  </si>
  <si>
    <t>KHI/HO/D/MO/MC COMP/P/92998/07/2024</t>
  </si>
  <si>
    <t>KHI/HO/D/MO/MC COMP/P/93000/07/2024</t>
  </si>
  <si>
    <t>KHI/HO/D/MO/MC COMP/P/93001/07/2024</t>
  </si>
  <si>
    <t>KHI/HO/D/MO/MC COMP/P/93004/07/2024</t>
  </si>
  <si>
    <t>KHI/HO/D/MO/MC COMP/P/93005/07/2024</t>
  </si>
  <si>
    <t>KHI/HO/D/MO/MC COMP/P/93006/07/2024</t>
  </si>
  <si>
    <t>KHI/HO/D/MO/MC COMP/P/93007/07/2024</t>
  </si>
  <si>
    <t>KHI/HO/D/MO/MC COMP/P/93008/07/2024</t>
  </si>
  <si>
    <t>KHI/HO/D/MO/MC COMP/P/93009/07/2024</t>
  </si>
  <si>
    <t>KHI/HO/D/MO/MC COMP/P/93010/07/2024</t>
  </si>
  <si>
    <t>KHI/HO/D/MO/MC COMP/P/93011/07/2024</t>
  </si>
  <si>
    <t>KHI/HO/D/MO/MC COMP/P/93013/07/2024</t>
  </si>
  <si>
    <t>KHI/HO/D/MO/MC COMP/P/93014/07/2024</t>
  </si>
  <si>
    <t>KHI/HO/D/MO/MC COMP/P/93019/07/2024</t>
  </si>
  <si>
    <t>KHI/HO/D/MO/MC COMP/P/93020/07/2024</t>
  </si>
  <si>
    <t>KHI/HO/D/MO/MC COMP/P/93021/07/2024</t>
  </si>
  <si>
    <t>KHI/HO/D/MO/MC COMP/P/93022/07/2024</t>
  </si>
  <si>
    <t>KHI/HO/D/MO/MC COMP/P/93023/07/2024</t>
  </si>
  <si>
    <t>KHI/HO/D/MO/MC COMP/P/93024/07/2024</t>
  </si>
  <si>
    <t>KHI/HO/D/MO/MC COMP/P/93025/07/2024</t>
  </si>
  <si>
    <t>KHI/HO/D/MO/MC COMP/P/93026/07/2024</t>
  </si>
  <si>
    <t>KHI/HO/D/MO/MC COMP/P/93027/07/2024</t>
  </si>
  <si>
    <t>KHI/HO/D/MO/MC COMP/P/93028/07/2024</t>
  </si>
  <si>
    <t>KHI/HO/D/MO/MC COMP/P/93029/07/2024</t>
  </si>
  <si>
    <t>KHI/HO/D/MO/MC COMP/P/93031/07/2024</t>
  </si>
  <si>
    <t>KHI/HO/D/MO/MC COMP/P/93032/07/2024</t>
  </si>
  <si>
    <t>KHI/HO/D/MO/MC COMP/P/93033/07/2024</t>
  </si>
  <si>
    <t>KHI/HO/D/MO/MC COMP/P/93034/07/2024</t>
  </si>
  <si>
    <t>KHI/HO/D/MO/MC COMP/P/93038/07/2024</t>
  </si>
  <si>
    <t>KHI/HO/D/MO/MC COMP/P/93039/07/2024</t>
  </si>
  <si>
    <t>KHI/HO/D/MO/MC COMP/P/93041/07/2024</t>
  </si>
  <si>
    <t>KHI/HO/D/MO/MC COMP/P/93043/07/2024</t>
  </si>
  <si>
    <t>KHI/HO/D/MO/MC COMP/P/93044/07/2024</t>
  </si>
  <si>
    <t>KHI/HO/D/MO/MC COMP/P/93045/07/2024</t>
  </si>
  <si>
    <t>KHI/HO/D/MO/MC COMP/P/93046/07/2024</t>
  </si>
  <si>
    <t>KHI/HO/D/MO/MC COMP/P/93050/07/2024</t>
  </si>
  <si>
    <t>KHI/HO/D/MO/MC COMP/P/93051/07/2024</t>
  </si>
  <si>
    <t>KHI/HO/D/MO/MC COMP/P/93053/07/2024</t>
  </si>
  <si>
    <t>KHI/HO/D/MO/MC COMP/P/93054/07/2024</t>
  </si>
  <si>
    <t>KHI/HO/D/MO/MC COMP/P/93055/07/2024</t>
  </si>
  <si>
    <t>KHI/HO/D/MO/MC COMP/P/93056/07/2024</t>
  </si>
  <si>
    <t>KHI/HO/D/MO/MC COMP/P/93057/07/2024</t>
  </si>
  <si>
    <t>KHI/HO/D/MO/MC COMP/P/93058/07/2024</t>
  </si>
  <si>
    <t>KHI/HO/D/MO/MC COMP/P/93059/07/2024</t>
  </si>
  <si>
    <t>KHI/HO/D/MO/MC COMP/P/93060/07/2024</t>
  </si>
  <si>
    <t>KHI/HO/D/MO/MC COMP/P/93061/07/2024</t>
  </si>
  <si>
    <t>KHI/HO/D/MO/MC COMP/P/93062/07/2024</t>
  </si>
  <si>
    <t>KHI/HO/D/MO/MC COMP/P/93064/07/2024</t>
  </si>
  <si>
    <t>KHI/HO/D/MO/MC COMP/P/93065/07/2024</t>
  </si>
  <si>
    <t>KHI/HO/D/MO/MC COMP/P/93066/07/2024</t>
  </si>
  <si>
    <t>KHI/HO/D/MO/MC COMP/P/93067/07/2024</t>
  </si>
  <si>
    <t>KHI/HO/D/MO/MC COMP/P/93069/07/2024</t>
  </si>
  <si>
    <t>KHI/HO/D/MO/MC COMP/P/93070/07/2024</t>
  </si>
  <si>
    <t>KHI/HO/D/MO/MC COMP/P/93071/07/2024</t>
  </si>
  <si>
    <t>KHI/HO/D/MO/MC COMP/P/93072/07/2024</t>
  </si>
  <si>
    <t>KHI/HO/D/MO/MC COMP/P/93073/07/2024</t>
  </si>
  <si>
    <t>KHI/HO/D/MO/MC COMP/P/93074/07/2024</t>
  </si>
  <si>
    <t>KHI/HO/D/MO/MC COMP/P/93075/07/2024</t>
  </si>
  <si>
    <t>KHI/HO/D/MO/MC COMP/P/93076/07/2024</t>
  </si>
  <si>
    <t>KHI/HO/D/MO/MC COMP/P/93077/07/2024</t>
  </si>
  <si>
    <t>KHI/HO/D/MO/MC COMP/P/93078/07/2024</t>
  </si>
  <si>
    <t>KHI/HO/D/MO/MC COMP/P/93079/07/2024</t>
  </si>
  <si>
    <t>KHI/HO/D/MO/MC COMP/P/93080/07/2024</t>
  </si>
  <si>
    <t>KHI/HO/D/MO/MC COMP/P/93081/07/2024</t>
  </si>
  <si>
    <t>KHI/HO/D/MO/MC COMP/P/93082/07/2024</t>
  </si>
  <si>
    <t>KHI/HO/D/MO/MC COMP/P/93083/07/2024</t>
  </si>
  <si>
    <t>KHI/HO/D/MO/MC COMP/P/93084/07/2024</t>
  </si>
  <si>
    <t>KHI/HO/D/MO/MC COMP/P/93085/07/2024</t>
  </si>
  <si>
    <t>KHI/HO/D/MO/MC COMP/P/93086/07/2024</t>
  </si>
  <si>
    <t>KHI/HO/D/MO/MC COMP/P/93087/07/2024</t>
  </si>
  <si>
    <t>KHI/HO/D/MO/MC COMP/P/93088/07/2024</t>
  </si>
  <si>
    <t>KHI/HO/D/MO/MC COMP/P/93089/07/2024</t>
  </si>
  <si>
    <t>KHI/HO/D/MO/MC COMP/P/93090/07/2024</t>
  </si>
  <si>
    <t>KHI/HO/D/MO/MC COMP/P/93091/07/2024</t>
  </si>
  <si>
    <t>KHI/HO/D/MO/MC COMP/P/93092/07/2024</t>
  </si>
  <si>
    <t>KHI/HO/D/MO/MC COMP/P/93093/07/2024</t>
  </si>
  <si>
    <t>KHI/HO/D/MO/MC COMP/P/93094/07/2024</t>
  </si>
  <si>
    <t>KHI/HO/D/MO/MC COMP/P/93096/07/2024</t>
  </si>
  <si>
    <t>KHI/HO/D/MO/MC COMP/P/93097/07/2024</t>
  </si>
  <si>
    <t>KHI/HO/D/MO/MC COMP/P/93098/07/2024</t>
  </si>
  <si>
    <t>KHI/HO/D/MO/MC COMP/P/93099/07/2024</t>
  </si>
  <si>
    <t>KHI/HO/D/MO/MC COMP/P/93100/07/2024</t>
  </si>
  <si>
    <t>KHI/HO/D/MO/MC COMP/P/93101/07/2024</t>
  </si>
  <si>
    <t>KHI/HO/D/MO/MC COMP/P/93102/07/2024</t>
  </si>
  <si>
    <t>KHI/HO/D/MO/MC COMP/P/93103/07/2024</t>
  </si>
  <si>
    <t>KHI/HO/D/MO/MC COMP/P/93104/07/2024</t>
  </si>
  <si>
    <t>KHI/HO/D/MO/MC COMP/P/93105/07/2024</t>
  </si>
  <si>
    <t>KHI/HO/D/MO/MC COMP/P/93118/07/2024</t>
  </si>
  <si>
    <t>KHI/HO/D/MO/MC COMP/P/93124/07/2024</t>
  </si>
  <si>
    <t>KHI/HO/D/MO/MC COMP/P/93125/07/2024</t>
  </si>
  <si>
    <t>KHI/HO/D/MO/MC COMP/P/93132/07/2024</t>
  </si>
  <si>
    <t>KHI/HO/D/MO/MC COMP/P/93134/07/2024</t>
  </si>
  <si>
    <t>KHI/HO/D/MO/MC COMP/P/93136/07/2024</t>
  </si>
  <si>
    <t>KHI/HO/D/MO/MC COMP/P/93140/07/2024</t>
  </si>
  <si>
    <t>KHI/HO/D/MO/MC COMP/P/93142/07/2024</t>
  </si>
  <si>
    <t>KHI/HO/D/MO/MC COMP/P/93146/07/2024</t>
  </si>
  <si>
    <t>KHI/HO/D/MO/MC COMP/P/93147/07/2024</t>
  </si>
  <si>
    <t>KHI/HO/D/MO/MC COMP/P/93148/07/2024</t>
  </si>
  <si>
    <t>KHI/HO/D/MO/MC COMP/P/93149/07/2024</t>
  </si>
  <si>
    <t>KHI/HO/D/MO/MC COMP/P/93151/07/2024</t>
  </si>
  <si>
    <t>KHI/HO/D/MO/MC COMP/P/93152/07/2024</t>
  </si>
  <si>
    <t>KHI/HO/D/MO/MC COMP/P/93156/07/2024</t>
  </si>
  <si>
    <t>KHI/HO/D/MO/MC COMP/P/93160/07/2024</t>
  </si>
  <si>
    <t>KHI/HO/D/MO/MC COMP/P/93161/07/2024</t>
  </si>
  <si>
    <t>KHI/HO/D/MO/MC COMP/P/93163/07/2024</t>
  </si>
  <si>
    <t>KHI/HO/D/MO/MC COMP/P/93164/07/2024</t>
  </si>
  <si>
    <t>KHI/HO/D/MO/MC COMP/P/93166/07/2024</t>
  </si>
  <si>
    <t>KHI/HO/D/MO/MC COMP/P/93168/07/2024</t>
  </si>
  <si>
    <t>KHI/HO/D/MO/MC COMP/P/93170/07/2024</t>
  </si>
  <si>
    <t>KHI/HO/D/MO/MC COMP/P/93171/07/2024</t>
  </si>
  <si>
    <t>KHI/HO/D/MO/MC COMP/P/93172/07/2024</t>
  </si>
  <si>
    <t>KHI/HO/D/MO/MC COMP/P/93173/07/2024</t>
  </si>
  <si>
    <t>KHI/HO/D/MO/MC COMP/P/93174/07/2024</t>
  </si>
  <si>
    <t>KHI/HO/D/MO/MC COMP/P/93175/07/2024</t>
  </si>
  <si>
    <t>KHI/HO/D/MO/MC COMP/P/93177/07/2024</t>
  </si>
  <si>
    <t>KHI/HO/D/MO/MC COMP/P/93178/07/2024</t>
  </si>
  <si>
    <t>KHI/HO/D/MO/MC COMP/P/93181/07/2024</t>
  </si>
  <si>
    <t>KHI/HO/D/MO/MC COMP/P/93183/07/2024</t>
  </si>
  <si>
    <t>KHI/HO/D/MO/MC COMP/P/93184/07/2024</t>
  </si>
  <si>
    <t>KHI/HO/D/MO/MC COMP/P/93185/07/2024</t>
  </si>
  <si>
    <t>KHI/HO/D/MO/MC COMP/P/93186/07/2024</t>
  </si>
  <si>
    <t>KHI/HO/D/MO/MC COMP/P/93188/07/2024</t>
  </si>
  <si>
    <t>KHI/HO/D/MO/MC COMP/P/93191/07/2024</t>
  </si>
  <si>
    <t>KHI/HO/D/MO/MC COMP/P/93192/07/2024</t>
  </si>
  <si>
    <t>KHI/HO/D/MO/MC COMP/P/93193/07/2024</t>
  </si>
  <si>
    <t>KHI/HO/D/MO/MC COMP/P/93195/07/2024</t>
  </si>
  <si>
    <t>KHI/HO/D/MO/MC COMP/P/93196/07/2024</t>
  </si>
  <si>
    <t>KHI/HO/D/MO/MC COMP/P/93197/07/2024</t>
  </si>
  <si>
    <t>KHI/HO/D/MO/MC COMP/P/93198/07/2024</t>
  </si>
  <si>
    <t>KHI/HO/D/MO/MC COMP/P/93202/07/2024</t>
  </si>
  <si>
    <t>KHI/HO/D/MO/MC COMP/P/93204/07/2024</t>
  </si>
  <si>
    <t>KHI/HO/D/MO/MC COMP/P/93205/07/2024</t>
  </si>
  <si>
    <t>KHI/HO/D/MO/MC COMP/P/93206/07/2024</t>
  </si>
  <si>
    <t>KHI/HO/D/MO/MC COMP/P/93207/07/2024</t>
  </si>
  <si>
    <t>KHI/HO/D/MO/MC COMP/P/93208/07/2024</t>
  </si>
  <si>
    <t>KHI/HO/D/MO/MC COMP/P/93209/07/2024</t>
  </si>
  <si>
    <t>KHI/HO/D/MO/MC COMP/P/93210/07/2024</t>
  </si>
  <si>
    <t>KHI/HO/D/MO/MC COMP/P/93211/07/2024</t>
  </si>
  <si>
    <t>KHI/HO/D/MO/MC COMP/P/93212/07/2024</t>
  </si>
  <si>
    <t>KHI/HO/D/MO/MC COMP/P/93213/07/2024</t>
  </si>
  <si>
    <t>KHI/HO/D/MO/MC COMP/P/93214/07/2024</t>
  </si>
  <si>
    <t>KHI/HO/D/MO/MC COMP/P/93215/07/2024</t>
  </si>
  <si>
    <t>KHI/HO/D/MO/MC COMP/P/93216/07/2024</t>
  </si>
  <si>
    <t>KHI/HO/D/MO/MC COMP/P/93240/07/2024</t>
  </si>
  <si>
    <t>KHI/HO/D/MO/MC COMP/P/93241/07/2024</t>
  </si>
  <si>
    <t>KHI/HO/D/MO/MC COMP/P/93245/07/2024</t>
  </si>
  <si>
    <t>KHI/HO/D/MO/MC COMP/P/93246/07/2024</t>
  </si>
  <si>
    <t>KHI/HO/D/MO/MC COMP/P/93247/07/2024</t>
  </si>
  <si>
    <t>KHI/HO/D/MO/MC COMP/P/93249/07/2024</t>
  </si>
  <si>
    <t>KHI/HO/D/MO/MC COMP/P/93254/07/2024</t>
  </si>
  <si>
    <t>KHI/HO/D/MO/MC COMP/P/93255/07/2024</t>
  </si>
  <si>
    <t>KHI/HO/D/MO/MC COMP/P/93258/07/2024</t>
  </si>
  <si>
    <t>KHI/HO/D/MO/MC COMP/P/93259/07/2024</t>
  </si>
  <si>
    <t>KHI/HO/D/MO/MC COMP/P/93260/07/2024</t>
  </si>
  <si>
    <t>KHI/HO/D/MO/MC COMP/P/93262/07/2024</t>
  </si>
  <si>
    <t>KHI/HO/D/MO/MC COMP/P/93263/07/2024</t>
  </si>
  <si>
    <t>KHI/HO/D/MO/MC COMP/P/93266/07/2024</t>
  </si>
  <si>
    <t>KHI/HO/D/MO/MC COMP/P/93270/07/2024</t>
  </si>
  <si>
    <t>KHI/HO/D/MO/MC COMP/P/93274/07/2024</t>
  </si>
  <si>
    <t>KHI/HO/D/MO/MC COMP/P/93277/07/2024</t>
  </si>
  <si>
    <t>KHI/HO/D/MO/MC COMP/P/93284/07/2024</t>
  </si>
  <si>
    <t>KHI/HO/D/MO/MC COMP/P/93285/07/2024</t>
  </si>
  <si>
    <t>KHI/HO/D/MO/MC COMP/P/93287/07/2024</t>
  </si>
  <si>
    <t>KHI/HO/D/MO/MC COMP/P/93288/07/2024</t>
  </si>
  <si>
    <t>KHI/HO/D/MO/MC COMP/P/93291/07/2024</t>
  </si>
  <si>
    <t>KHI/HO/D/MO/MC COMP/P/93292/07/2024</t>
  </si>
  <si>
    <t>KHI/HO/D/MO/MC COMP/P/93293/07/2024</t>
  </si>
  <si>
    <t>KHI/HO/D/MO/MC COMP/P/93294/07/2024</t>
  </si>
  <si>
    <t>KHI/HO/D/MO/MC COMP/P/93295/07/2024</t>
  </si>
  <si>
    <t>KHI/HO/D/MO/MC COMP/P/93296/07/2024</t>
  </si>
  <si>
    <t>KHI/HO/D/MO/MC COMP/P/93298/07/2024</t>
  </si>
  <si>
    <t>KHI/HO/D/MO/MC COMP/P/93299/07/2024</t>
  </si>
  <si>
    <t>KHI/HO/D/MO/MC COMP/P/93300/07/2024</t>
  </si>
  <si>
    <t>KHI/HO/D/MO/MC COMP/P/93302/07/2024</t>
  </si>
  <si>
    <t>KHI/HO/D/MO/MC COMP/P/93303/07/2024</t>
  </si>
  <si>
    <t>KHI/HO/D/MO/MC COMP/P/93307/07/2024</t>
  </si>
  <si>
    <t>KHI/HO/D/MO/MC COMP/P/93309/07/2024</t>
  </si>
  <si>
    <t>KHI/HO/D/MO/MC COMP/P/93311/07/2024</t>
  </si>
  <si>
    <t>KHI/HO/D/MO/MC COMP/P/93315/07/2024</t>
  </si>
  <si>
    <t>KHI/HO/D/MO/MC COMP/P/93321/07/2024</t>
  </si>
  <si>
    <t>KHI/HO/D/MO/MC COMP/P/93322/07/2024</t>
  </si>
  <si>
    <t>KHI/HO/D/MO/MC COMP/P/93325/07/2024</t>
  </si>
  <si>
    <t>KHI/HO/D/MO/MC COMP/P/93326/07/2024</t>
  </si>
  <si>
    <t>KHI/HO/D/MO/MC COMP/P/93329/07/2024</t>
  </si>
  <si>
    <t>KHI/HO/D/MO/MC COMP/P/93330/07/2024</t>
  </si>
  <si>
    <t>KHI/HO/D/MO/MC COMP/P/93331/07/2024</t>
  </si>
  <si>
    <t>KHI/HO/D/MO/MC COMP/P/93332/07/2024</t>
  </si>
  <si>
    <t>KHI/HO/D/MO/MC COMP/P/93333/07/2024</t>
  </si>
  <si>
    <t>KHI/HO/D/MO/MC COMP/P/93334/07/2024</t>
  </si>
  <si>
    <t>KHI/HO/D/MO/MC COMP/P/93335/07/2024</t>
  </si>
  <si>
    <t>KHI/HO/D/MO/MC COMP/P/93338/07/2024</t>
  </si>
  <si>
    <t>KHI/HO/D/MO/MC COMP/P/93339/07/2024</t>
  </si>
  <si>
    <t>KHI/HO/D/MO/MC COMP/P/93340/07/2024</t>
  </si>
  <si>
    <t>KHI/HO/D/MO/MC COMP/P/93341/07/2024</t>
  </si>
  <si>
    <t>KHI/HO/D/MO/MC COMP/P/93342/07/2024</t>
  </si>
  <si>
    <t>KHI/HO/D/MO/MC COMP/P/93345/07/2024</t>
  </si>
  <si>
    <t>KHI/HO/D/MO/MC COMP/P/93348/07/2024</t>
  </si>
  <si>
    <t>KHI/HO/D/MO/MC COMP/P/93350/07/2024</t>
  </si>
  <si>
    <t>KHI/HO/D/MO/MC COMP/P/93351/07/2024</t>
  </si>
  <si>
    <t>KHI/HO/D/MO/MC COMP/P/93353/07/2024</t>
  </si>
  <si>
    <t>KHI/HO/D/MO/MC COMP/P/93355/07/2024</t>
  </si>
  <si>
    <t>KHI/HO/D/MO/MC COMP/P/93358/07/2024</t>
  </si>
  <si>
    <t>KHI/HO/D/MO/MC COMP/P/93359/07/2024</t>
  </si>
  <si>
    <t>KHI/HO/D/MO/MC COMP/P/93360/07/2024</t>
  </si>
  <si>
    <t>KHI/HO/D/MO/MC COMP/P/93364/07/2024</t>
  </si>
  <si>
    <t>KHI/HO/D/MO/MC COMP/P/93366/07/2024</t>
  </si>
  <si>
    <t>KHI/HO/D/MO/MC COMP/P/93367/07/2024</t>
  </si>
  <si>
    <t>KHI/HO/D/MO/MC COMP/P/93368/07/2024</t>
  </si>
  <si>
    <t>KHI/HO/D/MO/MC COMP/P/93370/07/2024</t>
  </si>
  <si>
    <t>KHI/HO/D/MO/MC COMP/P/93372/07/2024</t>
  </si>
  <si>
    <t>KHI/HO/D/MO/MC COMP/P/93373/07/2024</t>
  </si>
  <si>
    <t>KHI/HO/D/MO/MC COMP/P/93375/07/2024</t>
  </si>
  <si>
    <t>KHI/HO/D/MO/MC COMP/P/93380/07/2024</t>
  </si>
  <si>
    <t>KHI/HO/D/MO/MC COMP/P/93381/07/2024</t>
  </si>
  <si>
    <t>KHI/HO/D/MO/MC COMP/P/93382/07/2024</t>
  </si>
  <si>
    <t>KHI/HO/D/MO/MC COMP/P/93383/07/2024</t>
  </si>
  <si>
    <t>KHI/HO/D/MO/MC COMP/P/93384/07/2024</t>
  </si>
  <si>
    <t>KHI/HO/D/MO/MC COMP/P/93385/07/2024</t>
  </si>
  <si>
    <t>KHI/HO/D/MO/MC COMP/P/93386/07/2024</t>
  </si>
  <si>
    <t>KHI/HO/D/MO/MC COMP/P/93393/07/2024</t>
  </si>
  <si>
    <t>KHI/HO/D/MO/MC COMP/P/93394/07/2024</t>
  </si>
  <si>
    <t>KHI/HO/D/MO/MC COMP/P/93396/07/2024</t>
  </si>
  <si>
    <t>KHI/HO/D/MO/MC COMP/P/93397/07/2024</t>
  </si>
  <si>
    <t>KHI/HO/D/MO/MC COMP/P/93399/07/2024</t>
  </si>
  <si>
    <t>KHI/HO/D/MO/MC COMP/P/93400/07/2024</t>
  </si>
  <si>
    <t>KHI/HO/D/MO/MC COMP/P/93402/07/2024</t>
  </si>
  <si>
    <t>KHI/HO/D/MO/MC COMP/P/93403/07/2024</t>
  </si>
  <si>
    <t>KHI/HO/D/MO/MC COMP/P/93406/07/2024</t>
  </si>
  <si>
    <t>KHI/HO/D/MO/MC COMP/P/93407/07/2024</t>
  </si>
  <si>
    <t>KHI/HO/D/MO/MC COMP/P/93408/07/2024</t>
  </si>
  <si>
    <t>KHI/HO/D/MO/MC COMP/P/93409/07/2024</t>
  </si>
  <si>
    <t>KHI/HO/D/MO/MC COMP/P/93410/07/2024</t>
  </si>
  <si>
    <t>KHI/HO/D/MO/MC COMP/P/93413/07/2024</t>
  </si>
  <si>
    <t>KHI/HO/D/MO/MC COMP/P/93414/07/2024</t>
  </si>
  <si>
    <t>KHI/HO/D/MO/MC COMP/P/93415/07/2024</t>
  </si>
  <si>
    <t>KHI/HO/D/MO/MC COMP/P/93416/07/2024</t>
  </si>
  <si>
    <t>KHI/HO/D/MO/MC COMP/P/93417/07/2024</t>
  </si>
  <si>
    <t>KHI/HO/D/MO/MC COMP/P/93418/07/2024</t>
  </si>
  <si>
    <t>KHI/HO/D/MO/MC COMP/P/93421/07/2024</t>
  </si>
  <si>
    <t>KHI/HO/D/MO/MC COMP/P/93422/07/2024</t>
  </si>
  <si>
    <t>KHI/HO/D/MO/MC COMP/P/93427/07/2024</t>
  </si>
  <si>
    <t>KHI/HO/D/MO/MC COMP/P/93428/07/2024</t>
  </si>
  <si>
    <t>KHI/HO/D/MO/MC COMP/P/93429/07/2024</t>
  </si>
  <si>
    <t>KHI/HO/D/MO/MC COMP/P/93430/07/2024</t>
  </si>
  <si>
    <t>KHI/HO/D/MO/MC COMP/P/93431/07/2024</t>
  </si>
  <si>
    <t>KHI/HO/D/MO/MC COMP/P/93432/07/2024</t>
  </si>
  <si>
    <t>KHI/HO/D/MO/MC COMP/P/93433/07/2024</t>
  </si>
  <si>
    <t>KHI/HO/D/MO/MC COMP/P/93434/07/2024</t>
  </si>
  <si>
    <t>KHI/HO/D/MO/MC COMP/P/93467/07/2024</t>
  </si>
  <si>
    <t>KHI/HO/D/MO/MC COMP/P/93468/07/2024</t>
  </si>
  <si>
    <t>KHI/HO/D/MO/MC COMP/P/93471/07/2024</t>
  </si>
  <si>
    <t>KHI/HO/D/MO/MC COMP/P/93472/07/2024</t>
  </si>
  <si>
    <t>KHI/HO/D/MO/MC COMP/P/93480/07/2024</t>
  </si>
  <si>
    <t>KHI/HO/D/MO/MC COMP/P/93484/07/2024</t>
  </si>
  <si>
    <t>KHI/HO/D/MO/MC COMP/P/93488/07/2024</t>
  </si>
  <si>
    <t>KHI/HO/D/MO/MC COMP/P/93489/07/2024</t>
  </si>
  <si>
    <t>KHI/HO/D/MO/MC COMP/P/93490/07/2024</t>
  </si>
  <si>
    <t>KHI/HO/D/MO/MC COMP/P/93491/07/2024</t>
  </si>
  <si>
    <t>KHI/HO/D/MO/MC COMP/P/93492/07/2024</t>
  </si>
  <si>
    <t>KHI/HO/D/MO/MC COMP/P/93498/07/2024</t>
  </si>
  <si>
    <t>KHI/HO/D/MO/MC COMP/P/93499/07/2024</t>
  </si>
  <si>
    <t>KHI/HO/D/MO/MC COMP/P/93501/07/2024</t>
  </si>
  <si>
    <t>KHI/HO/D/MO/MC COMP/P/93502/07/2024</t>
  </si>
  <si>
    <t>KHI/HO/D/MO/MC COMP/P/93503/07/2024</t>
  </si>
  <si>
    <t>KHI/HO/D/MO/MC COMP/P/93504/07/2024</t>
  </si>
  <si>
    <t>KHI/HO/D/MO/MC COMP/P/93505/07/2024</t>
  </si>
  <si>
    <t>KHI/HO/D/MO/MC COMP/P/93510/07/2024</t>
  </si>
  <si>
    <t>KHI/HO/D/MO/MC COMP/P/93511/07/2024</t>
  </si>
  <si>
    <t>KHI/HO/D/MO/MC COMP/P/93513/07/2024</t>
  </si>
  <si>
    <t>KHI/HO/D/MO/MC COMP/P/93514/07/2024</t>
  </si>
  <si>
    <t>KHI/HO/D/MO/MC COMP/P/93517/07/2024</t>
  </si>
  <si>
    <t>KHI/HO/D/MO/MC COMP/P/93518/07/2024</t>
  </si>
  <si>
    <t>KHI/HO/D/MO/MC COMP/P/93519/07/2024</t>
  </si>
  <si>
    <t>KHI/HO/D/MO/MC COMP/P/93522/07/2024</t>
  </si>
  <si>
    <t>KHI/HO/D/MO/MC COMP/P/93523/07/2024</t>
  </si>
  <si>
    <t>KHI/HO/D/MO/MC COMP/P/93524/07/2024</t>
  </si>
  <si>
    <t>KHI/HO/D/MO/MC COMP/P/93525/07/2024</t>
  </si>
  <si>
    <t>KHI/HO/D/MO/MC COMP/P/93526/07/2024</t>
  </si>
  <si>
    <t>KHI/HO/D/MO/MC COMP/P/93528/07/2024</t>
  </si>
  <si>
    <t>KHI/HO/D/MO/MC COMP/P/93533/07/2024</t>
  </si>
  <si>
    <t>KHI/HO/D/MO/MC COMP/P/93536/07/2024</t>
  </si>
  <si>
    <t>KHI/HO/D/MO/MC COMP/P/93537/07/2024</t>
  </si>
  <si>
    <t>KHI/HO/D/MO/MC COMP/P/93539/07/2024</t>
  </si>
  <si>
    <t>KHI/HO/D/MO/MC COMP/P/93540/07/2024</t>
  </si>
  <si>
    <t>KHI/HO/D/MO/MC COMP/P/93541/07/2024</t>
  </si>
  <si>
    <t>KHI/HO/D/MO/MC COMP/P/93542/07/2024</t>
  </si>
  <si>
    <t>KHI/HO/D/MO/MC COMP/P/93543/07/2024</t>
  </si>
  <si>
    <t>KHI/HO/D/MO/MC COMP/P/93544/07/2024</t>
  </si>
  <si>
    <t>KHI/HO/D/MO/MC COMP/P/93545/07/2024</t>
  </si>
  <si>
    <t>KHI/HO/D/MO/MC COMP/P/93546/07/2024</t>
  </si>
  <si>
    <t>KHI/HO/D/MO/MC COMP/P/93547/07/2024</t>
  </si>
  <si>
    <t>KHI/HO/D/MO/MC COMP/P/93549/07/2024</t>
  </si>
  <si>
    <t>KHI/HO/D/MO/MC COMP/P/93550/07/2024</t>
  </si>
  <si>
    <t>KHI/HO/D/MO/MC COMP/P/93551/07/2024</t>
  </si>
  <si>
    <t>KHI/HO/D/MO/MC COMP/P/93552/07/2024</t>
  </si>
  <si>
    <t>KHI/HO/D/MO/MC COMP/P/93554/07/2024</t>
  </si>
  <si>
    <t>KHI/HO/D/MO/MC COMP/P/93555/07/2024</t>
  </si>
  <si>
    <t>KHI/HO/D/MO/MC COMP/P/93556/07/2024</t>
  </si>
  <si>
    <t>KHI/HO/D/MO/MC COMP/P/93557/07/2024</t>
  </si>
  <si>
    <t>KHI/HO/D/MO/MC COMP/P/93558/07/2024</t>
  </si>
  <si>
    <t>KHI/HO/D/MO/MC COMP/P/93559/07/2024</t>
  </si>
  <si>
    <t>KHI/HO/D/MO/MC COMP/P/93568/07/2024</t>
  </si>
  <si>
    <t>KHI/HO/D/MO/MC COMP/P/93569/07/2024</t>
  </si>
  <si>
    <t>KHI/HO/D/MO/MC COMP/P/93570/07/2024</t>
  </si>
  <si>
    <t>KHI/HO/D/MO/MC COMP/P/93578/07/2024</t>
  </si>
  <si>
    <t>KHI/HO/D/MO/MC COMP/P/93583/07/2024</t>
  </si>
  <si>
    <t>KHI/HO/D/MO/MC COMP/P/93586/07/2024</t>
  </si>
  <si>
    <t>KHI/HO/D/MO/MC COMP/P/93587/07/2024</t>
  </si>
  <si>
    <t>KHI/HO/D/MO/MC COMP/P/93606/07/2024</t>
  </si>
  <si>
    <t>KHI/HO/D/MO/MC COMP/P/93612/07/2024</t>
  </si>
  <si>
    <t>KHI/HO/D/MO/MC COMP/P/93615/07/2024</t>
  </si>
  <si>
    <t>KHI/HO/D/MO/MC COMP/P/93616/07/2024</t>
  </si>
  <si>
    <t>KHI/HO/D/MO/MC COMP/P/93619/07/2024</t>
  </si>
  <si>
    <t>KHI/HO/D/MO/MC COMP/P/93620/07/2024</t>
  </si>
  <si>
    <t>KHI/HO/D/MO/MC COMP/P/93621/07/2024</t>
  </si>
  <si>
    <t>KHI/HO/D/MO/MC COMP/P/93622/07/2024</t>
  </si>
  <si>
    <t>KHI/HO/D/MO/MC COMP/P/93623/07/2024</t>
  </si>
  <si>
    <t>KHI/HO/D/MO/MC COMP/P/93624/07/2024</t>
  </si>
  <si>
    <t>KHI/HO/D/MO/MC COMP/P/93629/07/2024</t>
  </si>
  <si>
    <t>KHI/HO/D/MO/MC COMP/P/93633/07/2024</t>
  </si>
  <si>
    <t>KHI/HO/D/MO/MC COMP/P/93634/07/2024</t>
  </si>
  <si>
    <t>KHI/HO/D/MO/MC COMP/P/93636/07/2024</t>
  </si>
  <si>
    <t>KHI/HO/D/MO/MC COMP/P/93637/07/2024</t>
  </si>
  <si>
    <t>KHI/HO/D/MO/MC COMP/P/93639/07/2024</t>
  </si>
  <si>
    <t>KHI/HO/D/MO/MC COMP/P/93640/07/2024</t>
  </si>
  <si>
    <t>KHI/HO/D/MO/MC COMP/P/93646/07/2024</t>
  </si>
  <si>
    <t>KHI/HO/D/MO/MC COMP/P/93648/07/2024</t>
  </si>
  <si>
    <t>KHI/HO/D/MO/MC COMP/P/93649/07/2024</t>
  </si>
  <si>
    <t>KHI/HO/D/MO/MC COMP/P/93650/07/2024</t>
  </si>
  <si>
    <t>KHI/HO/D/MO/MC COMP/P/93655/07/2024</t>
  </si>
  <si>
    <t>KHI/HO/D/MO/MC COMP/P/93656/07/2024</t>
  </si>
  <si>
    <t>KHI/HO/D/MO/MC COMP/P/93662/07/2024</t>
  </si>
  <si>
    <t>KHI/HO/D/MO/MC COMP/P/93663/07/2024</t>
  </si>
  <si>
    <t>KHI/HO/D/MO/MC COMP/P/93664/07/2024</t>
  </si>
  <si>
    <t>KHI/HO/D/MO/MC COMP/P/93665/07/2024</t>
  </si>
  <si>
    <t>KHI/HO/D/MO/MC COMP/P/93666/07/2024</t>
  </si>
  <si>
    <t>KHI/HO/D/MO/MC COMP/P/93677/07/2024</t>
  </si>
  <si>
    <t>KHI/HO/D/MO/MC COMP/P/93679/07/2024</t>
  </si>
  <si>
    <t>KHI/HO/D/MO/MC COMP/P/93680/07/2024</t>
  </si>
  <si>
    <t>KHI/HO/D/MO/MC COMP/P/93681/07/2024</t>
  </si>
  <si>
    <t>KHI/HO/D/MO/MC COMP/P/93682/07/2024</t>
  </si>
  <si>
    <t>KHI/HO/D/MO/MC COMP/P/93683/07/2024</t>
  </si>
  <si>
    <t>KHI/HO/D/MO/MC COMP/P/93686/07/2024</t>
  </si>
  <si>
    <t>KHI/HO/D/MO/MC COMP/P/93687/07/2024</t>
  </si>
  <si>
    <t>KHI/HO/D/MO/MC COMP/P/93689/07/2024</t>
  </si>
  <si>
    <t>KHI/HO/D/MO/MC COMP/P/93690/07/2024</t>
  </si>
  <si>
    <t>KHI/HO/D/MO/MC COMP/P/93692/07/2024</t>
  </si>
  <si>
    <t>KHI/HO/D/MO/MC COMP/P/93693/07/2024</t>
  </si>
  <si>
    <t>KHI/HO/D/MO/MC COMP/P/93695/07/2024</t>
  </si>
  <si>
    <t>KHI/HO/D/MO/MC COMP/P/93697/07/2024</t>
  </si>
  <si>
    <t>KHI/HO/D/MO/MC COMP/P/93699/07/2024</t>
  </si>
  <si>
    <t>KHI/HO/D/MO/MC COMP/P/93700/07/2024</t>
  </si>
  <si>
    <t>KHI/HO/D/MO/MC COMP/P/93705/07/2024</t>
  </si>
  <si>
    <t>KHI/HO/D/MO/MC COMP/P/93706/07/2024</t>
  </si>
  <si>
    <t>KHI/HO/D/MO/MC COMP/P/93707/07/2024</t>
  </si>
  <si>
    <t>KHI/HO/D/MO/MC COMP/P/93708/07/2024</t>
  </si>
  <si>
    <t>KHI/HO/D/MO/MC COMP/P/93709/07/2024</t>
  </si>
  <si>
    <t>KHI/HO/D/MO/MC COMP/P/93712/07/2024</t>
  </si>
  <si>
    <t>KHI/HO/D/MO/MC COMP/P/93713/07/2024</t>
  </si>
  <si>
    <t>KHI/HO/D/MO/MC COMP/P/93716/07/2024</t>
  </si>
  <si>
    <t>KHI/HO/D/MO/MC COMP/P/93717/07/2024</t>
  </si>
  <si>
    <t>KHI/HO/D/MO/MC COMP/P/93718/07/2024</t>
  </si>
  <si>
    <t>KHI/HO/D/MO/MC COMP/P/93725/07/2024</t>
  </si>
  <si>
    <t>KHI/HO/D/MO/MC COMP/P/93734/07/2024</t>
  </si>
  <si>
    <t>KHI/HO/D/MO/MC COMP/P/93736/07/2024</t>
  </si>
  <si>
    <t>KHI/HO/D/MO/MC COMP/P/93744/07/2024</t>
  </si>
  <si>
    <t>KHI/HO/D/MO/MC COMP/P/93746/07/2024</t>
  </si>
  <si>
    <t>KHI/HO/D/MO/MC COMP/P/93752/07/2024</t>
  </si>
  <si>
    <t>KHI/HO/D/MO/MC COMP/P/93754/07/2024</t>
  </si>
  <si>
    <t>KHI/HO/D/MO/MC COMP/P/93765/07/2024</t>
  </si>
  <si>
    <t>KHI/HO/D/MO/MC COMP/P/93767/07/2024</t>
  </si>
  <si>
    <t>KHI/HO/D/MO/MC COMP/P/93771/07/2024</t>
  </si>
  <si>
    <t>KHI/HO/D/MO/MC COMP/P/93773/07/2024</t>
  </si>
  <si>
    <t>KHI/HO/D/MO/MC COMP/P/93774/07/2024</t>
  </si>
  <si>
    <t>KHI/HO/D/MO/MC COMP/P/93777/07/2024</t>
  </si>
  <si>
    <t>KHI/HO/D/MO/MC COMP/P/93779/07/2024</t>
  </si>
  <si>
    <t>KHI/HO/D/MO/MC COMP/P/93780/07/2024</t>
  </si>
  <si>
    <t>KHI/HO/D/MO/MC COMP/P/93781/07/2024</t>
  </si>
  <si>
    <t>KHI/HO/D/MO/MC COMP/P/93783/07/2024</t>
  </si>
  <si>
    <t>KHI/HO/D/MO/MC COMP/P/93784/07/2024</t>
  </si>
  <si>
    <t>KHI/HO/D/MO/MC COMP/P/93789/07/2024</t>
  </si>
  <si>
    <t>KHI/HO/D/MO/MC COMP/P/93792/07/2024</t>
  </si>
  <si>
    <t>KHI/HO/D/MO/MC COMP/P/93793/07/2024</t>
  </si>
  <si>
    <t>KHI/HO/D/MO/MC COMP/P/93794/07/2024</t>
  </si>
  <si>
    <t>KHI/HO/D/MO/MC COMP/P/93796/07/2024</t>
  </si>
  <si>
    <t>KHI/HO/D/MO/MC COMP/P/93797/07/2024</t>
  </si>
  <si>
    <t>KHI/HO/D/MO/MC COMP/P/93800/07/2024</t>
  </si>
  <si>
    <t>KHI/HO/D/MO/MC COMP/P/93804/07/2024</t>
  </si>
  <si>
    <t>KHI/HO/D/MO/MC COMP/P/93812/07/2024</t>
  </si>
  <si>
    <t>KHI/HO/D/MO/MC COMP/P/93814/07/2024</t>
  </si>
  <si>
    <t>KHI/HO/D/MO/MC COMP/P/93819/07/2024</t>
  </si>
  <si>
    <t>KHI/HO/D/MO/MC COMP/P/93838/07/2024</t>
  </si>
  <si>
    <t>KHI/HO/D/MO/MC COMP/P/93841/07/2024</t>
  </si>
  <si>
    <t>KHI/HO/D/MO/MC COMP/P/93848/07/2024</t>
  </si>
  <si>
    <t>KHI/HO/D/MO/MC COMP/P/93856/07/2024</t>
  </si>
  <si>
    <t>KHI/HO/D/MO/MC COMP/P/93857/07/2024</t>
  </si>
  <si>
    <t>KHI/HO/D/MO/MC COMP/P/93859/07/2024</t>
  </si>
  <si>
    <t>KHI/HO/D/MO/MC COMP/P/93860/07/2024</t>
  </si>
  <si>
    <t>KHI/HO/D/MO/MC COMP/P/93864/07/2024</t>
  </si>
  <si>
    <t>KHI/HO/D/MO/MC COMP/P/93874/07/2024</t>
  </si>
  <si>
    <t>KHI/HO/D/MO/MC COMP/P/93875/07/2024</t>
  </si>
  <si>
    <t>KHI/HO/D/MO/MC COMP/P/93877/07/2024</t>
  </si>
  <si>
    <t>KHI/HO/D/MO/MC COMP/P/93880/07/2024</t>
  </si>
  <si>
    <t>KHI/HO/D/MO/MC COMP/P/93886/07/2024</t>
  </si>
  <si>
    <t>KHI/HO/D/MO/MC COMP/P/93888/07/2024</t>
  </si>
  <si>
    <t>KHI/HO/D/MO/MC COMP/P/93892/07/2024</t>
  </si>
  <si>
    <t>KHI/HO/D/MO/MC COMP/P/93893/07/2024</t>
  </si>
  <si>
    <t>KHI/HO/D/MO/MC COMP/P/93897/07/2024</t>
  </si>
  <si>
    <t>KHI/HO/D/MO/MC COMP/P/93898/07/2024</t>
  </si>
  <si>
    <t>KHI/HO/D/MO/MC COMP/P/93901/07/2024</t>
  </si>
  <si>
    <t>KHI/HO/D/MO/MC COMP/P/93903/07/2024</t>
  </si>
  <si>
    <t>KHI/HO/D/MO/MC COMP/P/93905/07/2024</t>
  </si>
  <si>
    <t>KHI/HO/D/MO/MC COMP/P/93908/07/2024</t>
  </si>
  <si>
    <t>KHI/HO/D/MO/MC COMP/P/93909/07/2024</t>
  </si>
  <si>
    <t>KHI/HO/D/MO/MC COMP/P/93910/07/2024</t>
  </si>
  <si>
    <t>KHI/HO/D/MO/MC COMP/P/93912/07/2024</t>
  </si>
  <si>
    <t>KHI/HO/D/MO/MC COMP/P/93913/07/2024</t>
  </si>
  <si>
    <t>KHI/HO/D/MO/MC COMP/P/93914/07/2024</t>
  </si>
  <si>
    <t>KHI/HO/D/MO/MC COMP/P/93915/07/2024</t>
  </si>
  <si>
    <t>KHI/HO/D/MO/MC COMP/P/93918/07/2024</t>
  </si>
  <si>
    <t>KHI/HO/D/MO/MC COMP/P/93919/07/2024</t>
  </si>
  <si>
    <t>KHI/HO/D/MO/MC COMP/P/93920/07/2024</t>
  </si>
  <si>
    <t>KHI/HO/D/MO/MC COMP/P/93922/07/2024</t>
  </si>
  <si>
    <t>KHI/HO/D/MO/MC COMP/P/93923/07/2024</t>
  </si>
  <si>
    <t>KHI/HO/D/MO/MC COMP/P/93924/07/2024</t>
  </si>
  <si>
    <t>KHI/HO/D/MO/MC COMP/P/93925/07/2024</t>
  </si>
  <si>
    <t>KHI/HO/D/MO/MC COMP/P/93931/07/2024</t>
  </si>
  <si>
    <t>KHI/HO/D/MO/MC COMP/P/93932/07/2024</t>
  </si>
  <si>
    <t>KHI/HO/D/MO/MC COMP/P/93934/07/2024</t>
  </si>
  <si>
    <t>KHI/HO/D/MO/MC COMP/P/93935/07/2024</t>
  </si>
  <si>
    <t>KHI/HO/D/MO/MC COMP/P/93936/07/2024</t>
  </si>
  <si>
    <t>KHI/HO/D/MO/MC COMP/P/93937/07/2024</t>
  </si>
  <si>
    <t>KHI/HO/D/MO/MC COMP/P/93938/07/2024</t>
  </si>
  <si>
    <t>KHI/HO/D/MO/MC COMP/P/93944/07/2024</t>
  </si>
  <si>
    <t>KHI/HO/D/MO/MC COMP/P/93945/07/2024</t>
  </si>
  <si>
    <t>KHI/HO/D/MO/MC COMP/P/93946/07/2024</t>
  </si>
  <si>
    <t>KHI/HO/D/MO/MC COMP/P/93948/07/2024</t>
  </si>
  <si>
    <t>KHI/HO/D/MO/MC COMP/P/93949/07/2024</t>
  </si>
  <si>
    <t>KHI/HO/D/MO/MC COMP/P/93950/07/2024</t>
  </si>
  <si>
    <t>KHI/HO/D/MO/MC COMP/P/93951/07/2024</t>
  </si>
  <si>
    <t>KHI/HO/D/MO/MC COMP/P/93952/07/2024</t>
  </si>
  <si>
    <t>KHI/HO/D/MO/MC COMP/P/93953/07/2024</t>
  </si>
  <si>
    <t>KHI/HO/D/MO/MC COMP/P/93955/07/2024</t>
  </si>
  <si>
    <t>KHI/HO/D/MO/MC COMP/P/93956/07/2024</t>
  </si>
  <si>
    <t>KHI/HO/D/MO/MC COMP/P/93957/07/2024</t>
  </si>
  <si>
    <t>KHI/HO/D/MO/MC COMP/P/93958/07/2024</t>
  </si>
  <si>
    <t>KHI/HO/D/MO/MC COMP/P/93959/07/2024</t>
  </si>
  <si>
    <t>KHI/HO/D/MO/MC COMP/P/93960/07/2024</t>
  </si>
  <si>
    <t>KHI/HO/D/MO/MC COMP/P/93961/07/2024</t>
  </si>
  <si>
    <t>KHI/HO/D/MO/MC COMP/P/93962/07/2024</t>
  </si>
  <si>
    <t>KHI/HO/D/MO/MC COMP/P/93963/07/2024</t>
  </si>
  <si>
    <t>KHI/HO/D/MO/MC COMP/P/93964/07/2024</t>
  </si>
  <si>
    <t>KHI/HO/D/MO/MC COMP/P/93965/07/2024</t>
  </si>
  <si>
    <t>KHI/HO/D/MO/MC COMP/P/93966/07/2024</t>
  </si>
  <si>
    <t>KHI/HO/D/MO/MC COMP/P/93967/07/2024</t>
  </si>
  <si>
    <t>KHI/HO/D/MO/MC COMP/P/93968/07/2024</t>
  </si>
  <si>
    <t>KHI/HO/D/MO/MC COMP/P/93969/07/2024</t>
  </si>
  <si>
    <t>KHI/HO/D/MO/MC COMP/P/93974/07/2024</t>
  </si>
  <si>
    <t>KHI/HO/D/MO/MC COMP/P/93975/07/2024</t>
  </si>
  <si>
    <t>KHI/HO/D/MO/MC COMP/P/93982/07/2024</t>
  </si>
  <si>
    <t>KHI/HO/D/MO/MC COMP/P/93983/07/2024</t>
  </si>
  <si>
    <t>KHI/HO/D/MO/MC COMP/P/93985/07/2024</t>
  </si>
  <si>
    <t>KHI/HO/D/MO/MC COMP/P/93986/07/2024</t>
  </si>
  <si>
    <t>KHI/HO/D/MO/MC COMP/P/93987/07/2024</t>
  </si>
  <si>
    <t>KHI/HO/D/MO/MC COMP/P/93988/07/2024</t>
  </si>
  <si>
    <t>KHI/HO/D/MO/MC COMP/P/93989/07/2024</t>
  </si>
  <si>
    <t>KHI/HO/D/MO/MC COMP/P/93991/07/2024</t>
  </si>
  <si>
    <t>KHI/HO/D/MO/MC COMP/P/93992/07/2024</t>
  </si>
  <si>
    <t>KHI/HO/D/MO/MC COMP/P/93993/07/2024</t>
  </si>
  <si>
    <t>KHI/HO/D/MO/MC COMP/P/93994/07/2024</t>
  </si>
  <si>
    <t>KHI/HO/D/MO/MC COMP/P/94022/07/2024</t>
  </si>
  <si>
    <t>KHI/HO/D/MO/MC COMP/P/94030/07/2024</t>
  </si>
  <si>
    <t>KHI/HO/D/MO/MC COMP/P/94031/07/2024</t>
  </si>
  <si>
    <t>KHI/HO/D/MO/MC COMP/P/94036/07/2024</t>
  </si>
  <si>
    <t>KHI/HO/D/MO/MC COMP/P/94039/07/2024</t>
  </si>
  <si>
    <t>KHI/HO/D/MO/MC COMP/P/94040/07/2024</t>
  </si>
  <si>
    <t>KHI/HO/D/MO/MC COMP/P/94041/07/2024</t>
  </si>
  <si>
    <t>KHI/HO/D/MO/MC COMP/P/94043/07/2024</t>
  </si>
  <si>
    <t>KHI/HO/D/MO/MC COMP/P/94047/07/2024</t>
  </si>
  <si>
    <t>KHI/HO/D/MO/MC COMP/P/94049/07/2024</t>
  </si>
  <si>
    <t>KHI/HO/D/MO/MC COMP/P/94052/07/2024</t>
  </si>
  <si>
    <t>KHI/HO/D/MO/MC COMP/P/94053/07/2024</t>
  </si>
  <si>
    <t>KHI/HO/D/MO/MC COMP/P/94054/07/2024</t>
  </si>
  <si>
    <t>KHI/HO/D/MO/MC COMP/P/94055/07/2024</t>
  </si>
  <si>
    <t>KHI/HO/D/MO/MC COMP/P/94056/07/2024</t>
  </si>
  <si>
    <t>KHI/HO/D/MO/MC COMP/P/94058/07/2024</t>
  </si>
  <si>
    <t>KHI/HO/D/MO/MC COMP/P/94059/07/2024</t>
  </si>
  <si>
    <t>KHI/HO/D/MO/MC COMP/P/94060/07/2024</t>
  </si>
  <si>
    <t>KHI/HO/D/MO/MC COMP/P/94074/07/2024</t>
  </si>
  <si>
    <t>KHI/HO/D/MO/MC COMP/P/94075/07/2024</t>
  </si>
  <si>
    <t>KHI/HO/D/MO/MC COMP/P/94080/07/2024</t>
  </si>
  <si>
    <t>KHI/HO/D/MO/MC COMP/P/94081/07/2024</t>
  </si>
  <si>
    <t>KHI/HO/D/MO/MC COMP/P/94082/07/2024</t>
  </si>
  <si>
    <t>KHI/HO/D/MO/MC COMP/P/94083/07/2024</t>
  </si>
  <si>
    <t>KHI/HO/D/MO/MC COMP/P/94093/07/2024</t>
  </si>
  <si>
    <t>KHI/HO/D/MO/MC COMP/P/94094/07/2024</t>
  </si>
  <si>
    <t>KHI/HO/D/MO/MC COMP/P/94098/07/2024</t>
  </si>
  <si>
    <t>KHI/HO/D/MO/MC COMP/P/94099/07/2024</t>
  </si>
  <si>
    <t>KHI/HO/D/MO/MC COMP/P/94100/07/2024</t>
  </si>
  <si>
    <t>KHI/HO/D/MO/MC COMP/P/94101/07/2024</t>
  </si>
  <si>
    <t>KHI/HO/D/MO/MC COMP/P/94102/07/2024</t>
  </si>
  <si>
    <t>KHI/HO/D/MO/MC COMP/P/94103/07/2024</t>
  </si>
  <si>
    <t>KHI/HO/D/MO/MC COMP/P/94130/07/2024</t>
  </si>
  <si>
    <t>KHI/HO/D/MO/MC COMP/P/94135/07/2024</t>
  </si>
  <si>
    <t>KHI/HO/D/MO/MC COMP/P/94136/07/2024</t>
  </si>
  <si>
    <t>KHI/HO/D/MO/MC COMP/P/94142/07/2024</t>
  </si>
  <si>
    <t>KHI/HO/D/MO/MC COMP/P/94144/07/2024</t>
  </si>
  <si>
    <t>KHI/HO/D/MO/MC COMP/P/94145/07/2024</t>
  </si>
  <si>
    <t>KHI/HO/D/MO/MC COMP/P/94146/07/2024</t>
  </si>
  <si>
    <t>KHI/HO/D/MO/MC COMP/P/94148/07/2024</t>
  </si>
  <si>
    <t>KHI/HO/D/MO/MC COMP/P/94149/07/2024</t>
  </si>
  <si>
    <t>KHI/HO/D/MO/MC COMP/P/94151/07/2024</t>
  </si>
  <si>
    <t>KHI/HO/D/MO/MC COMP/P/94152/07/2024</t>
  </si>
  <si>
    <t>KHI/HO/D/MO/MC COMP/P/94153/07/2024</t>
  </si>
  <si>
    <t>KHI/HO/D/MO/MC COMP/P/94154/07/2024</t>
  </si>
  <si>
    <t>KHI/HO/D/MO/MC COMP/P/94156/07/2024</t>
  </si>
  <si>
    <t>KHI/HO/D/MO/MC COMP/P/94157/07/2024</t>
  </si>
  <si>
    <t>KHI/HO/D/MO/MC COMP/P/94159/07/2024</t>
  </si>
  <si>
    <t>KHI/HO/D/MO/MC COMP/P/94161/07/2024</t>
  </si>
  <si>
    <t>KHI/HO/D/MO/MC COMP/P/94163/07/2024</t>
  </si>
  <si>
    <t>KHI/HO/D/MO/MC COMP/P/94165/07/2024</t>
  </si>
  <si>
    <t>KHI/HO/D/MO/MC COMP/P/94173/07/2024</t>
  </si>
  <si>
    <t>KHI/HO/D/MO/MC COMP/P/94175/07/2024</t>
  </si>
  <si>
    <t>KHI/HO/D/MO/MC COMP/P/94180/07/2024</t>
  </si>
  <si>
    <t>KHI/HO/D/MO/MC COMP/P/94181/07/2024</t>
  </si>
  <si>
    <t>KHI/HO/D/MO/MC COMP/P/94200/07/2024</t>
  </si>
  <si>
    <t>KHI/HO/D/MO/MC COMP/P/94204/07/2024</t>
  </si>
  <si>
    <t>KHI/HO/D/MO/MC COMP/P/94216/07/2024</t>
  </si>
  <si>
    <t>KHI/HO/D/MO/MC COMP/P/94222/07/2024</t>
  </si>
  <si>
    <t>KHI/HO/D/MO/MC COMP/P/94223/07/2024</t>
  </si>
  <si>
    <t>KHI/HO/D/MO/MC COMP/P/94227/07/2024</t>
  </si>
  <si>
    <t>KHI/HO/D/MO/MC COMP/P/94229/07/2024</t>
  </si>
  <si>
    <t>KHI/HO/D/MO/MC COMP/P/94231/07/2024</t>
  </si>
  <si>
    <t>KHI/HO/D/MO/MC COMP/P/94232/07/2024</t>
  </si>
  <si>
    <t>KHI/HO/D/MO/MC COMP/P/94238/07/2024</t>
  </si>
  <si>
    <t>KHI/HO/D/MO/MC COMP/P/94239/07/2024</t>
  </si>
  <si>
    <t>KHI/HO/D/MO/MC COMP/P/94251/07/2024</t>
  </si>
  <si>
    <t>KHI/HO/D/MO/MC COMP/P/94252/07/2024</t>
  </si>
  <si>
    <t>KHI/HO/D/MO/MC COMP/P/94255/07/2024</t>
  </si>
  <si>
    <t>KHI/HO/D/MO/MC COMP/P/94273/07/2024</t>
  </si>
  <si>
    <t>KHI/HO/D/MO/MC COMP/P/94274/07/2024</t>
  </si>
  <si>
    <t>KHI/HO/D/MO/MC COMP/P/94276/07/2024</t>
  </si>
  <si>
    <t>KHI/HO/D/MO/MC COMP/P/94278/07/2024</t>
  </si>
  <si>
    <t>KHI/HO/D/MO/MC COMP/P/94280/07/2024</t>
  </si>
  <si>
    <t>KHI/HO/D/MO/MC COMP/P/94281/07/2024</t>
  </si>
  <si>
    <t>KHI/HO/D/MO/MC COMP/P/94283/07/2024</t>
  </si>
  <si>
    <t>KHI/HO/D/MO/MC COMP/P/94285/07/2024</t>
  </si>
  <si>
    <t>KHI/HO/D/MO/MC COMP/P/94287/07/2024</t>
  </si>
  <si>
    <t>KHI/HO/D/MO/MC COMP/P/94290/07/2024</t>
  </si>
  <si>
    <t>KHI/HO/D/MO/MC COMP/P/94292/07/2024</t>
  </si>
  <si>
    <t>KHI/HO/D/MO/MC COMP/P/94293/07/2024</t>
  </si>
  <si>
    <t>KHI/HO/D/MO/MC COMP/P/94311/07/2024</t>
  </si>
  <si>
    <t>KHI/HO/D/MO/MC COMP/P/94312/07/2024</t>
  </si>
  <si>
    <t>KHI/HO/D/MO/MC COMP/P/94313/07/2024</t>
  </si>
  <si>
    <t>KHI/HO/D/MO/MC COMP/P/94315/07/2024</t>
  </si>
  <si>
    <t>KHI/HO/D/MO/MC COMP/P/94316/07/2024</t>
  </si>
  <si>
    <t>KHI/HO/D/MO/MC COMP/P/94317/07/2024</t>
  </si>
  <si>
    <t>KHI/HO/D/MO/MC COMP/P/94387/08/2024</t>
  </si>
  <si>
    <t>KHI/HO/D/MO/MC COMP/P/94393/08/2024</t>
  </si>
  <si>
    <t>KHI/HO/D/MO/MC COMP/P/94395/08/2024</t>
  </si>
  <si>
    <t>KHI/HO/D/MO/MC COMP/P/94402/08/2024</t>
  </si>
  <si>
    <t>KHI/HO/D/MO/MC COMP/P/94404/08/2024</t>
  </si>
  <si>
    <t>KHI/HO/D/MO/MC COMP/P/94413/08/2024</t>
  </si>
  <si>
    <t>KHI/HO/D/MO/MC COMP/P/94418/08/2024</t>
  </si>
  <si>
    <t>KHI/HO/D/MO/MC COMP/P/94420/08/2024</t>
  </si>
  <si>
    <t>KHI/HO/D/MO/MC COMP/P/94424/08/2024</t>
  </si>
  <si>
    <t>KHI/HO/D/MO/MC COMP/P/94425/08/2024</t>
  </si>
  <si>
    <t>KHI/HO/D/MO/MC COMP/P/94428/08/2024</t>
  </si>
  <si>
    <t>KHI/HO/D/MO/MC COMP/P/94429/08/2024</t>
  </si>
  <si>
    <t>KHI/HO/D/MO/MC COMP/P/94434/08/2024</t>
  </si>
  <si>
    <t>KHI/HO/D/MO/MC COMP/P/94435/08/2024</t>
  </si>
  <si>
    <t>Gujranwala Suzuki</t>
  </si>
  <si>
    <t>TS Suzuki</t>
  </si>
  <si>
    <t>Direct</t>
  </si>
  <si>
    <t>Suzuki South</t>
  </si>
  <si>
    <t>Suzuki A R</t>
  </si>
  <si>
    <t>ASIF ALI SHAIKH</t>
  </si>
  <si>
    <t>NAVEED AHMED JAFFERI</t>
  </si>
  <si>
    <t>AZHAR ILYAS</t>
  </si>
  <si>
    <t>MUHAMMAD ZISHAN HYDER</t>
  </si>
  <si>
    <t>SYED FAIZAN</t>
  </si>
  <si>
    <t>NAFEES UR REHMAN</t>
  </si>
  <si>
    <t>MALIK HABIB UDDIN</t>
  </si>
  <si>
    <t>MUHAMMAD RASHID PIRZADA</t>
  </si>
  <si>
    <t>SHAIKH ABDUL BASIT</t>
  </si>
  <si>
    <t>MUHAMMAD OVAIS KHAN</t>
  </si>
  <si>
    <t>AHMED KHAN</t>
  </si>
  <si>
    <t>ZAIN MURTAZA</t>
  </si>
  <si>
    <t>KASHAN</t>
  </si>
  <si>
    <t>MUHAMMAD AZEEM</t>
  </si>
  <si>
    <t>Muhammad Asif</t>
  </si>
  <si>
    <t>Salman Illahi</t>
  </si>
  <si>
    <t>Nafees Ahmed Khan</t>
  </si>
  <si>
    <t>Hassan Raza</t>
  </si>
  <si>
    <t>Muhammad Masood Iqbal</t>
  </si>
  <si>
    <t>TAYYAB SULTAN</t>
  </si>
  <si>
    <t>AHSAN SHABBIR SOOMRO</t>
  </si>
  <si>
    <t>KALEEM ULLAH</t>
  </si>
  <si>
    <t>IMRAN QURESHI</t>
  </si>
  <si>
    <t>MUHAMMAD KAZIM</t>
  </si>
  <si>
    <t>HUZAIFA KHAN</t>
  </si>
  <si>
    <t>FAISAL SIDDIQUI</t>
  </si>
  <si>
    <t>NOMAN KHAN</t>
  </si>
  <si>
    <t>IRFAN RASHID</t>
  </si>
  <si>
    <t>TANVEER AHMAD</t>
  </si>
  <si>
    <t>RIZWAN TAHIR</t>
  </si>
  <si>
    <t>MUHAMMAD HASSAN</t>
  </si>
  <si>
    <t>Zohiab Fayyaz</t>
  </si>
  <si>
    <t>ASAD IFTIKHAR</t>
  </si>
  <si>
    <t>MUHAMMAD AWAIS</t>
  </si>
  <si>
    <t>MUHAMMAD UZAIR</t>
  </si>
  <si>
    <t>RANA MUHAMMAD RIZWAN ALI</t>
  </si>
  <si>
    <t>HASSAN GOHAR</t>
  </si>
  <si>
    <t>MUHAMMAD WASEEM SHAIKH</t>
  </si>
  <si>
    <t>MUHAMMAD ZAHEER AFZAL</t>
  </si>
  <si>
    <t>M Asad</t>
  </si>
  <si>
    <t>Nabeel Zahid</t>
  </si>
  <si>
    <t>M Mudassar</t>
  </si>
  <si>
    <t>MUHAMMAD MANAN</t>
  </si>
  <si>
    <t>SHAHZAIB</t>
  </si>
  <si>
    <t>MUBARIS AHMED SHAH</t>
  </si>
  <si>
    <t>Abdul Ghaffar</t>
  </si>
  <si>
    <t>ASIF IQBAL</t>
  </si>
  <si>
    <t>YOUSUF KHAN</t>
  </si>
  <si>
    <t>MUNEER KHAN</t>
  </si>
  <si>
    <t>MUHAMMAD BILA NASEER</t>
  </si>
  <si>
    <t>H.Y. ENTERPRISES</t>
  </si>
  <si>
    <t>LAIQUE AHMED SIDDIQUI</t>
  </si>
  <si>
    <t>HAFIZ MUHAMMAD ABDUL BASIT</t>
  </si>
  <si>
    <t>MUHAMMAD SALMAN SHAHID</t>
  </si>
  <si>
    <t>SYED TALHA MEHMOOD</t>
  </si>
  <si>
    <t>MUHAMMAD FAIZAN SIDDIQUI</t>
  </si>
  <si>
    <t>MUHAMMAD AYAZ JADOON</t>
  </si>
  <si>
    <t>FAISAL SHAHZAD</t>
  </si>
  <si>
    <t>Irfan Ahmed</t>
  </si>
  <si>
    <t>Syed Tasaddiq Hussain Bukhari</t>
  </si>
  <si>
    <t>ABDUL MOIZ</t>
  </si>
  <si>
    <t>NISAR AHMAD</t>
  </si>
  <si>
    <t>MUHAMMAD UMER</t>
  </si>
  <si>
    <t>SHAHZAD MUHAMMAD BIN AMIN</t>
  </si>
  <si>
    <t>AMEER ALI</t>
  </si>
  <si>
    <t>MUHAMMAD SAFI ULLAH RASHEED</t>
  </si>
  <si>
    <t>JAMSHAID ALI</t>
  </si>
  <si>
    <t>Muhammad Shahzaib</t>
  </si>
  <si>
    <t>MUHAMMAD KAMRAN IQBAL</t>
  </si>
  <si>
    <t>MUHAMMAD SULEMAN</t>
  </si>
  <si>
    <t>TANVEER ABBAS</t>
  </si>
  <si>
    <t>MOIN AHMED</t>
  </si>
  <si>
    <t>KHALID AHMED</t>
  </si>
  <si>
    <t>M.AHSAN ARIF</t>
  </si>
  <si>
    <t>NOKHAIZ ALI</t>
  </si>
  <si>
    <t>MUHAMMAD ANWAR</t>
  </si>
  <si>
    <t>MUHAMMAD NAZIM AHMED SIDDIQUI</t>
  </si>
  <si>
    <t>RASHID HUSSAIN</t>
  </si>
  <si>
    <t>TEHMAS KHAN TAREEN</t>
  </si>
  <si>
    <t>RASHAD BUTT</t>
  </si>
  <si>
    <t>Muhammad Zubair</t>
  </si>
  <si>
    <t>Muhammad Waqas Abdul Sattar</t>
  </si>
  <si>
    <t>Mr. Wasif Nadeem</t>
  </si>
  <si>
    <t>Usman Akhter</t>
  </si>
  <si>
    <t>Nadeem Abdullah</t>
  </si>
  <si>
    <t>Abdul Hannan Khokhar</t>
  </si>
  <si>
    <t>UMAR ZAFAR</t>
  </si>
  <si>
    <t>MUHAMMAD IMRAN KHALIL</t>
  </si>
  <si>
    <t>MUHAMMAD BAYAZEED</t>
  </si>
  <si>
    <t>MIRZA MUHAMMAD QAISAR JAVED</t>
  </si>
  <si>
    <t>ZULFIQAR HUSSAIN</t>
  </si>
  <si>
    <t>MUHAMMAD ZAFAR</t>
  </si>
  <si>
    <t>ZULFIQAR AHMED</t>
  </si>
  <si>
    <t>ZAHEER UD DIN AHMAD</t>
  </si>
  <si>
    <t>ZEESHAN WAHED</t>
  </si>
  <si>
    <t>HASEEB MASOOD</t>
  </si>
  <si>
    <t>Zeeshan Ejaz</t>
  </si>
  <si>
    <t>Muhammad Umer Hanif</t>
  </si>
  <si>
    <t>Mr. Sheikh Muddasar Qamar</t>
  </si>
  <si>
    <t>KHURAM SHAHZAD</t>
  </si>
  <si>
    <t>MOHSAM ALEEM</t>
  </si>
  <si>
    <t>Mr. Syed Zeeshan</t>
  </si>
  <si>
    <t>Muhammad Waseem Shah</t>
  </si>
  <si>
    <t>ALTAF HUSSAIN</t>
  </si>
  <si>
    <t>FAISAL IQBAL</t>
  </si>
  <si>
    <t>MUHAMMAD FAIZAN YOUNAS</t>
  </si>
  <si>
    <t>UMAIR SHAHID</t>
  </si>
  <si>
    <t>AMAN ULLAH</t>
  </si>
  <si>
    <t>HAFIZ MUHAMMAD REHAN</t>
  </si>
  <si>
    <t>HAFIZ SHAHRUKH IDREES</t>
  </si>
  <si>
    <t>MUHAMMAD SAAD FAROOQ</t>
  </si>
  <si>
    <t>QAISAR SHAHZAD</t>
  </si>
  <si>
    <t>HAMZA NASEER</t>
  </si>
  <si>
    <t>ASHRAF ALI</t>
  </si>
  <si>
    <t>SAQIB MAJEED</t>
  </si>
  <si>
    <t>MUHAMMAD SULEMAN JAVED</t>
  </si>
  <si>
    <t>MUHAMMAD TAHIR</t>
  </si>
  <si>
    <t>IMRAN ALI</t>
  </si>
  <si>
    <t>MUHAMMAD ARSLAN</t>
  </si>
  <si>
    <t>M.IRSHAD</t>
  </si>
  <si>
    <t>MUHAMMAD KHALID</t>
  </si>
  <si>
    <t>HAFIZ M.MUJAHID</t>
  </si>
  <si>
    <t>NOUMAN</t>
  </si>
  <si>
    <t>MUHAMMAD SALMAN</t>
  </si>
  <si>
    <t>AMMAR FARIDI</t>
  </si>
  <si>
    <t>MUHAMMAD SHAHZAD ASLAM</t>
  </si>
  <si>
    <t>MUHAMMAD IRFAN MAQBOOL</t>
  </si>
  <si>
    <t>RUSTAM ALI</t>
  </si>
  <si>
    <t>MUHAMMAD SHAHID GHAFOOR</t>
  </si>
  <si>
    <t>OWAIS ILYAS</t>
  </si>
  <si>
    <t>MOHSIN ALI</t>
  </si>
  <si>
    <t>HAFIZ ZULQARNAIN HAIDER</t>
  </si>
  <si>
    <t>SYED JARAR HUSSAIN SHAH SABZWARI</t>
  </si>
  <si>
    <t>Muhammad Usman Saleem</t>
  </si>
  <si>
    <t>Asim Ali</t>
  </si>
  <si>
    <t>Mr. Husnain</t>
  </si>
  <si>
    <t>SHAHZADA MUTAHIR JALEEL</t>
  </si>
  <si>
    <t>Mohsin Ali Shahzad</t>
  </si>
  <si>
    <t>Muhammad Arbaz Khan</t>
  </si>
  <si>
    <t>GM GLOBAL</t>
  </si>
  <si>
    <t>Luqman</t>
  </si>
  <si>
    <t>SYED ZOHAIB HAIDER</t>
  </si>
  <si>
    <t>KHALID KHURSHID UL HASSAN</t>
  </si>
  <si>
    <t>S ADNAN IQBAL</t>
  </si>
  <si>
    <t>FAHIM SIKANDER</t>
  </si>
  <si>
    <t>SYED AMMAR ALAM</t>
  </si>
  <si>
    <t>TAYYAB JAVAID</t>
  </si>
  <si>
    <t>MUHAMMAD YASIR</t>
  </si>
  <si>
    <t>MUHAMMAD KASHIF IQBAL</t>
  </si>
  <si>
    <t>MUHAMMAD TALHA RASHEED</t>
  </si>
  <si>
    <t>ATIF ABDUL RAZZAQ</t>
  </si>
  <si>
    <t>MUHAMMAD ILYAS</t>
  </si>
  <si>
    <t>Abdul Waheed</t>
  </si>
  <si>
    <t>Mr. Ameer Hamza</t>
  </si>
  <si>
    <t>Irfan Ali</t>
  </si>
  <si>
    <t>MUHAMMAD ANEES</t>
  </si>
  <si>
    <t>Mr. Muhammad Ali</t>
  </si>
  <si>
    <t>HABIB ULLAH TARIQ</t>
  </si>
  <si>
    <t>Mr. Muhammad Arif</t>
  </si>
  <si>
    <t>Khwaja Khalid Aziz</t>
  </si>
  <si>
    <t>Syed Ahmad Raza</t>
  </si>
  <si>
    <t>Syed Zahid Ul Hassan</t>
  </si>
  <si>
    <t>Mr. Ali Raza</t>
  </si>
  <si>
    <t>FAROOQ AHMAD</t>
  </si>
  <si>
    <t>MUHAMMAD HAROON MALIK</t>
  </si>
  <si>
    <t>AQIB ZAHID</t>
  </si>
  <si>
    <t>KHURRAM NABI UD DIN</t>
  </si>
  <si>
    <t>MUHAMMAD NAQASH PERVAIZ</t>
  </si>
  <si>
    <t>UMER ALI</t>
  </si>
  <si>
    <t>MUHAMMAD RAMZAN SHARIF</t>
  </si>
  <si>
    <t>ABDUL MANAN</t>
  </si>
  <si>
    <t>ABDUL NAEEM</t>
  </si>
  <si>
    <t>MUHAMMAD FARAZ</t>
  </si>
  <si>
    <t>TAHSIN AMJAD</t>
  </si>
  <si>
    <t>SYED JUNAID AZAM SHAH</t>
  </si>
  <si>
    <t>AMIR RAZA</t>
  </si>
  <si>
    <t>SAMEE MUHAMMAD</t>
  </si>
  <si>
    <t>Naveed Serwer</t>
  </si>
  <si>
    <t>NOMAN IJAZ</t>
  </si>
  <si>
    <t>Ahmad Raza</t>
  </si>
  <si>
    <t>MOHIB AHMED</t>
  </si>
  <si>
    <t>Irfan Akbar</t>
  </si>
  <si>
    <t>Sadaqat Ali</t>
  </si>
  <si>
    <t>SALEEM MUHAMMAD KHAN</t>
  </si>
  <si>
    <t>ARSALAN</t>
  </si>
  <si>
    <t>Hassan Hanif</t>
  </si>
  <si>
    <t>MUHAMMAD KAMRAN SIDDIQUI</t>
  </si>
  <si>
    <t>SYED HASAN TAHA</t>
  </si>
  <si>
    <t>MUHAMMAD ZAHID</t>
  </si>
  <si>
    <t>WAQAS AHMED</t>
  </si>
  <si>
    <t>IRFAN</t>
  </si>
  <si>
    <t>SYED LAIQ ALI</t>
  </si>
  <si>
    <t>AAFAQ AHMAD KHAN</t>
  </si>
  <si>
    <t>MUHAMMAD ADNAN SHAHZAD</t>
  </si>
  <si>
    <t>SHAHZAD ALI</t>
  </si>
  <si>
    <t>RASHID MEHMOOD</t>
  </si>
  <si>
    <t>MUHAMMAD AHMED IQBAL SHEIKH</t>
  </si>
  <si>
    <t>Muhammad Sadiq</t>
  </si>
  <si>
    <t>Mr. Hamza Sohail</t>
  </si>
  <si>
    <t>Mr. Habib Ullah</t>
  </si>
  <si>
    <t>Mr. Muhammad Amin</t>
  </si>
  <si>
    <t>Mr. Abu Bakar Siddique</t>
  </si>
  <si>
    <t>SHAHID AKRAM</t>
  </si>
  <si>
    <t>Mr. Waqar Hassan</t>
  </si>
  <si>
    <t>DANISH</t>
  </si>
  <si>
    <t>Muhammad Naseem Butt</t>
  </si>
  <si>
    <t>TANVEER AHMED ENTERPRISES</t>
  </si>
  <si>
    <t>HASSAN RAZA AHMAD</t>
  </si>
  <si>
    <t>MUHAMMAD KASHIF KHAN</t>
  </si>
  <si>
    <t>Mr. Muhammad Awais</t>
  </si>
  <si>
    <t>HASHIR ZAHEER</t>
  </si>
  <si>
    <t>ZEESHAN ALI</t>
  </si>
  <si>
    <t>MAZHAR HAIDER</t>
  </si>
  <si>
    <t>DANISH LAIQUE</t>
  </si>
  <si>
    <t>SHEES AHMAD</t>
  </si>
  <si>
    <t>SOHAIB ZAFAR</t>
  </si>
  <si>
    <t>SHAHZAD SABIR</t>
  </si>
  <si>
    <t>MUHAMMAD SHUJAAT HUSSAIN</t>
  </si>
  <si>
    <t>Muhammad Hassan Masood</t>
  </si>
  <si>
    <t>Faiz Muhammad</t>
  </si>
  <si>
    <t>Muhammad Zubair Soomro</t>
  </si>
  <si>
    <t>MASHHOOD</t>
  </si>
  <si>
    <t>MOHID AMIN JANGDA</t>
  </si>
  <si>
    <t>EMAN MAQSOOD</t>
  </si>
  <si>
    <t>SALEEM ULLAH KHAN</t>
  </si>
  <si>
    <t>S ASIF ALI</t>
  </si>
  <si>
    <t>MUSTAFA</t>
  </si>
  <si>
    <t>NAWAB ALI KHAN</t>
  </si>
  <si>
    <t>MERAJ AHMED</t>
  </si>
  <si>
    <t>NAVEED AHMED</t>
  </si>
  <si>
    <t>SYED AQEEL RAZA</t>
  </si>
  <si>
    <t>Muhammad Waseem Abbas</t>
  </si>
  <si>
    <t>MUHAMMAD IRFAN ANDHI</t>
  </si>
  <si>
    <t>MUHAMMAD AYUB SHEKHANI</t>
  </si>
  <si>
    <t>Muhammad Bilal</t>
  </si>
  <si>
    <t>USAMA AMEEN</t>
  </si>
  <si>
    <t>Khalid Aslam</t>
  </si>
  <si>
    <t>MUHAMMAD ZEESHAN AKRAM</t>
  </si>
  <si>
    <t>Sarim Nadeem</t>
  </si>
  <si>
    <t>YASIR JAMAL</t>
  </si>
  <si>
    <t>SYED ALI JAN SHAH NAQVI</t>
  </si>
  <si>
    <t>MUHAMMAD SUFIYAN MANSOORI</t>
  </si>
  <si>
    <t>ABID SALEEM AGHA</t>
  </si>
  <si>
    <t>MUHAMMAD JAMAL</t>
  </si>
  <si>
    <t>UMAIR ANSARI</t>
  </si>
  <si>
    <t>HASSAN AHMED</t>
  </si>
  <si>
    <t>AMIR MUNAWAR</t>
  </si>
  <si>
    <t>SYED EJAZ HUSSAIN SHAH</t>
  </si>
  <si>
    <t>JAWWAD AHMED USMANI</t>
  </si>
  <si>
    <t>MUHAMMAD HAROON</t>
  </si>
  <si>
    <t>ATHER AKBAR</t>
  </si>
  <si>
    <t>MUHAMMAD SUFYAN</t>
  </si>
  <si>
    <t>FARZAN AHMED</t>
  </si>
  <si>
    <t>ASAD SAUD</t>
  </si>
  <si>
    <t>ASGHAR HUSSAIN</t>
  </si>
  <si>
    <t>ASIF SUHAIL</t>
  </si>
  <si>
    <t>Muhammad Aslam</t>
  </si>
  <si>
    <t>SYED IRTIZA HUSSAIN ZAIDI</t>
  </si>
  <si>
    <t>REHAN MEHBOOB ALAM</t>
  </si>
  <si>
    <t>MUHAMMAD FAISAL KHAN</t>
  </si>
  <si>
    <t>M Hanif Raza</t>
  </si>
  <si>
    <t>IMRAN SABIR KHAN</t>
  </si>
  <si>
    <t>MUHAMMAD ARSALAN KHAN</t>
  </si>
  <si>
    <t>Shahid Maqbool</t>
  </si>
  <si>
    <t>MUHAMMAD ZARAR KHAN</t>
  </si>
  <si>
    <t>MUHAMMAD ASLAM</t>
  </si>
  <si>
    <t>HAMMAD SHAHID</t>
  </si>
  <si>
    <t>HAKIM ALI</t>
  </si>
  <si>
    <t>SAJJAD QURESHI</t>
  </si>
  <si>
    <t>ARSLAN SAEED</t>
  </si>
  <si>
    <t>ATIF ALI</t>
  </si>
  <si>
    <t>BABAR KHAN</t>
  </si>
  <si>
    <t>Gulzar Ahmad</t>
  </si>
  <si>
    <t>HABEEL ASHRAF</t>
  </si>
  <si>
    <t>MOEEZ AKRAM</t>
  </si>
  <si>
    <t>SUFYAN LATIF S/O M.LATIF</t>
  </si>
  <si>
    <t>SHOUKAT IQBAL</t>
  </si>
  <si>
    <t>JAWED MAKDA</t>
  </si>
  <si>
    <t>MUHAMMAD SUMAID NAEEM</t>
  </si>
  <si>
    <t>MUHAMMAD TAHA AHMED KHAN</t>
  </si>
  <si>
    <t>SYED MUSA RAZA S/O SYED MASUD HASSAN</t>
  </si>
  <si>
    <t>WAJAHAT AHMED KHAN</t>
  </si>
  <si>
    <t>ANEEQ JAMAL</t>
  </si>
  <si>
    <t>GLOBAL QUALITY FOODS (PVT.) LTD.</t>
  </si>
  <si>
    <t>JAFAR SAEED</t>
  </si>
  <si>
    <t>MUHAMMAD AQEEL JAFAR</t>
  </si>
  <si>
    <t>MUHAMMAD ABUBAKAR</t>
  </si>
  <si>
    <t>SAIM ANWAR</t>
  </si>
  <si>
    <t>IMRAN BADAR</t>
  </si>
  <si>
    <t>MIAN AFZAL</t>
  </si>
  <si>
    <t>MUHAMMAD SANAN BIN SHAHID</t>
  </si>
  <si>
    <t>MEHDI RAZA</t>
  </si>
  <si>
    <t>FAISAL AHMAD</t>
  </si>
  <si>
    <t>MUHAMMAD KASHAN</t>
  </si>
  <si>
    <t>M Asghar Javed</t>
  </si>
  <si>
    <t>ZAHID SAHIB CHEEMA</t>
  </si>
  <si>
    <t>ABDUL RAUF BUTT</t>
  </si>
  <si>
    <t>HAFIZ MUHAMMAD ADNAN</t>
  </si>
  <si>
    <t>RAJESH</t>
  </si>
  <si>
    <t>MUHAMMAD NOMAN MOHSIN</t>
  </si>
  <si>
    <t>MIRZA ADEEL ANWAR</t>
  </si>
  <si>
    <t>ABID SARFARAZ</t>
  </si>
  <si>
    <t>HAMMAD EJAZ</t>
  </si>
  <si>
    <t>REHAN MATEN</t>
  </si>
  <si>
    <t>MALIK MUHAMMAD BILAL</t>
  </si>
  <si>
    <t>USMAN AHMAD MALIK</t>
  </si>
  <si>
    <t>NAVEED LIAQAT</t>
  </si>
  <si>
    <t>TAHIR USMAN</t>
  </si>
  <si>
    <t>MUHAMMAD YOUSUF</t>
  </si>
  <si>
    <t>MOHSIN ASIM</t>
  </si>
  <si>
    <t>MUHAMMAD SHOAIB ZUBAIR</t>
  </si>
  <si>
    <t>MUHAMMAD AFNAN</t>
  </si>
  <si>
    <t>TAHA ARSHAD KHAN</t>
  </si>
  <si>
    <t>M.MAQSOOD</t>
  </si>
  <si>
    <t>TALHA RAJPUT</t>
  </si>
  <si>
    <t>SYED MUHAMMAD UMAIR</t>
  </si>
  <si>
    <t>M.AKBAR</t>
  </si>
  <si>
    <t>WALEED MUNAWAR</t>
  </si>
  <si>
    <t>HAMZA MALIK</t>
  </si>
  <si>
    <t>MUHAMMAD ADNAN ASLAM</t>
  </si>
  <si>
    <t>JAHANZER ALI KHAN</t>
  </si>
  <si>
    <t>MUHAMMAD HUSSAIN</t>
  </si>
  <si>
    <t>ARSALAN HAFEEZ</t>
  </si>
  <si>
    <t>HAMZA CHAUDHARY</t>
  </si>
  <si>
    <t>HASSAN AHMED SHAIKH</t>
  </si>
  <si>
    <t>ALI BALOCH</t>
  </si>
  <si>
    <t>MADNI RAZA</t>
  </si>
  <si>
    <t>GHIAS AHMED</t>
  </si>
  <si>
    <t>SYED RASHID ALI</t>
  </si>
  <si>
    <t>DILAWAR HUSSAIN</t>
  </si>
  <si>
    <t>HASEEB</t>
  </si>
  <si>
    <t>HAFIZ RAMEEZ REHMAN</t>
  </si>
  <si>
    <t>NAVEED AKBAR</t>
  </si>
  <si>
    <t>HASSAN ASGHAR</t>
  </si>
  <si>
    <t>SHAHID NADEEM</t>
  </si>
  <si>
    <t>HAMZA ARSHAD</t>
  </si>
  <si>
    <t>ANUS NAZIR</t>
  </si>
  <si>
    <t>MUBEEN RAEES</t>
  </si>
  <si>
    <t>TAHIR MANZOOR BUTT</t>
  </si>
  <si>
    <t>ZOHAIB UMAR</t>
  </si>
  <si>
    <t>ABDUL HASEEB</t>
  </si>
  <si>
    <t>TANZEEL HUSSAIN</t>
  </si>
  <si>
    <t>ASHFAQ ALI</t>
  </si>
  <si>
    <t>ZUBAIR KHAWAR</t>
  </si>
  <si>
    <t>SULMAN LIAQUAT</t>
  </si>
  <si>
    <t>Hafiz M Rizwan</t>
  </si>
  <si>
    <t>ZESHAN</t>
  </si>
  <si>
    <t>SHAHZADA KHURRAM JAVED</t>
  </si>
  <si>
    <t>Muhammad Shehzad</t>
  </si>
  <si>
    <t>TAHIR ABBAS NAQVI</t>
  </si>
  <si>
    <t>ZUBAIR MAIRAJ</t>
  </si>
  <si>
    <t>BILAL</t>
  </si>
  <si>
    <t>MUHAMMAD WAQAS IQBAL</t>
  </si>
  <si>
    <t>SABIR HUSSAIN</t>
  </si>
  <si>
    <t>SYED ZEESHAN HUSSAIN</t>
  </si>
  <si>
    <t>AHMED ALI SIDDIQUI</t>
  </si>
  <si>
    <t>M.JUNAID ASGHAR</t>
  </si>
  <si>
    <t>RUSTAM KHAN</t>
  </si>
  <si>
    <t>MOIZ HUSSAIN</t>
  </si>
  <si>
    <t>IRFAN MUSHTAQ RATHORE</t>
  </si>
  <si>
    <t>NAZIR AHMAD</t>
  </si>
  <si>
    <t>Jameel Muhammad</t>
  </si>
  <si>
    <t>HAMZA ABDULLAH</t>
  </si>
  <si>
    <t>MURSALEEN KHAN</t>
  </si>
  <si>
    <t>ZUMMAR JAVED</t>
  </si>
  <si>
    <t>MUHAMAMD AYUB</t>
  </si>
  <si>
    <t>DANIYAL AYAZ</t>
  </si>
  <si>
    <t>SOHAIL AHMED QADRI</t>
  </si>
  <si>
    <t>KHALIQUE BASHIR</t>
  </si>
  <si>
    <t>SHAHMEER AFTAB</t>
  </si>
  <si>
    <t>AMIR ALI QADRI</t>
  </si>
  <si>
    <t>Mr. Saad Ahmed Khan
CNIC No. 42201-1604002-9
Cell No. 0333-0325178</t>
  </si>
  <si>
    <t>abdul khaliq khanzada</t>
  </si>
  <si>
    <t>ATTEEQ UR REHMAN</t>
  </si>
  <si>
    <t>SAJJAD</t>
  </si>
  <si>
    <t>MUHAMMAD ISHFAQ</t>
  </si>
  <si>
    <t>SHEIKH KHALID BASHIR</t>
  </si>
  <si>
    <t>WAQAS UR REHMAN SHAMSI</t>
  </si>
  <si>
    <t>SHERAZ MANZOOR</t>
  </si>
  <si>
    <t>MUHAMMAD MUJTABA NAVEED</t>
  </si>
  <si>
    <t>KHURRAM ALI KHAN</t>
  </si>
  <si>
    <t>RAZA HASSAN</t>
  </si>
  <si>
    <t>SHAHEEN SERVICES</t>
  </si>
  <si>
    <t>Mr. Usama Bin Nayyar</t>
  </si>
  <si>
    <t>Meer Humza</t>
  </si>
  <si>
    <t>Mr. Ehtasham Ul Haq</t>
  </si>
  <si>
    <t>Rana Zahoor Ul Hassan</t>
  </si>
  <si>
    <t>MUHAMMAD FURQAN SHAHID</t>
  </si>
  <si>
    <t>MUHAMMAD JAVED</t>
  </si>
  <si>
    <t>AHMED AZIZ</t>
  </si>
  <si>
    <t>NASEEM AKHTAR</t>
  </si>
  <si>
    <t>KASHIF SHAIKH</t>
  </si>
  <si>
    <t>SUFYAN NAWAZ DAHAR</t>
  </si>
  <si>
    <t>MAQBOOL AHMED</t>
  </si>
  <si>
    <t>MUHAMMAD ATIQUE</t>
  </si>
  <si>
    <t>MUHAMMAD SOHAIL ABBAS</t>
  </si>
  <si>
    <t>ADNAN AHMAD</t>
  </si>
  <si>
    <t>NAZIM</t>
  </si>
  <si>
    <t>WAJAHAT AHMAD</t>
  </si>
  <si>
    <t>KHALID MAHMOOD</t>
  </si>
  <si>
    <t>MUHAMMAD KAIF ASLAM</t>
  </si>
  <si>
    <t>Mr. Umair Akram</t>
  </si>
  <si>
    <t>SHEHYAR</t>
  </si>
  <si>
    <t>MUHAMMAD ANWAR UL HAQ</t>
  </si>
  <si>
    <t>MUHAMMAD ASHRAF</t>
  </si>
  <si>
    <t>OBAID KHALID</t>
  </si>
  <si>
    <t>SHAHBAZ ALI</t>
  </si>
  <si>
    <t>JALAL KHAN HASHMI</t>
  </si>
  <si>
    <t>KASHAN ALI</t>
  </si>
  <si>
    <t>SHAWAIZ KHAN GHOURI</t>
  </si>
  <si>
    <t>FARHAN USMAN</t>
  </si>
  <si>
    <t>KHURRAM HANIF</t>
  </si>
  <si>
    <t>FAISAL MUHAMMAD AYUB</t>
  </si>
  <si>
    <t>SYED JAMAL SHAH</t>
  </si>
  <si>
    <t>SADAR AZAM</t>
  </si>
  <si>
    <t>ZAHID IQBAL</t>
  </si>
  <si>
    <t>NAUMAN SHEHZAD</t>
  </si>
  <si>
    <t>UBAID ULLAH ARSHAD</t>
  </si>
  <si>
    <t>MUHAMMAD BILAL ASHRAF</t>
  </si>
  <si>
    <t>SHAH NAWAZ KHAN</t>
  </si>
  <si>
    <t>MUHAMMAD JAWAD</t>
  </si>
  <si>
    <t>SAMEER KHAN</t>
  </si>
  <si>
    <t>UZMA MAHAR</t>
  </si>
  <si>
    <t>AZHAR HUSSAIN</t>
  </si>
  <si>
    <t>SHUJAAT HUSSAIN</t>
  </si>
  <si>
    <t>NAQASH</t>
  </si>
  <si>
    <t xml:space="preserve"> MUHAMMAD USAMA AFRIN</t>
  </si>
  <si>
    <t>MUHAMMAD ASAD HASSAN</t>
  </si>
  <si>
    <t>HAFIZ RANA KHALIL UR REHMAN</t>
  </si>
  <si>
    <t>HARIS MUHAMMAD SHEIKH</t>
  </si>
  <si>
    <t>MUHAMMAD NAEEM IBRAHIM</t>
  </si>
  <si>
    <t>AKASH AHMED</t>
  </si>
  <si>
    <t>AHMAD ALI</t>
  </si>
  <si>
    <t>SHAHID HUSSAIN</t>
  </si>
  <si>
    <t>ABDUL RASHEED</t>
  </si>
  <si>
    <t>RASHID MEHBOOB</t>
  </si>
  <si>
    <t>Akram Badshah</t>
  </si>
  <si>
    <t>MUHAMMAD KASHIF SIKANDAR</t>
  </si>
  <si>
    <t>ABDUL NUMAN</t>
  </si>
  <si>
    <t>FARHAN UL HAQ</t>
  </si>
  <si>
    <t>MUHAMMAD AHTASHAM</t>
  </si>
  <si>
    <t>SOHAIL SADIQ</t>
  </si>
  <si>
    <t>MUHAMMAD DANIYAL MUNIR</t>
  </si>
  <si>
    <t>SYED KAMRAN PEER ZADA</t>
  </si>
  <si>
    <t>SHOAIB KHAN GHOURI</t>
  </si>
  <si>
    <t>DANYAL EJAZ</t>
  </si>
  <si>
    <t>Muhammad Husnain Maqbool</t>
  </si>
  <si>
    <t>MUHAMMAD SADIQ PASHA</t>
  </si>
  <si>
    <t>ABDUL MAJID</t>
  </si>
  <si>
    <t>WAHEED BASHIR</t>
  </si>
  <si>
    <t>TAHA BIN YOUSUF</t>
  </si>
  <si>
    <t>MUBARAK ALI</t>
  </si>
  <si>
    <t>UZMA NOREEN</t>
  </si>
  <si>
    <t>AHMED HUSSAIN</t>
  </si>
  <si>
    <t>MUHAMMAD IKRAM TAHIR</t>
  </si>
  <si>
    <t>ZAKA MOHY UD DIN</t>
  </si>
  <si>
    <t>MAQSOOD
CNIC # 42301-3423285-1
CELL # 0331-2321453</t>
  </si>
  <si>
    <t>SYED USAMA IQTIDAR</t>
  </si>
  <si>
    <t>MUHAMMAD BILAL MANSOORI</t>
  </si>
  <si>
    <t>MOHSIN AHMED KHAN</t>
  </si>
  <si>
    <t>HADI HAMMAD ALI SYED</t>
  </si>
  <si>
    <t>SHIPNERS SHIPPING &amp; AGENCIES PVT LTD</t>
  </si>
  <si>
    <t>MUHAMMAD ARIF</t>
  </si>
  <si>
    <t>AFSAR AHMED</t>
  </si>
  <si>
    <t>HASHAM AHMED</t>
  </si>
  <si>
    <t>AYAZ MUNAWAR</t>
  </si>
  <si>
    <t>ZAID BIN JAVED</t>
  </si>
  <si>
    <t>IRFAN NAZIR S/O NAZIR AHMED</t>
  </si>
  <si>
    <t>WAJAHAT BAIG</t>
  </si>
  <si>
    <t>MUHAMMAD RAHEEL</t>
  </si>
  <si>
    <t>MUHAMMAD SHAHBAZ MAJEED</t>
  </si>
  <si>
    <t>ADNAN HANIF</t>
  </si>
  <si>
    <t>MUHAMMAD MOHIB SHAFIQ</t>
  </si>
  <si>
    <t>Hanzlah</t>
  </si>
  <si>
    <t>Rajab Ali</t>
  </si>
  <si>
    <t>Abid Razzak Shiwani</t>
  </si>
  <si>
    <t>ARSHAD MAHMOOD S/O MUHAMMAD HUSSAIN</t>
  </si>
  <si>
    <t>MUHAMMAD HUSNAIN</t>
  </si>
  <si>
    <t>SAMI KHAN BALOCH</t>
  </si>
  <si>
    <t>SYED DANISH AHMED</t>
  </si>
  <si>
    <t>ZEESHAN WAJID</t>
  </si>
  <si>
    <t>MUHAMMAD SARWAR</t>
  </si>
  <si>
    <t>MUHAMMAD MUSTAFA</t>
  </si>
  <si>
    <t>MUHAMMAD QAISER</t>
  </si>
  <si>
    <t>ZAHOOR AHMED</t>
  </si>
  <si>
    <t>MUHAMMAD MURSALEEN</t>
  </si>
  <si>
    <t>MUHAMMAD ADEEL</t>
  </si>
  <si>
    <t>MESUM RAZA</t>
  </si>
  <si>
    <t>GITREEF AKRAM</t>
  </si>
  <si>
    <t>NAJAM UL ISLAM</t>
  </si>
  <si>
    <t>NAVEED RIAZ</t>
  </si>
  <si>
    <t>AMIR NAWAZ</t>
  </si>
  <si>
    <t>NADEEM IQBAL</t>
  </si>
  <si>
    <t>DANIAL BASHIR</t>
  </si>
  <si>
    <t>ATTEQUR REHMAN</t>
  </si>
  <si>
    <t>MOHSAN IMTIAZ</t>
  </si>
  <si>
    <t>GULFAM NAFEES</t>
  </si>
  <si>
    <t>AMAAN ALI</t>
  </si>
  <si>
    <t>MUHAMMAD TOUQEER IQBAL</t>
  </si>
  <si>
    <t>MUHAMMAD AZAM</t>
  </si>
  <si>
    <t>MUHAMMAD WAHEED AHMAD</t>
  </si>
  <si>
    <t>EHSAN UL HAQ</t>
  </si>
  <si>
    <t>ASHAR NAWAZ</t>
  </si>
  <si>
    <t>MUHAMMAD YOUSAF</t>
  </si>
  <si>
    <t>Shamil Rauf</t>
  </si>
  <si>
    <t>Ghulam Fareed</t>
  </si>
  <si>
    <t>ARBAZ AHMAD S/O MUHAMMAD ARSHAD</t>
  </si>
  <si>
    <t>ADIL IFTIKHAR</t>
  </si>
  <si>
    <t>JAMSHED ARSHAD S/O MUHAMMAD ARSHAD</t>
  </si>
  <si>
    <t>FARHAN BARI</t>
  </si>
  <si>
    <t>NADIR AHMED</t>
  </si>
  <si>
    <t>KHURAM IBRAR BUTT</t>
  </si>
  <si>
    <t>TALHA FAROOQ</t>
  </si>
  <si>
    <t>FARAZ AKRAM</t>
  </si>
  <si>
    <t>SAHRISH ASHRAF</t>
  </si>
  <si>
    <t>Syed Wamiq Ali</t>
  </si>
  <si>
    <t>ABDUL RAUF</t>
  </si>
  <si>
    <t>FAISAL IDREES</t>
  </si>
  <si>
    <t>MUHAMMAD ABDULLAH BHATTI</t>
  </si>
  <si>
    <t>MUHAMMAD AHTISHAM</t>
  </si>
  <si>
    <t>UMAIR MEHMOOD</t>
  </si>
  <si>
    <t>MUHAMMAD SHAHZAIB</t>
  </si>
  <si>
    <t>DAMEER SAIF</t>
  </si>
  <si>
    <t>MUHAMMAD MUKHTAR</t>
  </si>
  <si>
    <t>Muhammad Awais Ali</t>
  </si>
  <si>
    <t>UMAR MAHMOOD BUTT</t>
  </si>
  <si>
    <t>M Arslan Anjum</t>
  </si>
  <si>
    <t>UMAIR</t>
  </si>
  <si>
    <t>UMAIR ALI</t>
  </si>
  <si>
    <t>FAIZAN RAZA</t>
  </si>
  <si>
    <t>Amir Illyas</t>
  </si>
  <si>
    <t>Maqsood Qadir</t>
  </si>
  <si>
    <t>NAEEM AHMED</t>
  </si>
  <si>
    <t>ABDUL QADIR</t>
  </si>
  <si>
    <t>USAMA BIN YOUSAF</t>
  </si>
  <si>
    <t>ADNAN ALI</t>
  </si>
  <si>
    <t>M. MUZAMMAL HUSSAIN</t>
  </si>
  <si>
    <t>HAFEEZ ULLAH</t>
  </si>
  <si>
    <t>MUSTAFA KHAN</t>
  </si>
  <si>
    <t>M. NEAAM TARIQ</t>
  </si>
  <si>
    <t>SHAHID SAJAN</t>
  </si>
  <si>
    <t>M Naeem Aslam</t>
  </si>
  <si>
    <t>HASSAN MAHMOOD S/O SULTAN MAHMOOD</t>
  </si>
  <si>
    <t>MUHAMMAD SALAHUDDIN</t>
  </si>
  <si>
    <t>MUHAMMAD IBRAHIM</t>
  </si>
  <si>
    <t>MUHAMMAD ARSALN</t>
  </si>
  <si>
    <t>MUHAMMAD HASSAN ILYAS</t>
  </si>
  <si>
    <t>Majid Ahmed</t>
  </si>
  <si>
    <t>HASHAM NAJAM</t>
  </si>
  <si>
    <t>AMIN UDDIN</t>
  </si>
  <si>
    <t>GHULAM SABIR</t>
  </si>
  <si>
    <t>WASEEM AKRAM</t>
  </si>
  <si>
    <t>M. SHAHBAZ</t>
  </si>
  <si>
    <t>ATTA MUHAMMAD</t>
  </si>
  <si>
    <t>Amin</t>
  </si>
  <si>
    <t>MIRZA SULEMAN BAIG</t>
  </si>
  <si>
    <t>MOAZZAM ALI</t>
  </si>
  <si>
    <t>AMIR ALI KHAN</t>
  </si>
  <si>
    <t>SOHAIL AHMED</t>
  </si>
  <si>
    <t>MUHAMMAD JUNAID</t>
  </si>
  <si>
    <t>RUKHSANA SHAHID</t>
  </si>
  <si>
    <t>HUNAIN AHMED</t>
  </si>
  <si>
    <t>RIZWAN QURESHI</t>
  </si>
  <si>
    <t>MUHAMMAD USMAN SHAHID</t>
  </si>
  <si>
    <t>GHULAM AKBAR</t>
  </si>
  <si>
    <t>Naeem Sarwar</t>
  </si>
  <si>
    <t>Imdad Ammar Sherazo</t>
  </si>
  <si>
    <t>HAIDER ALI</t>
  </si>
  <si>
    <t>MUHAMMAD SAJID JAVED</t>
  </si>
  <si>
    <t>SYED ASHAR ALI</t>
  </si>
  <si>
    <t>ASAD ULLAH</t>
  </si>
  <si>
    <t>Syed Taha Abbas Naqvi</t>
  </si>
  <si>
    <t>PARSHAN KUMAR</t>
  </si>
  <si>
    <t>ABDUL RAUF MANZOOR</t>
  </si>
  <si>
    <t>Muhammad Yaseen</t>
  </si>
  <si>
    <t>ANAS</t>
  </si>
  <si>
    <t>ADNAN SALEEM</t>
  </si>
  <si>
    <t>SAJJAD AKMAL</t>
  </si>
  <si>
    <t>NAVEED AHMAD</t>
  </si>
  <si>
    <t>MUNIR HUSNAIN</t>
  </si>
  <si>
    <t>MUHAMMAD TAHIR MUNIR</t>
  </si>
  <si>
    <t>ASIF WAHEED</t>
  </si>
  <si>
    <t>SAHHAM RAGADIA</t>
  </si>
  <si>
    <t>ALEEZAR KHOKHAR</t>
  </si>
  <si>
    <t>SHAHID ENGINEERING WORKS</t>
  </si>
  <si>
    <t>YOUSAF KHAN</t>
  </si>
  <si>
    <t>QAMAR ABBAS</t>
  </si>
  <si>
    <t>TAHIR AZIZ</t>
  </si>
  <si>
    <t>ZAFAR IQBAL</t>
  </si>
  <si>
    <t>MUHAMAMD TAYYAB</t>
  </si>
  <si>
    <t>RIZWAN</t>
  </si>
  <si>
    <t>HUNAIN TARIQ ASIF</t>
  </si>
  <si>
    <t>AHMAD RIAZ</t>
  </si>
  <si>
    <t>MUHAMMAD FAROOQ</t>
  </si>
  <si>
    <t>INAMU ULLAH</t>
  </si>
  <si>
    <t>RANA NAEEM</t>
  </si>
  <si>
    <t>MUHAMMAD WAQAR</t>
  </si>
  <si>
    <t>MALIK MUHAMMAD FAISAL</t>
  </si>
  <si>
    <t>CH MUHAMMAD USMAN</t>
  </si>
  <si>
    <t>AFAQ AFSAR</t>
  </si>
  <si>
    <t>NASIR ALI</t>
  </si>
  <si>
    <t>ZEESHAN AHMAD</t>
  </si>
  <si>
    <t>RANA MUHAMMAD AHMAD JAVED</t>
  </si>
  <si>
    <t>SAKNDAR E AZAM</t>
  </si>
  <si>
    <t>SUFYAN AHMAD</t>
  </si>
  <si>
    <t>AMMAD ALI</t>
  </si>
  <si>
    <t>RIAZ AHMAD</t>
  </si>
  <si>
    <t>HAIDER RAZA</t>
  </si>
  <si>
    <t>ZAHID SIDDIQUE</t>
  </si>
  <si>
    <t>MUHAMMAD SAAD TARIQ</t>
  </si>
  <si>
    <t>MUHAMMAD SHUBAN</t>
  </si>
  <si>
    <t>SALMAN HANIF</t>
  </si>
  <si>
    <t>LIAQAT ALI</t>
  </si>
  <si>
    <t>ANAS MANZOOR</t>
  </si>
  <si>
    <t>JUNAID AHMED</t>
  </si>
  <si>
    <t>MUHAMMAD BILAL BALOCH</t>
  </si>
  <si>
    <t>FAISAL IMRAN S/O MALIK MUHAMMAD ASHRAF</t>
  </si>
  <si>
    <t>MUHAMMAD ILYAS JAN</t>
  </si>
  <si>
    <t>MEHAR WASIQ TAHIR</t>
  </si>
  <si>
    <t>SYED QAISAR HUSSAIN SHAH</t>
  </si>
  <si>
    <t>DAWOOD FAROOQ</t>
  </si>
  <si>
    <t>Dilawar Khan# 42101-2306803-1</t>
  </si>
  <si>
    <t>MUHAMMAD SUFIYAN SHEKIH</t>
  </si>
  <si>
    <t>DYNAMIC SUPPLY CHAIN
CNIC # 42101-4985208-9
CELL # 0321-2238529 / 0333-3800537</t>
  </si>
  <si>
    <t>SHEIKH MUHAMMAD YOUSUF MAGOON</t>
  </si>
  <si>
    <t>MUHAMMAD SALEEM
CNIC # 42301-0907430-1
CELL # 0322-4344412 / 0312-4344412</t>
  </si>
  <si>
    <t>OWAIS ALI</t>
  </si>
  <si>
    <t>SYED MUHAMMAD ARSHAD</t>
  </si>
  <si>
    <t>Muhammad Abdullah Chundrigar</t>
  </si>
  <si>
    <t>Shoaib Hussain</t>
  </si>
  <si>
    <t>MUHAMMMAD ZUBAIR</t>
  </si>
  <si>
    <t>SAEED REHMAN</t>
  </si>
  <si>
    <t>SYED KHIZAR HAYAT</t>
  </si>
  <si>
    <t>MUHAMMAD MASOOM MUGHAL</t>
  </si>
  <si>
    <t>MUHAMMAD MUJTABA ASLAM</t>
  </si>
  <si>
    <t>WASEEM ALI</t>
  </si>
  <si>
    <t>MUHAMMAD SALIH SIDDIQUE</t>
  </si>
  <si>
    <t>FAIZAN</t>
  </si>
  <si>
    <t>NUSRAT UL HAQ BUTT</t>
  </si>
  <si>
    <t>ASIF KHAN</t>
  </si>
  <si>
    <t>ADNAN</t>
  </si>
  <si>
    <t>MURTAZA</t>
  </si>
  <si>
    <t>Muhammad Imran(4230123850919)</t>
  </si>
  <si>
    <t>KHURRAM SAEED</t>
  </si>
  <si>
    <t>Muhammad Waqas
CNIC # 42201-1052500-9
CELL # 0321-2528707</t>
  </si>
  <si>
    <t>Abdul Qadeer
CNIC # 42201-5617304-3
CELL # 0315-9998590</t>
  </si>
  <si>
    <t>Muhammad Anas
CNIC # 42201-5025020-9
CELL # 0346-3117773</t>
  </si>
  <si>
    <t>Muhammad Aizaz Khan
CNIC # 42201-5645312-3
CELL # 03133624050</t>
  </si>
  <si>
    <t>Muhammad Rizwan
CNIC # 42201-7045226-7
CELL # 03453204801</t>
  </si>
  <si>
    <t>Muhammad Shakeel
CNIC # 42201-5644759-9
CELL # 03161273500</t>
  </si>
  <si>
    <t>Muhammad Anas
CNIC #  42201-5025020-9
CELL #  0346-3117773</t>
  </si>
  <si>
    <t>Muhammad Shoukat 
CNIC # 42201-3918577-1
CELL # 0322-2229975</t>
  </si>
  <si>
    <t>Rauf Zaman
CNIC # 42201-0424544-9
CELL # 0311-1122321</t>
  </si>
  <si>
    <t>Shahid Khan
CNIC # 14301-7640296-9
CELL # 0320-2070165</t>
  </si>
  <si>
    <t>SUZUKI-SUZUKI 110</t>
  </si>
  <si>
    <t>113231</t>
  </si>
  <si>
    <t>113260</t>
  </si>
  <si>
    <t>145090</t>
  </si>
  <si>
    <t>30091943</t>
  </si>
  <si>
    <t>145671</t>
  </si>
  <si>
    <t>113259</t>
  </si>
  <si>
    <t>113178</t>
  </si>
  <si>
    <t>113177</t>
  </si>
  <si>
    <t>145024</t>
  </si>
  <si>
    <t>144596</t>
  </si>
  <si>
    <t>30091568</t>
  </si>
  <si>
    <t>145078</t>
  </si>
  <si>
    <t>145413</t>
  </si>
  <si>
    <t>145407</t>
  </si>
  <si>
    <t>143899</t>
  </si>
  <si>
    <t>113271</t>
  </si>
  <si>
    <t>113238</t>
  </si>
  <si>
    <t>30091695</t>
  </si>
  <si>
    <t>144347</t>
  </si>
  <si>
    <t>144741</t>
  </si>
  <si>
    <t>144489</t>
  </si>
  <si>
    <t>144483</t>
  </si>
  <si>
    <t>144604</t>
  </si>
  <si>
    <t>112842</t>
  </si>
  <si>
    <t>30091960</t>
  </si>
  <si>
    <t>30091782</t>
  </si>
  <si>
    <t>113223</t>
  </si>
  <si>
    <t>113221</t>
  </si>
  <si>
    <t>30091942</t>
  </si>
  <si>
    <t>145092</t>
  </si>
  <si>
    <t>30091941</t>
  </si>
  <si>
    <t>145084</t>
  </si>
  <si>
    <t>113242</t>
  </si>
  <si>
    <t>144328</t>
  </si>
  <si>
    <t>145667</t>
  </si>
  <si>
    <t>113203</t>
  </si>
  <si>
    <t>113202</t>
  </si>
  <si>
    <t>30091742</t>
  </si>
  <si>
    <t>144113</t>
  </si>
  <si>
    <t>30091875</t>
  </si>
  <si>
    <t>23102452</t>
  </si>
  <si>
    <t>30091816</t>
  </si>
  <si>
    <t>144589</t>
  </si>
  <si>
    <t>145317</t>
  </si>
  <si>
    <t>142721</t>
  </si>
  <si>
    <t>145316</t>
  </si>
  <si>
    <t>145310</t>
  </si>
  <si>
    <t>145045</t>
  </si>
  <si>
    <t>30091917</t>
  </si>
  <si>
    <t>30091787</t>
  </si>
  <si>
    <t>145052</t>
  </si>
  <si>
    <t>145051</t>
  </si>
  <si>
    <t>30091835</t>
  </si>
  <si>
    <t>23100163</t>
  </si>
  <si>
    <t>144598</t>
  </si>
  <si>
    <t>113120</t>
  </si>
  <si>
    <t>30091401</t>
  </si>
  <si>
    <t>113208</t>
  </si>
  <si>
    <t>113207</t>
  </si>
  <si>
    <t>145238</t>
  </si>
  <si>
    <t>30091677</t>
  </si>
  <si>
    <t>30090978</t>
  </si>
  <si>
    <t>145282</t>
  </si>
  <si>
    <t>30091854</t>
  </si>
  <si>
    <t>30091979</t>
  </si>
  <si>
    <t>30091744</t>
  </si>
  <si>
    <t>23100429</t>
  </si>
  <si>
    <t>143806</t>
  </si>
  <si>
    <t>113153</t>
  </si>
  <si>
    <t>145730</t>
  </si>
  <si>
    <t>145729</t>
  </si>
  <si>
    <t>30091806</t>
  </si>
  <si>
    <t>30091697</t>
  </si>
  <si>
    <t>30091015</t>
  </si>
  <si>
    <t>144237</t>
  </si>
  <si>
    <t>23100455</t>
  </si>
  <si>
    <t>144199</t>
  </si>
  <si>
    <t>144283</t>
  </si>
  <si>
    <t>145142</t>
  </si>
  <si>
    <t>30090966</t>
  </si>
  <si>
    <t>144133</t>
  </si>
  <si>
    <t>144674</t>
  </si>
  <si>
    <t>144270</t>
  </si>
  <si>
    <t>144262</t>
  </si>
  <si>
    <t>145174</t>
  </si>
  <si>
    <t>113145</t>
  </si>
  <si>
    <t>113144</t>
  </si>
  <si>
    <t>145271</t>
  </si>
  <si>
    <t>145750</t>
  </si>
  <si>
    <t>145224</t>
  </si>
  <si>
    <t>23102462</t>
  </si>
  <si>
    <t>144065</t>
  </si>
  <si>
    <t>113156</t>
  </si>
  <si>
    <t>145117</t>
  </si>
  <si>
    <t>144572</t>
  </si>
  <si>
    <t>145193</t>
  </si>
  <si>
    <t>144806</t>
  </si>
  <si>
    <t>145154</t>
  </si>
  <si>
    <t>145150</t>
  </si>
  <si>
    <t>144850</t>
  </si>
  <si>
    <t>144830</t>
  </si>
  <si>
    <t>30091564</t>
  </si>
  <si>
    <t>144668</t>
  </si>
  <si>
    <t>113209</t>
  </si>
  <si>
    <t>145234</t>
  </si>
  <si>
    <t>144782</t>
  </si>
  <si>
    <t>23100410</t>
  </si>
  <si>
    <t>30091348</t>
  </si>
  <si>
    <t>145326</t>
  </si>
  <si>
    <t>145320</t>
  </si>
  <si>
    <t>145323</t>
  </si>
  <si>
    <t>145239</t>
  </si>
  <si>
    <t>145312</t>
  </si>
  <si>
    <t>145315</t>
  </si>
  <si>
    <t>145322</t>
  </si>
  <si>
    <t>144618</t>
  </si>
  <si>
    <t>144617</t>
  </si>
  <si>
    <t>145531</t>
  </si>
  <si>
    <t>113102</t>
  </si>
  <si>
    <t>144616</t>
  </si>
  <si>
    <t>113206</t>
  </si>
  <si>
    <t>144349</t>
  </si>
  <si>
    <t>144134</t>
  </si>
  <si>
    <t>144889</t>
  </si>
  <si>
    <t>30091836</t>
  </si>
  <si>
    <t>144885</t>
  </si>
  <si>
    <t>144613</t>
  </si>
  <si>
    <t>23100360</t>
  </si>
  <si>
    <t>30091705</t>
  </si>
  <si>
    <t>145056</t>
  </si>
  <si>
    <t>23100379</t>
  </si>
  <si>
    <t>113141</t>
  </si>
  <si>
    <t>145260</t>
  </si>
  <si>
    <t>144274</t>
  </si>
  <si>
    <t>145408</t>
  </si>
  <si>
    <t>30091798</t>
  </si>
  <si>
    <t>145777</t>
  </si>
  <si>
    <t>23100475</t>
  </si>
  <si>
    <t>145099</t>
  </si>
  <si>
    <t>23102471</t>
  </si>
  <si>
    <t>145319</t>
  </si>
  <si>
    <t>23102492</t>
  </si>
  <si>
    <t>30092092</t>
  </si>
  <si>
    <t>144702</t>
  </si>
  <si>
    <t>144654</t>
  </si>
  <si>
    <t>144653</t>
  </si>
  <si>
    <t>144667</t>
  </si>
  <si>
    <t>144662</t>
  </si>
  <si>
    <t>144645</t>
  </si>
  <si>
    <t>144732</t>
  </si>
  <si>
    <t>30091688</t>
  </si>
  <si>
    <t>23100391</t>
  </si>
  <si>
    <t>145145</t>
  </si>
  <si>
    <t>145127</t>
  </si>
  <si>
    <t>145790</t>
  </si>
  <si>
    <t>145785</t>
  </si>
  <si>
    <t>23100371</t>
  </si>
  <si>
    <t>144061</t>
  </si>
  <si>
    <t>144608</t>
  </si>
  <si>
    <t>112873</t>
  </si>
  <si>
    <t>144396</t>
  </si>
  <si>
    <t>30091824</t>
  </si>
  <si>
    <t>144854</t>
  </si>
  <si>
    <t>144853</t>
  </si>
  <si>
    <t>23100394</t>
  </si>
  <si>
    <t>23100463</t>
  </si>
  <si>
    <t>30091827</t>
  </si>
  <si>
    <t>145110</t>
  </si>
  <si>
    <t>145182</t>
  </si>
  <si>
    <t>231000363</t>
  </si>
  <si>
    <t>113183</t>
  </si>
  <si>
    <t>144602</t>
  </si>
  <si>
    <t>144601</t>
  </si>
  <si>
    <t>144244</t>
  </si>
  <si>
    <t>23100443</t>
  </si>
  <si>
    <t>145527</t>
  </si>
  <si>
    <t>145521</t>
  </si>
  <si>
    <t>145526</t>
  </si>
  <si>
    <t>145533</t>
  </si>
  <si>
    <t>30091692</t>
  </si>
  <si>
    <t>144538</t>
  </si>
  <si>
    <t>144131</t>
  </si>
  <si>
    <t>30091758</t>
  </si>
  <si>
    <t>144552</t>
  </si>
  <si>
    <t>145573</t>
  </si>
  <si>
    <t>145572</t>
  </si>
  <si>
    <t>145247</t>
  </si>
  <si>
    <t>145339</t>
  </si>
  <si>
    <t>145287</t>
  </si>
  <si>
    <t>30092083</t>
  </si>
  <si>
    <t>30091768</t>
  </si>
  <si>
    <t>30091811</t>
  </si>
  <si>
    <t>30091823</t>
  </si>
  <si>
    <t>145123</t>
  </si>
  <si>
    <t>144924</t>
  </si>
  <si>
    <t>30091978</t>
  </si>
  <si>
    <t>113173</t>
  </si>
  <si>
    <t>144944</t>
  </si>
  <si>
    <t>145327</t>
  </si>
  <si>
    <t>144974</t>
  </si>
  <si>
    <t>144936</t>
  </si>
  <si>
    <t>144789</t>
  </si>
  <si>
    <t>E487-144144</t>
  </si>
  <si>
    <t>PKG30091709</t>
  </si>
  <si>
    <t>PKG30091708</t>
  </si>
  <si>
    <t>144879</t>
  </si>
  <si>
    <t>30091489</t>
  </si>
  <si>
    <t>30091825</t>
  </si>
  <si>
    <t>30091857</t>
  </si>
  <si>
    <t>30091733</t>
  </si>
  <si>
    <t>145738</t>
  </si>
  <si>
    <t>113113</t>
  </si>
  <si>
    <t>23102461</t>
  </si>
  <si>
    <t>113111</t>
  </si>
  <si>
    <t>143502</t>
  </si>
  <si>
    <t>22106025</t>
  </si>
  <si>
    <t>30091541</t>
  </si>
  <si>
    <t>145439</t>
  </si>
  <si>
    <t>144456</t>
  </si>
  <si>
    <t>30091859</t>
  </si>
  <si>
    <t>30091828</t>
  </si>
  <si>
    <t>145523</t>
  </si>
  <si>
    <t>144847</t>
  </si>
  <si>
    <t>30091817</t>
  </si>
  <si>
    <t>145760</t>
  </si>
  <si>
    <t>145283</t>
  </si>
  <si>
    <t>145277</t>
  </si>
  <si>
    <t>143745</t>
  </si>
  <si>
    <t>145529</t>
  </si>
  <si>
    <t>144127</t>
  </si>
  <si>
    <t>113375</t>
  </si>
  <si>
    <t>145580</t>
  </si>
  <si>
    <t>145577</t>
  </si>
  <si>
    <t>145399</t>
  </si>
  <si>
    <t>30091233</t>
  </si>
  <si>
    <t>145787</t>
  </si>
  <si>
    <t>30091891</t>
  </si>
  <si>
    <t>144955</t>
  </si>
  <si>
    <t>30091757</t>
  </si>
  <si>
    <t>30091886</t>
  </si>
  <si>
    <t>144929</t>
  </si>
  <si>
    <t>143903</t>
  </si>
  <si>
    <t>143870</t>
  </si>
  <si>
    <t>113205</t>
  </si>
  <si>
    <t>113204</t>
  </si>
  <si>
    <t>144467</t>
  </si>
  <si>
    <t>144556</t>
  </si>
  <si>
    <t>145133</t>
  </si>
  <si>
    <t>145191</t>
  </si>
  <si>
    <t>113185</t>
  </si>
  <si>
    <t>30091415</t>
  </si>
  <si>
    <t>144874</t>
  </si>
  <si>
    <t>144408</t>
  </si>
  <si>
    <t>30091838</t>
  </si>
  <si>
    <t>23102478</t>
  </si>
  <si>
    <t>145824</t>
  </si>
  <si>
    <t>145820</t>
  </si>
  <si>
    <t>30091880</t>
  </si>
  <si>
    <t>30091911</t>
  </si>
  <si>
    <t>23100406</t>
  </si>
  <si>
    <t>30091749</t>
  </si>
  <si>
    <t>30091869</t>
  </si>
  <si>
    <t>110777</t>
  </si>
  <si>
    <t>30091598</t>
  </si>
  <si>
    <t>145005</t>
  </si>
  <si>
    <t>30091818</t>
  </si>
  <si>
    <t>144606</t>
  </si>
  <si>
    <t>145040</t>
  </si>
  <si>
    <t>144291</t>
  </si>
  <si>
    <t>145590</t>
  </si>
  <si>
    <t>143555</t>
  </si>
  <si>
    <t>145539</t>
  </si>
  <si>
    <t>113276</t>
  </si>
  <si>
    <t>140271</t>
  </si>
  <si>
    <t>30091732</t>
  </si>
  <si>
    <t>141481</t>
  </si>
  <si>
    <t>113346</t>
  </si>
  <si>
    <t>30091745</t>
  </si>
  <si>
    <t>113068</t>
  </si>
  <si>
    <t>30091791</t>
  </si>
  <si>
    <t>113171</t>
  </si>
  <si>
    <t>113216</t>
  </si>
  <si>
    <t>113215</t>
  </si>
  <si>
    <t>23100390</t>
  </si>
  <si>
    <t>30091605</t>
  </si>
  <si>
    <t>144083</t>
  </si>
  <si>
    <t>144080</t>
  </si>
  <si>
    <t>144243</t>
  </si>
  <si>
    <t>144241</t>
  </si>
  <si>
    <t>30091760</t>
  </si>
  <si>
    <t>23100452</t>
  </si>
  <si>
    <t>145504</t>
  </si>
  <si>
    <t>145510</t>
  </si>
  <si>
    <t>30091947</t>
  </si>
  <si>
    <t>145429</t>
  </si>
  <si>
    <t>113181</t>
  </si>
  <si>
    <t>144701</t>
  </si>
  <si>
    <t>144967</t>
  </si>
  <si>
    <t>23100370</t>
  </si>
  <si>
    <t>23100326</t>
  </si>
  <si>
    <t>30091858</t>
  </si>
  <si>
    <t>145115</t>
  </si>
  <si>
    <t>144770</t>
  </si>
  <si>
    <t>145558</t>
  </si>
  <si>
    <t>30091667</t>
  </si>
  <si>
    <t>30091972</t>
  </si>
  <si>
    <t>145728</t>
  </si>
  <si>
    <t>145727</t>
  </si>
  <si>
    <t>143866</t>
  </si>
  <si>
    <t>30091885</t>
  </si>
  <si>
    <t>30091855</t>
  </si>
  <si>
    <t>145403</t>
  </si>
  <si>
    <t>30091228</t>
  </si>
  <si>
    <t>30091902</t>
  </si>
  <si>
    <t>30091851</t>
  </si>
  <si>
    <t>143756</t>
  </si>
  <si>
    <t>144833</t>
  </si>
  <si>
    <t>113220</t>
  </si>
  <si>
    <t>144412</t>
  </si>
  <si>
    <t>30091847</t>
  </si>
  <si>
    <t>23100383</t>
  </si>
  <si>
    <t>30091352</t>
  </si>
  <si>
    <t>144872</t>
  </si>
  <si>
    <t>30091736</t>
  </si>
  <si>
    <t>30091790</t>
  </si>
  <si>
    <t>30091741</t>
  </si>
  <si>
    <t>113136</t>
  </si>
  <si>
    <t>30091375</t>
  </si>
  <si>
    <t>145252</t>
  </si>
  <si>
    <t>145249</t>
  </si>
  <si>
    <t>23100362</t>
  </si>
  <si>
    <t>30091932</t>
  </si>
  <si>
    <t>30091882</t>
  </si>
  <si>
    <t>30091743</t>
  </si>
  <si>
    <t>113255</t>
  </si>
  <si>
    <t>145380</t>
  </si>
  <si>
    <t>30092169</t>
  </si>
  <si>
    <t>30092028</t>
  </si>
  <si>
    <t>144410</t>
  </si>
  <si>
    <t>144407</t>
  </si>
  <si>
    <t>144118</t>
  </si>
  <si>
    <t>145046</t>
  </si>
  <si>
    <t>22106432</t>
  </si>
  <si>
    <t>144413</t>
  </si>
  <si>
    <t>144530</t>
  </si>
  <si>
    <t>144192</t>
  </si>
  <si>
    <t>30091971</t>
  </si>
  <si>
    <t>145264</t>
  </si>
  <si>
    <t>144649</t>
  </si>
  <si>
    <t>30091888</t>
  </si>
  <si>
    <t>23100442</t>
  </si>
  <si>
    <t>145786</t>
  </si>
  <si>
    <t>30091973</t>
  </si>
  <si>
    <t>23100438</t>
  </si>
  <si>
    <t>145490</t>
  </si>
  <si>
    <t>113245</t>
  </si>
  <si>
    <t>145515</t>
  </si>
  <si>
    <t>113251</t>
  </si>
  <si>
    <t>144564</t>
  </si>
  <si>
    <t>143526</t>
  </si>
  <si>
    <t>143525</t>
  </si>
  <si>
    <t>144650</t>
  </si>
  <si>
    <t>144708</t>
  </si>
  <si>
    <t>145477</t>
  </si>
  <si>
    <t>145347</t>
  </si>
  <si>
    <t>145346</t>
  </si>
  <si>
    <t>145273</t>
  </si>
  <si>
    <t>145578</t>
  </si>
  <si>
    <t>145575</t>
  </si>
  <si>
    <t>145212</t>
  </si>
  <si>
    <t>145774</t>
  </si>
  <si>
    <t>144935</t>
  </si>
  <si>
    <t>144934</t>
  </si>
  <si>
    <t>144938</t>
  </si>
  <si>
    <t>145219</t>
  </si>
  <si>
    <t>30091892</t>
  </si>
  <si>
    <t>145668</t>
  </si>
  <si>
    <t>30091785</t>
  </si>
  <si>
    <t>30092035</t>
  </si>
  <si>
    <t>113285</t>
  </si>
  <si>
    <t>30091210</t>
  </si>
  <si>
    <t>145597</t>
  </si>
  <si>
    <t>145584</t>
  </si>
  <si>
    <t>30092170</t>
  </si>
  <si>
    <t>145217</t>
  </si>
  <si>
    <t>144567</t>
  </si>
  <si>
    <t>145632</t>
  </si>
  <si>
    <t>30091937</t>
  </si>
  <si>
    <t>145070</t>
  </si>
  <si>
    <t>113257</t>
  </si>
  <si>
    <t>30091924</t>
  </si>
  <si>
    <t>30091896</t>
  </si>
  <si>
    <t>145163</t>
  </si>
  <si>
    <t>145609</t>
  </si>
  <si>
    <t>144447</t>
  </si>
  <si>
    <t>30091974</t>
  </si>
  <si>
    <t>23100401</t>
  </si>
  <si>
    <t>145596</t>
  </si>
  <si>
    <t>30091764</t>
  </si>
  <si>
    <t>145649</t>
  </si>
  <si>
    <t>145330</t>
  </si>
  <si>
    <t>145220</t>
  </si>
  <si>
    <t>145286</t>
  </si>
  <si>
    <t>145297</t>
  </si>
  <si>
    <t>145543</t>
  </si>
  <si>
    <t>145470</t>
  </si>
  <si>
    <t>30091848</t>
  </si>
  <si>
    <t>144927</t>
  </si>
  <si>
    <t>145492</t>
  </si>
  <si>
    <t>145795</t>
  </si>
  <si>
    <t>145602</t>
  </si>
  <si>
    <t>145601</t>
  </si>
  <si>
    <t>135796</t>
  </si>
  <si>
    <t>145746</t>
  </si>
  <si>
    <t>145535</t>
  </si>
  <si>
    <t>145576</t>
  </si>
  <si>
    <t>145574</t>
  </si>
  <si>
    <t>145610</t>
  </si>
  <si>
    <t>145619</t>
  </si>
  <si>
    <t>145700</t>
  </si>
  <si>
    <t>30092157</t>
  </si>
  <si>
    <t>146114</t>
  </si>
  <si>
    <t>145606</t>
  </si>
  <si>
    <t>145054</t>
  </si>
  <si>
    <t>113290</t>
  </si>
  <si>
    <t>113289</t>
  </si>
  <si>
    <t>144537</t>
  </si>
  <si>
    <t>23102509</t>
  </si>
  <si>
    <t>145629</t>
  </si>
  <si>
    <t>30091445</t>
  </si>
  <si>
    <t>30092171</t>
  </si>
  <si>
    <t>146139</t>
  </si>
  <si>
    <t>145719</t>
  </si>
  <si>
    <t>145718</t>
  </si>
  <si>
    <t>PKG30092070</t>
  </si>
  <si>
    <t>145269</t>
  </si>
  <si>
    <t>30091930</t>
  </si>
  <si>
    <t>144183</t>
  </si>
  <si>
    <t>146132</t>
  </si>
  <si>
    <t>145482</t>
  </si>
  <si>
    <t>145391</t>
  </si>
  <si>
    <t>145392</t>
  </si>
  <si>
    <t>30091990</t>
  </si>
  <si>
    <t>145455</t>
  </si>
  <si>
    <t>144125</t>
  </si>
  <si>
    <t>30092052</t>
  </si>
  <si>
    <t>144553</t>
  </si>
  <si>
    <t>144558</t>
  </si>
  <si>
    <t>30091754</t>
  </si>
  <si>
    <t>30092090</t>
  </si>
  <si>
    <t>30091755</t>
  </si>
  <si>
    <t>30091756</t>
  </si>
  <si>
    <t>30092096</t>
  </si>
  <si>
    <t>30091890</t>
  </si>
  <si>
    <t>144470</t>
  </si>
  <si>
    <t>144149</t>
  </si>
  <si>
    <t>30091939</t>
  </si>
  <si>
    <t>146007</t>
  </si>
  <si>
    <t>146006</t>
  </si>
  <si>
    <t>145716</t>
  </si>
  <si>
    <t>113269</t>
  </si>
  <si>
    <t>113268</t>
  </si>
  <si>
    <t>145852</t>
  </si>
  <si>
    <t>23100473</t>
  </si>
  <si>
    <t>145677</t>
  </si>
  <si>
    <t>30092161</t>
  </si>
  <si>
    <t>30092072</t>
  </si>
  <si>
    <t>145581</t>
  </si>
  <si>
    <t>23100333</t>
  </si>
  <si>
    <t>144765</t>
  </si>
  <si>
    <t>145038</t>
  </si>
  <si>
    <t>145035</t>
  </si>
  <si>
    <t>144813</t>
  </si>
  <si>
    <t>143426</t>
  </si>
  <si>
    <t>143600</t>
  </si>
  <si>
    <t>143596</t>
  </si>
  <si>
    <t>144817</t>
  </si>
  <si>
    <t>30091879</t>
  </si>
  <si>
    <t>146163</t>
  </si>
  <si>
    <t>144496</t>
  </si>
  <si>
    <t>144816</t>
  </si>
  <si>
    <t>144815</t>
  </si>
  <si>
    <t>145880</t>
  </si>
  <si>
    <t>145726</t>
  </si>
  <si>
    <t>145843</t>
  </si>
  <si>
    <t>30092158</t>
  </si>
  <si>
    <t>145840</t>
  </si>
  <si>
    <t>30091728</t>
  </si>
  <si>
    <t>30091997</t>
  </si>
  <si>
    <t>30091944</t>
  </si>
  <si>
    <t>145872</t>
  </si>
  <si>
    <t>144972</t>
  </si>
  <si>
    <t>30092025</t>
  </si>
  <si>
    <t>145720</t>
  </si>
  <si>
    <t>144761</t>
  </si>
  <si>
    <t>145032</t>
  </si>
  <si>
    <t>144808</t>
  </si>
  <si>
    <t>144500</t>
  </si>
  <si>
    <t>143593</t>
  </si>
  <si>
    <t>G42B-113287</t>
  </si>
  <si>
    <t>23100105</t>
  </si>
  <si>
    <t>144811</t>
  </si>
  <si>
    <t>23102456</t>
  </si>
  <si>
    <t>G42B-113261</t>
  </si>
  <si>
    <t>PKG30091021</t>
  </si>
  <si>
    <t>E487-143930</t>
  </si>
  <si>
    <t>143597</t>
  </si>
  <si>
    <t>PKG30091722</t>
  </si>
  <si>
    <t>30091852</t>
  </si>
  <si>
    <t>113053</t>
  </si>
  <si>
    <t>145863</t>
  </si>
  <si>
    <t>23100472</t>
  </si>
  <si>
    <t>30091840</t>
  </si>
  <si>
    <t>145146</t>
  </si>
  <si>
    <t>145109</t>
  </si>
  <si>
    <t>144081</t>
  </si>
  <si>
    <t>145162</t>
  </si>
  <si>
    <t>144079</t>
  </si>
  <si>
    <t>144826</t>
  </si>
  <si>
    <t>144256</t>
  </si>
  <si>
    <t>30091350</t>
  </si>
  <si>
    <t>30092164</t>
  </si>
  <si>
    <t>145016</t>
  </si>
  <si>
    <t>144221</t>
  </si>
  <si>
    <t>144614</t>
  </si>
  <si>
    <t>145025</t>
  </si>
  <si>
    <t>145672</t>
  </si>
  <si>
    <t>145723</t>
  </si>
  <si>
    <t>113249</t>
  </si>
  <si>
    <t>145589</t>
  </si>
  <si>
    <t>145585</t>
  </si>
  <si>
    <t>23100381</t>
  </si>
  <si>
    <t>113217</t>
  </si>
  <si>
    <t>145349</t>
  </si>
  <si>
    <t>30092153</t>
  </si>
  <si>
    <t>145030</t>
  </si>
  <si>
    <t>113308</t>
  </si>
  <si>
    <t>145353</t>
  </si>
  <si>
    <t>30091985</t>
  </si>
  <si>
    <t xml:space="preserve"> 144421</t>
  </si>
  <si>
    <t>30092167</t>
  </si>
  <si>
    <t>30092155</t>
  </si>
  <si>
    <t>145587</t>
  </si>
  <si>
    <t>145431</t>
  </si>
  <si>
    <t>30091767</t>
  </si>
  <si>
    <t>30092065</t>
  </si>
  <si>
    <t>145582</t>
  </si>
  <si>
    <t>145881</t>
  </si>
  <si>
    <t>145879</t>
  </si>
  <si>
    <t>E487-144289</t>
  </si>
  <si>
    <t>E487-144139</t>
  </si>
  <si>
    <t>144973</t>
  </si>
  <si>
    <t>30092051</t>
  </si>
  <si>
    <t>30092087</t>
  </si>
  <si>
    <t>145847</t>
  </si>
  <si>
    <t>145894</t>
  </si>
  <si>
    <t>145360</t>
  </si>
  <si>
    <t>145394</t>
  </si>
  <si>
    <t>145338</t>
  </si>
  <si>
    <t>23100467</t>
  </si>
  <si>
    <t>145530</t>
  </si>
  <si>
    <t>146070</t>
  </si>
  <si>
    <t>145559</t>
  </si>
  <si>
    <t>145752</t>
  </si>
  <si>
    <t>146283</t>
  </si>
  <si>
    <t>146174</t>
  </si>
  <si>
    <t>145947</t>
  </si>
  <si>
    <t>30092160</t>
  </si>
  <si>
    <t>145877</t>
  </si>
  <si>
    <t>30092178</t>
  </si>
  <si>
    <t>30091593</t>
  </si>
  <si>
    <t>113420</t>
  </si>
  <si>
    <t>113419</t>
  </si>
  <si>
    <t>145954</t>
  </si>
  <si>
    <t>30091986</t>
  </si>
  <si>
    <t>146177</t>
  </si>
  <si>
    <t>146176</t>
  </si>
  <si>
    <t>145358</t>
  </si>
  <si>
    <t>113414</t>
  </si>
  <si>
    <t>145354</t>
  </si>
  <si>
    <t>145934</t>
  </si>
  <si>
    <t>145345</t>
  </si>
  <si>
    <t>145167</t>
  </si>
  <si>
    <t>146108</t>
  </si>
  <si>
    <t>30091991</t>
  </si>
  <si>
    <t>30091992</t>
  </si>
  <si>
    <t>30092055</t>
  </si>
  <si>
    <t>145368</t>
  </si>
  <si>
    <t>145011</t>
  </si>
  <si>
    <t>146175</t>
  </si>
  <si>
    <t>146110</t>
  </si>
  <si>
    <t>113272</t>
  </si>
  <si>
    <t>145638</t>
  </si>
  <si>
    <t>145616</t>
  </si>
  <si>
    <t>30092193</t>
  </si>
  <si>
    <t>30092156</t>
  </si>
  <si>
    <t>30091770</t>
  </si>
  <si>
    <t>30091759</t>
  </si>
  <si>
    <t>145871</t>
  </si>
  <si>
    <t>145869</t>
  </si>
  <si>
    <t>23100476</t>
  </si>
  <si>
    <t>146148</t>
  </si>
  <si>
    <t>30091923</t>
  </si>
  <si>
    <t>30092238</t>
  </si>
  <si>
    <t>145979</t>
  </si>
  <si>
    <t>146004</t>
  </si>
  <si>
    <t>146003</t>
  </si>
  <si>
    <t>146510</t>
  </si>
  <si>
    <t>145197</t>
  </si>
  <si>
    <t>30092229</t>
  </si>
  <si>
    <t>144948</t>
  </si>
  <si>
    <t>146519</t>
  </si>
  <si>
    <t>145598</t>
  </si>
  <si>
    <t>113351</t>
  </si>
  <si>
    <t>30092211</t>
  </si>
  <si>
    <t>113297</t>
  </si>
  <si>
    <t>30032213</t>
  </si>
  <si>
    <t>30092062</t>
  </si>
  <si>
    <t>30092067</t>
  </si>
  <si>
    <t>145178</t>
  </si>
  <si>
    <t>143492</t>
  </si>
  <si>
    <t>146062</t>
  </si>
  <si>
    <t>30092075</t>
  </si>
  <si>
    <t>146180</t>
  </si>
  <si>
    <t>30091871</t>
  </si>
  <si>
    <t>144831</t>
  </si>
  <si>
    <t>144851</t>
  </si>
  <si>
    <t>300092273</t>
  </si>
  <si>
    <t>30092030</t>
  </si>
  <si>
    <t>145937</t>
  </si>
  <si>
    <t>30092207</t>
  </si>
  <si>
    <t>23102450</t>
  </si>
  <si>
    <t>113366</t>
  </si>
  <si>
    <t>30092162</t>
  </si>
  <si>
    <t>145041</t>
  </si>
  <si>
    <t>146210</t>
  </si>
  <si>
    <t>146209</t>
  </si>
  <si>
    <t>145166</t>
  </si>
  <si>
    <t>113395</t>
  </si>
  <si>
    <t>145762</t>
  </si>
  <si>
    <t>113363</t>
  </si>
  <si>
    <t>30092044</t>
  </si>
  <si>
    <t>146171</t>
  </si>
  <si>
    <t>145866</t>
  </si>
  <si>
    <t>146518</t>
  </si>
  <si>
    <t>145989</t>
  </si>
  <si>
    <t>30091746</t>
  </si>
  <si>
    <t>30092270</t>
  </si>
  <si>
    <t>146515</t>
  </si>
  <si>
    <t>30092154</t>
  </si>
  <si>
    <t>30092163</t>
  </si>
  <si>
    <t>145987</t>
  </si>
  <si>
    <t>144073</t>
  </si>
  <si>
    <t>146186</t>
  </si>
  <si>
    <t>146185</t>
  </si>
  <si>
    <t>30091933</t>
  </si>
  <si>
    <t>146319</t>
  </si>
  <si>
    <t>146090</t>
  </si>
  <si>
    <t>113322</t>
  </si>
  <si>
    <t>113396</t>
  </si>
  <si>
    <t>146169</t>
  </si>
  <si>
    <t>30092187</t>
  </si>
  <si>
    <t>30092198</t>
  </si>
  <si>
    <t>145907</t>
  </si>
  <si>
    <t>145748</t>
  </si>
  <si>
    <t>145365</t>
  </si>
  <si>
    <t>145756</t>
  </si>
  <si>
    <t>30091996</t>
  </si>
  <si>
    <t>145350</t>
  </si>
  <si>
    <t>144276</t>
  </si>
  <si>
    <t>146002</t>
  </si>
  <si>
    <t>145932</t>
  </si>
  <si>
    <t>141612</t>
  </si>
  <si>
    <t>146172</t>
  </si>
  <si>
    <t>146023</t>
  </si>
  <si>
    <t>146485</t>
  </si>
  <si>
    <t>146011</t>
  </si>
  <si>
    <t>142951</t>
  </si>
  <si>
    <t>146017</t>
  </si>
  <si>
    <t>144386</t>
  </si>
  <si>
    <t>30092264</t>
  </si>
  <si>
    <t>113400</t>
  </si>
  <si>
    <t>23102486</t>
  </si>
  <si>
    <t>30092298</t>
  </si>
  <si>
    <t>146204</t>
  </si>
  <si>
    <t>145475</t>
  </si>
  <si>
    <t>30091872</t>
  </si>
  <si>
    <t>146388</t>
  </si>
  <si>
    <t>113340</t>
  </si>
  <si>
    <t>146028</t>
  </si>
  <si>
    <t>145856</t>
  </si>
  <si>
    <t>146027</t>
  </si>
  <si>
    <t>146013</t>
  </si>
  <si>
    <t>146483</t>
  </si>
  <si>
    <t>146026</t>
  </si>
  <si>
    <t>146009</t>
  </si>
  <si>
    <t>146214</t>
  </si>
  <si>
    <t>30092191</t>
  </si>
  <si>
    <t>30091935</t>
  </si>
  <si>
    <t>145057</t>
  </si>
  <si>
    <t>113337</t>
  </si>
  <si>
    <t>145998</t>
  </si>
  <si>
    <t>30091936</t>
  </si>
  <si>
    <t>113320</t>
  </si>
  <si>
    <t>113364</t>
  </si>
  <si>
    <t>146492</t>
  </si>
  <si>
    <t>146202</t>
  </si>
  <si>
    <t>138798</t>
  </si>
  <si>
    <t>145562</t>
  </si>
  <si>
    <t>145096</t>
  </si>
  <si>
    <t>145304</t>
  </si>
  <si>
    <t>145988</t>
  </si>
  <si>
    <t>146097</t>
  </si>
  <si>
    <t>145480</t>
  </si>
  <si>
    <t>30092426</t>
  </si>
  <si>
    <t>E487-135326</t>
  </si>
  <si>
    <t>23100068</t>
  </si>
  <si>
    <t>G42B-111082</t>
  </si>
  <si>
    <t xml:space="preserve"> G42B-111082</t>
  </si>
  <si>
    <t>30092428</t>
  </si>
  <si>
    <t>146377</t>
  </si>
  <si>
    <t>145901</t>
  </si>
  <si>
    <t>146122</t>
  </si>
  <si>
    <t>146362</t>
  </si>
  <si>
    <t>146104</t>
  </si>
  <si>
    <t>145506</t>
  </si>
  <si>
    <t>145823</t>
  </si>
  <si>
    <t>145570</t>
  </si>
  <si>
    <t>30091558</t>
  </si>
  <si>
    <t>145266</t>
  </si>
  <si>
    <t>30091566</t>
  </si>
  <si>
    <t>145837</t>
  </si>
  <si>
    <t>30092413</t>
  </si>
  <si>
    <t>146392</t>
  </si>
  <si>
    <t>145927</t>
  </si>
  <si>
    <t>146081</t>
  </si>
  <si>
    <t>30092354</t>
  </si>
  <si>
    <t>G42B-112885</t>
  </si>
  <si>
    <t>E487-146091</t>
  </si>
  <si>
    <t>E487-146096</t>
  </si>
  <si>
    <t>PKG30092431</t>
  </si>
  <si>
    <t>PKG-30092439</t>
  </si>
  <si>
    <t xml:space="preserve"> E487-146096</t>
  </si>
  <si>
    <t>G42B-113386</t>
  </si>
  <si>
    <t xml:space="preserve"> G42B-113386</t>
  </si>
  <si>
    <t>PKG-30092433</t>
  </si>
  <si>
    <t xml:space="preserve"> PKG-30092433</t>
  </si>
  <si>
    <t>E487-146092</t>
  </si>
  <si>
    <t>SST 16%</t>
  </si>
  <si>
    <t>SST   16%</t>
  </si>
  <si>
    <t>FOR THE MONTH OF July-24</t>
  </si>
  <si>
    <t>INVOICE # 0017</t>
  </si>
  <si>
    <t>E487-145801</t>
  </si>
  <si>
    <t>KHI/HO/D/MO/MC COMP/P/93424/07/2024</t>
  </si>
  <si>
    <t>Fiaz Ahmed</t>
  </si>
  <si>
    <t>PREM</t>
  </si>
  <si>
    <t>-07-2024</t>
  </si>
  <si>
    <t>-08-2024</t>
  </si>
  <si>
    <t>POLICY NO.</t>
  </si>
  <si>
    <t>Assorted_code</t>
  </si>
  <si>
    <t>Premium</t>
  </si>
  <si>
    <t>24Sep240082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</si>
</sst>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s&quot;* #,##0.00_-;\-&quot;Rs&quot;* #,##0.00_-;_-&quot;Rs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\ dd\-mmm\-yyyy"/>
    <numFmt numFmtId="167" formatCode="_(* #,##0_);_(* \(#,##0\);_(* &quot;-&quot;??_);_(@_)"/>
    <numFmt numFmtId="168" formatCode="[$]dd\-m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indexed="8"/>
      <name val="Calibri Light"/>
      <family val="2"/>
      <scheme val="major"/>
    </font>
    <font>
      <sz val="8"/>
      <color rgb="FF000000"/>
      <name val="Calibri"/>
      <family val="2"/>
      <scheme val="minor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</cellStyleXfs>
  <cellXfs count="86">
    <xf numFmtId="0" fontId="0" fillId="0" borderId="0" xfId="0"/>
    <xf numFmtId="165" fontId="0" fillId="0" borderId="0" xfId="1" applyNumberFormat="1" applyFont="1"/>
    <xf numFmtId="37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" fillId="0" borderId="0" xfId="0" applyFont="1"/>
    <xf numFmtId="0" fontId="0" fillId="0" borderId="1" xfId="0" applyBorder="1"/>
    <xf numFmtId="0" fontId="4" fillId="0" borderId="0" xfId="0" applyFont="1"/>
    <xf numFmtId="0" fontId="0" fillId="0" borderId="0" xfId="0" applyAlignment="1">
      <alignment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165" fontId="2" fillId="0" borderId="3" xfId="1" applyNumberFormat="1" applyFont="1" applyBorder="1"/>
    <xf numFmtId="0" fontId="0" fillId="0" borderId="0" xfId="0" applyAlignment="1">
      <alignment horizontal="left"/>
    </xf>
    <xf numFmtId="0" fontId="8" fillId="0" borderId="16" xfId="0" applyFont="1" applyBorder="1" applyAlignment="1">
      <alignment vertical="top"/>
    </xf>
    <xf numFmtId="165" fontId="8" fillId="0" borderId="16" xfId="1" applyNumberFormat="1" applyFont="1" applyBorder="1"/>
    <xf numFmtId="0" fontId="9" fillId="0" borderId="16" xfId="0" applyFont="1" applyBorder="1" applyAlignment="1">
      <alignment vertical="top"/>
    </xf>
    <xf numFmtId="165" fontId="9" fillId="0" borderId="16" xfId="1" applyNumberFormat="1" applyFont="1" applyBorder="1"/>
    <xf numFmtId="0" fontId="9" fillId="0" borderId="16" xfId="0" applyFont="1" applyBorder="1"/>
    <xf numFmtId="164" fontId="9" fillId="0" borderId="16" xfId="0" applyNumberFormat="1" applyFont="1" applyBorder="1"/>
    <xf numFmtId="0" fontId="10" fillId="0" borderId="16" xfId="0" applyFont="1" applyBorder="1" applyAlignment="1">
      <alignment vertical="center"/>
    </xf>
    <xf numFmtId="0" fontId="10" fillId="3" borderId="16" xfId="0" applyFont="1" applyFill="1" applyBorder="1" applyAlignment="1">
      <alignment vertical="center"/>
    </xf>
    <xf numFmtId="168" fontId="10" fillId="0" borderId="16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167" fontId="10" fillId="0" borderId="16" xfId="1" applyNumberFormat="1" applyFont="1" applyBorder="1" applyAlignment="1">
      <alignment vertical="center"/>
    </xf>
    <xf numFmtId="167" fontId="11" fillId="0" borderId="16" xfId="1" applyNumberFormat="1" applyFont="1" applyBorder="1" applyAlignment="1">
      <alignment vertical="center"/>
    </xf>
    <xf numFmtId="165" fontId="10" fillId="0" borderId="16" xfId="1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0" fillId="0" borderId="16" xfId="0" applyFont="1" applyBorder="1" applyAlignment="1">
      <alignment horizontal="left" vertical="center"/>
    </xf>
    <xf numFmtId="43" fontId="0" fillId="0" borderId="0" xfId="1" applyFont="1"/>
    <xf numFmtId="43" fontId="2" fillId="0" borderId="0" xfId="1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13" fillId="0" borderId="0" xfId="0" applyFont="1"/>
    <xf numFmtId="0" fontId="0" fillId="0" borderId="0" xfId="0" applyAlignment="1">
      <alignment vertical="top"/>
    </xf>
    <xf numFmtId="167" fontId="14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43" fontId="0" fillId="0" borderId="0" xfId="0" applyNumberFormat="1"/>
  </cellXfs>
  <cellStyles count="10">
    <cellStyle name="Comma" xfId="1" builtinId="3"/>
    <cellStyle name="Comma 2" xfId="3" xr:uid="{9B56E31D-D7D6-4361-986D-9338E5399729}"/>
    <cellStyle name="Currency 2" xfId="4" xr:uid="{C271BCE6-0D1A-4710-8D42-2185566F47E2}"/>
    <cellStyle name="Normal" xfId="0" builtinId="0"/>
    <cellStyle name="Normal 2" xfId="2" xr:uid="{33F032FA-9037-426E-97FA-AB87A65D4FF7}"/>
    <cellStyle name="Normal 2 2" xfId="5" xr:uid="{30AACCE7-03C2-420F-8B36-242F443D7807}"/>
    <cellStyle name="Normal 3" xfId="6" xr:uid="{02DC152F-28B2-4666-98C4-279AEB096CB4}"/>
    <cellStyle name="Normal 4" xfId="7" xr:uid="{AEE9E128-3A4E-4F15-8E5F-171C26233B28}"/>
    <cellStyle name="Normal 5" xfId="8" xr:uid="{FC1C80B4-FBF5-4917-AAAB-D007C5823A6E}"/>
    <cellStyle name="Normal 6" xfId="9" xr:uid="{0CF07217-E531-4C7B-9AD9-B60344FF51B5}"/>
  </cellStyles>
  <dxfs count="43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emium\Commission\Omair%20ALi\01-Oct-2024%20-%20Premium\policynumbers.xlsx" TargetMode="External"/><Relationship Id="rId1" Type="http://schemas.openxmlformats.org/officeDocument/2006/relationships/externalLinkPath" Target="policynumb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FUNC_ASSORTED_STRING(IA.ASSORTED_CODE)</v>
          </cell>
          <cell r="C1" t="str">
            <v>ASSORTED_CODE</v>
          </cell>
        </row>
        <row r="2">
          <cell r="B2" t="str">
            <v>KHI/HO/D/MO/MC COMP/P/92315/07/2024</v>
          </cell>
          <cell r="C2" t="str">
            <v>040000177867</v>
          </cell>
        </row>
        <row r="3">
          <cell r="B3" t="str">
            <v>KHI/HO/D/MO/MC COMP/P/92316/07/2024</v>
          </cell>
          <cell r="C3" t="str">
            <v>040000177868</v>
          </cell>
        </row>
        <row r="4">
          <cell r="B4" t="str">
            <v>KHI/HO/D/MO/MC COMP/P/92633/07/2024</v>
          </cell>
          <cell r="C4" t="str">
            <v>040000178290</v>
          </cell>
        </row>
        <row r="5">
          <cell r="B5" t="str">
            <v>KHI/HO/D/MO/MC COMP/P/93004/07/2024</v>
          </cell>
          <cell r="C5" t="str">
            <v>040000178746</v>
          </cell>
        </row>
        <row r="6">
          <cell r="B6" t="str">
            <v>KHI/HO/D/MO/MC COMP/P/93006/07/2024</v>
          </cell>
          <cell r="C6" t="str">
            <v>040000178748</v>
          </cell>
        </row>
        <row r="7">
          <cell r="B7" t="str">
            <v>KHI/HO/D/MO/MC COMP/P/92916/07/2024</v>
          </cell>
          <cell r="C7" t="str">
            <v>040000178649</v>
          </cell>
        </row>
        <row r="8">
          <cell r="B8" t="str">
            <v>KHI/HO/D/MO/MC COMP/P/92310/07/2024</v>
          </cell>
          <cell r="C8" t="str">
            <v>040000177855</v>
          </cell>
        </row>
        <row r="9">
          <cell r="B9" t="str">
            <v>KHI/HO/D/MO/MC COMP/P/93819/07/2024</v>
          </cell>
          <cell r="C9" t="str">
            <v>040000179759</v>
          </cell>
        </row>
        <row r="10">
          <cell r="B10" t="str">
            <v>KHI/HO/D/MO/MC COMP/P/92919/07/2024</v>
          </cell>
          <cell r="C10" t="str">
            <v>040000178653</v>
          </cell>
        </row>
        <row r="11">
          <cell r="B11" t="str">
            <v>KHI/HO/D/MO/MC COMP/P/92877/07/2024</v>
          </cell>
          <cell r="C11" t="str">
            <v>040000178605</v>
          </cell>
        </row>
        <row r="12">
          <cell r="B12" t="str">
            <v>KHI/HO/D/MO/MC COMP/P/92878/07/2024</v>
          </cell>
          <cell r="C12" t="str">
            <v>040000178606</v>
          </cell>
        </row>
        <row r="13">
          <cell r="B13" t="str">
            <v>KHI/HO/D/MO/MC COMP/P/92879/07/2024</v>
          </cell>
          <cell r="C13" t="str">
            <v>040000178607</v>
          </cell>
        </row>
        <row r="14">
          <cell r="B14" t="str">
            <v>KHI/HO/D/MO/MC COMP/P/92881/07/2024</v>
          </cell>
          <cell r="C14" t="str">
            <v>040000178609</v>
          </cell>
        </row>
        <row r="15">
          <cell r="B15" t="str">
            <v>KHI/HO/D/MO/MC COMP/P/92092/07/2024</v>
          </cell>
          <cell r="C15" t="str">
            <v>040000177481</v>
          </cell>
        </row>
        <row r="16">
          <cell r="B16" t="str">
            <v>KHI/HO/D/MO/MC COMP/P/92093/07/2024</v>
          </cell>
          <cell r="C16" t="str">
            <v>040000177482</v>
          </cell>
        </row>
        <row r="17">
          <cell r="B17" t="str">
            <v>KHI/HO/D/MO/MC COMP/P/92068/07/2024</v>
          </cell>
          <cell r="C17" t="str">
            <v>040000177443</v>
          </cell>
        </row>
        <row r="18">
          <cell r="B18" t="str">
            <v>KHI/HO/D/MO/MC COMP/P/92180/07/2024</v>
          </cell>
          <cell r="C18" t="str">
            <v>040000177602</v>
          </cell>
        </row>
        <row r="19">
          <cell r="B19" t="str">
            <v>KHI/HO/D/MO/MC COMP/P/92256/07/2024</v>
          </cell>
          <cell r="C19" t="str">
            <v>040000177738</v>
          </cell>
        </row>
        <row r="20">
          <cell r="B20" t="str">
            <v>KHI/HO/D/MO/MC COMP/P/92276/07/2024</v>
          </cell>
          <cell r="C20" t="str">
            <v>040000177773</v>
          </cell>
        </row>
        <row r="21">
          <cell r="B21" t="str">
            <v>KHI/HO/D/MO/MC COMP/P/92279/07/2024</v>
          </cell>
          <cell r="C21" t="str">
            <v>040000177781</v>
          </cell>
        </row>
        <row r="22">
          <cell r="B22" t="str">
            <v>KHI/HO/D/MO/MC COMP/P/92911/07/2024</v>
          </cell>
          <cell r="C22" t="str">
            <v>040000178644</v>
          </cell>
        </row>
        <row r="23">
          <cell r="B23" t="str">
            <v>KHI/HO/D/MO/MC COMP/P/92096/07/2024</v>
          </cell>
          <cell r="C23" t="str">
            <v>040000177487</v>
          </cell>
        </row>
        <row r="24">
          <cell r="B24" t="str">
            <v>KHI/HO/D/MO/MC COMP/P/92280/07/2024</v>
          </cell>
          <cell r="C24" t="str">
            <v>040000177783</v>
          </cell>
        </row>
        <row r="25">
          <cell r="B25" t="str">
            <v>KHI/HO/D/MO/MC COMP/P/92283/07/2024</v>
          </cell>
          <cell r="C25" t="str">
            <v>040000177791</v>
          </cell>
        </row>
        <row r="26">
          <cell r="B26" t="str">
            <v>KHI/HO/D/MO/MC COMP/P/94428/08/2024</v>
          </cell>
          <cell r="C26" t="str">
            <v>040000180503</v>
          </cell>
        </row>
        <row r="27">
          <cell r="B27" t="str">
            <v>KHI/HO/D/MO/MC COMP/P/93968/07/2024</v>
          </cell>
          <cell r="C27" t="str">
            <v>040000179933</v>
          </cell>
        </row>
        <row r="28">
          <cell r="B28" t="str">
            <v>KHI/HO/D/MO/MC COMP/P/93058/07/2024</v>
          </cell>
          <cell r="C28" t="str">
            <v>040000178803</v>
          </cell>
        </row>
        <row r="29">
          <cell r="B29" t="str">
            <v>KHI/HO/D/MO/MC COMP/P/94022/07/2024</v>
          </cell>
          <cell r="C29" t="str">
            <v>040000179993</v>
          </cell>
        </row>
        <row r="30">
          <cell r="B30" t="str">
            <v>KHI/HO/D/MO/MC COMP/P/92764/07/2024</v>
          </cell>
          <cell r="C30" t="str">
            <v>040000178456</v>
          </cell>
        </row>
        <row r="31">
          <cell r="B31" t="str">
            <v>KHI/HO/D/MO/MC COMP/P/92292/07/2024</v>
          </cell>
          <cell r="C31" t="str">
            <v>040000177803</v>
          </cell>
        </row>
        <row r="32">
          <cell r="B32" t="str">
            <v>KHI/HO/D/MO/MC COMP/P/93501/07/2024</v>
          </cell>
          <cell r="C32" t="str">
            <v>040000179362</v>
          </cell>
        </row>
        <row r="33">
          <cell r="B33" t="str">
            <v>KHI/HO/D/MO/MC COMP/P/93629/07/2024</v>
          </cell>
          <cell r="C33" t="str">
            <v>040000179522</v>
          </cell>
        </row>
        <row r="34">
          <cell r="B34" t="str">
            <v>KHI/HO/D/MO/MC COMP/P/93910/07/2024</v>
          </cell>
          <cell r="C34" t="str">
            <v>040000179872</v>
          </cell>
        </row>
        <row r="35">
          <cell r="B35" t="str">
            <v>KHI/HO/D/MO/MC COMP/P/93912/07/2024</v>
          </cell>
          <cell r="C35" t="str">
            <v>040000179875</v>
          </cell>
        </row>
        <row r="36">
          <cell r="B36" t="str">
            <v>KHI/HO/D/MO/MC COMP/P/93913/07/2024</v>
          </cell>
          <cell r="C36" t="str">
            <v>040000179876</v>
          </cell>
        </row>
        <row r="37">
          <cell r="B37" t="str">
            <v>KHI/HO/D/MO/MC COMP/P/93616/07/2024</v>
          </cell>
          <cell r="C37" t="str">
            <v>040000179498</v>
          </cell>
        </row>
        <row r="38">
          <cell r="B38" t="str">
            <v>KHI/HO/D/MO/MC COMP/P/93665/07/2024</v>
          </cell>
          <cell r="C38" t="str">
            <v>040000179564</v>
          </cell>
        </row>
        <row r="39">
          <cell r="B39" t="str">
            <v>KHI/HO/D/MO/MC COMP/P/93666/07/2024</v>
          </cell>
          <cell r="C39" t="str">
            <v>040000179565</v>
          </cell>
        </row>
        <row r="40">
          <cell r="B40" t="str">
            <v>KHI/HO/D/MO/MC COMP/P/93754/07/2024</v>
          </cell>
          <cell r="C40" t="str">
            <v>040000179687</v>
          </cell>
        </row>
        <row r="41">
          <cell r="B41" t="str">
            <v>KHI/HO/D/MO/MC COMP/P/93081/07/2024</v>
          </cell>
          <cell r="C41" t="str">
            <v>040000178836</v>
          </cell>
        </row>
        <row r="42">
          <cell r="B42" t="str">
            <v>KHI/HO/D/MO/MC COMP/P/93082/07/2024</v>
          </cell>
          <cell r="C42" t="str">
            <v>040000178837</v>
          </cell>
        </row>
        <row r="43">
          <cell r="B43" t="str">
            <v>KHI/HO/D/MO/MC COMP/P/93293/07/2024</v>
          </cell>
          <cell r="C43" t="str">
            <v>040000179102</v>
          </cell>
        </row>
        <row r="44">
          <cell r="B44" t="str">
            <v>KHI/HO/D/MO/MC COMP/P/93294/07/2024</v>
          </cell>
          <cell r="C44" t="str">
            <v>040000179103</v>
          </cell>
        </row>
        <row r="45">
          <cell r="B45" t="str">
            <v>KHI/HO/D/MO/MC COMP/P/94144/07/2024</v>
          </cell>
          <cell r="C45" t="str">
            <v>040000180149</v>
          </cell>
        </row>
        <row r="46">
          <cell r="B46" t="str">
            <v>KHI/HO/D/MO/MC COMP/P/94161/07/2024</v>
          </cell>
          <cell r="C46" t="str">
            <v>040000180172</v>
          </cell>
        </row>
        <row r="47">
          <cell r="B47" t="str">
            <v>KHI/HO/D/MO/MC COMP/P/94163/07/2024</v>
          </cell>
          <cell r="C47" t="str">
            <v>040000180176</v>
          </cell>
        </row>
        <row r="48">
          <cell r="B48" t="str">
            <v>KHI/HO/D/MO/MC COMP/P/93084/07/2024</v>
          </cell>
          <cell r="C48" t="str">
            <v>040000178839</v>
          </cell>
        </row>
        <row r="49">
          <cell r="B49" t="str">
            <v>KHI/HO/D/MO/MC COMP/P/93089/07/2024</v>
          </cell>
          <cell r="C49" t="str">
            <v>040000178845</v>
          </cell>
        </row>
        <row r="50">
          <cell r="B50" t="str">
            <v>KHI/HO/D/MO/MC COMP/P/92404/07/2024</v>
          </cell>
          <cell r="C50" t="str">
            <v>040000178005</v>
          </cell>
        </row>
        <row r="51">
          <cell r="B51" t="str">
            <v>KHI/HO/D/MO/MC COMP/P/93299/07/2024</v>
          </cell>
          <cell r="C51" t="str">
            <v>040000179108</v>
          </cell>
        </row>
        <row r="52">
          <cell r="B52" t="str">
            <v>KHI/HO/D/MO/MC COMP/P/92240/07/2024</v>
          </cell>
          <cell r="C52" t="str">
            <v>040000177695</v>
          </cell>
        </row>
        <row r="53">
          <cell r="B53" t="str">
            <v>KHI/HO/D/MO/MC COMP/P/94238/07/2024</v>
          </cell>
          <cell r="C53" t="str">
            <v>040000180268</v>
          </cell>
        </row>
        <row r="54">
          <cell r="B54" t="str">
            <v>KHI/HO/D/MO/MC COMP/P/94239/07/2024</v>
          </cell>
          <cell r="C54" t="str">
            <v>040000180269</v>
          </cell>
        </row>
        <row r="55">
          <cell r="B55" t="str">
            <v>KHI/HO/D/MO/MC COMP/P/92405/07/2024</v>
          </cell>
          <cell r="C55" t="str">
            <v>040000178006</v>
          </cell>
        </row>
        <row r="56">
          <cell r="B56" t="str">
            <v>KHI/HO/D/MO/MC COMP/P/93298/07/2024</v>
          </cell>
          <cell r="C56" t="str">
            <v>040000179107</v>
          </cell>
        </row>
        <row r="57">
          <cell r="B57" t="str">
            <v>KHI/HO/D/MO/MC COMP/P/93300/07/2024</v>
          </cell>
          <cell r="C57" t="str">
            <v>040000179109</v>
          </cell>
        </row>
        <row r="58">
          <cell r="B58" t="str">
            <v>KHI/HO/D/MO/MC COMP/P/93915/07/2024</v>
          </cell>
          <cell r="C58" t="str">
            <v>040000179878</v>
          </cell>
        </row>
        <row r="59">
          <cell r="B59" t="str">
            <v>KHI/HO/D/MO/MC COMP/P/93944/07/2024</v>
          </cell>
          <cell r="C59" t="str">
            <v>040000179909</v>
          </cell>
        </row>
        <row r="60">
          <cell r="B60" t="str">
            <v>KHI/HO/D/MO/MC COMP/P/93945/07/2024</v>
          </cell>
          <cell r="C60" t="str">
            <v>040000179910</v>
          </cell>
        </row>
        <row r="61">
          <cell r="B61" t="str">
            <v>KHI/HO/D/MO/MC COMP/P/93949/07/2024</v>
          </cell>
          <cell r="C61" t="str">
            <v>040000179914</v>
          </cell>
        </row>
        <row r="62">
          <cell r="B62" t="str">
            <v>KHI/HO/D/MO/MC COMP/P/93950/07/2024</v>
          </cell>
          <cell r="C62" t="str">
            <v>040000179915</v>
          </cell>
        </row>
        <row r="63">
          <cell r="B63" t="str">
            <v>KHI/HO/D/MO/MC COMP/P/93965/07/2024</v>
          </cell>
          <cell r="C63" t="str">
            <v>040000179930</v>
          </cell>
        </row>
        <row r="64">
          <cell r="B64" t="str">
            <v>KHI/HO/D/MO/MC COMP/P/93966/07/2024</v>
          </cell>
          <cell r="C64" t="str">
            <v>040000179931</v>
          </cell>
        </row>
        <row r="65">
          <cell r="B65" t="str">
            <v>KHI/HO/D/MO/MC COMP/P/93975/07/2024</v>
          </cell>
          <cell r="C65" t="str">
            <v>040000179940</v>
          </cell>
        </row>
        <row r="66">
          <cell r="B66" t="str">
            <v>KHI/HO/D/MO/MC COMP/P/94056/07/2024</v>
          </cell>
          <cell r="C66" t="str">
            <v>040000180029</v>
          </cell>
        </row>
        <row r="67">
          <cell r="B67" t="str">
            <v>KHI/HO/D/MO/MC COMP/P/94058/07/2024</v>
          </cell>
          <cell r="C67" t="str">
            <v>040000180031</v>
          </cell>
        </row>
        <row r="68">
          <cell r="B68" t="str">
            <v>KHI/HO/D/MO/MC COMP/P/92057/07/2024</v>
          </cell>
          <cell r="C68" t="str">
            <v>040000177421</v>
          </cell>
        </row>
        <row r="69">
          <cell r="B69" t="str">
            <v>KHI/HO/D/MO/MC COMP/P/92968/07/2024</v>
          </cell>
          <cell r="C69" t="str">
            <v>040000178707</v>
          </cell>
        </row>
        <row r="70">
          <cell r="B70" t="str">
            <v>KHI/HO/D/MO/MC COMP/P/92789/07/2024</v>
          </cell>
          <cell r="C70" t="str">
            <v>040000178483</v>
          </cell>
        </row>
        <row r="71">
          <cell r="B71" t="str">
            <v>KHI/HO/D/MO/MC COMP/P/92792/07/2024</v>
          </cell>
          <cell r="C71" t="str">
            <v>040000178486</v>
          </cell>
        </row>
        <row r="72">
          <cell r="B72" t="str">
            <v>KHI/HO/D/MO/MC COMP/P/94082/07/2024</v>
          </cell>
          <cell r="C72" t="str">
            <v>040000180070</v>
          </cell>
        </row>
        <row r="73">
          <cell r="B73" t="str">
            <v>KHI/HO/D/MO/MC COMP/P/94083/07/2024</v>
          </cell>
          <cell r="C73" t="str">
            <v>040000180071</v>
          </cell>
        </row>
        <row r="74">
          <cell r="B74" t="str">
            <v>KHI/HO/D/MO/MC COMP/P/93789/07/2024</v>
          </cell>
          <cell r="C74" t="str">
            <v>040000179723</v>
          </cell>
        </row>
        <row r="75">
          <cell r="B75" t="str">
            <v>KHI/HO/D/MO/MC COMP/P/93792/07/2024</v>
          </cell>
          <cell r="C75" t="str">
            <v>040000179726</v>
          </cell>
        </row>
        <row r="76">
          <cell r="B76" t="str">
            <v>KHI/HO/D/MO/MC COMP/P/93794/07/2024</v>
          </cell>
          <cell r="C76" t="str">
            <v>040000179728</v>
          </cell>
        </row>
        <row r="77">
          <cell r="B77" t="str">
            <v>KHI/HO/D/MO/MC COMP/P/93800/07/2024</v>
          </cell>
          <cell r="C77" t="str">
            <v>040000179735</v>
          </cell>
        </row>
        <row r="78">
          <cell r="B78" t="str">
            <v>KHI/HO/D/MO/MC COMP/P/93796/07/2024</v>
          </cell>
          <cell r="C78" t="str">
            <v>040000179730</v>
          </cell>
        </row>
        <row r="79">
          <cell r="B79" t="str">
            <v>KHI/HO/D/MO/MC COMP/P/93385/07/2024</v>
          </cell>
          <cell r="C79" t="str">
            <v>040000179222</v>
          </cell>
        </row>
        <row r="80">
          <cell r="B80" t="str">
            <v>KHI/HO/D/MO/MC COMP/P/93386/07/2024</v>
          </cell>
          <cell r="C80" t="str">
            <v>040000179223</v>
          </cell>
        </row>
        <row r="81">
          <cell r="B81" t="str">
            <v>KHI/HO/D/MO/MC COMP/P/93400/07/2024</v>
          </cell>
          <cell r="C81" t="str">
            <v>040000179239</v>
          </cell>
        </row>
        <row r="82">
          <cell r="B82" t="str">
            <v>KHI/HO/D/MO/MC COMP/P/92885/07/2024</v>
          </cell>
          <cell r="C82" t="str">
            <v>040000178617</v>
          </cell>
        </row>
        <row r="83">
          <cell r="B83" t="str">
            <v>KHI/HO/D/MO/MC COMP/P/92891/07/2024</v>
          </cell>
          <cell r="C83" t="str">
            <v>040000178623</v>
          </cell>
        </row>
        <row r="84">
          <cell r="B84" t="str">
            <v>KHI/HO/D/MO/MC COMP/P/92896/07/2024</v>
          </cell>
          <cell r="C84" t="str">
            <v>040000178628</v>
          </cell>
        </row>
        <row r="85">
          <cell r="B85" t="str">
            <v>KHI/HO/D/MO/MC COMP/P/93171/07/2024</v>
          </cell>
          <cell r="C85" t="str">
            <v>040000178951</v>
          </cell>
        </row>
        <row r="86">
          <cell r="B86" t="str">
            <v>KHI/HO/D/MO/MC COMP/P/93172/07/2024</v>
          </cell>
          <cell r="C86" t="str">
            <v>040000178952</v>
          </cell>
        </row>
        <row r="87">
          <cell r="B87" t="str">
            <v>KHI/HO/D/MO/MC COMP/P/93173/07/2024</v>
          </cell>
          <cell r="C87" t="str">
            <v>040000178953</v>
          </cell>
        </row>
        <row r="88">
          <cell r="B88" t="str">
            <v>KHI/HO/D/MO/MC COMP/P/93181/07/2024</v>
          </cell>
          <cell r="C88" t="str">
            <v>040000178963</v>
          </cell>
        </row>
        <row r="89">
          <cell r="B89" t="str">
            <v>KHI/HO/D/MO/MC COMP/P/92692/07/2024</v>
          </cell>
          <cell r="C89" t="str">
            <v>040000178368</v>
          </cell>
        </row>
        <row r="90">
          <cell r="B90" t="str">
            <v>KHI/HO/D/MO/MC COMP/P/92694/07/2024</v>
          </cell>
          <cell r="C90" t="str">
            <v>040000178370</v>
          </cell>
        </row>
        <row r="91">
          <cell r="B91" t="str">
            <v>KHI/HO/D/MO/MC COMP/P/93848/07/2024</v>
          </cell>
          <cell r="C91" t="str">
            <v>040000179797</v>
          </cell>
        </row>
        <row r="92">
          <cell r="B92" t="str">
            <v>KHI/HO/D/MO/MC COMP/P/93875/07/2024</v>
          </cell>
          <cell r="C92" t="str">
            <v>040000179832</v>
          </cell>
        </row>
        <row r="93">
          <cell r="B93" t="str">
            <v>KHI/HO/D/MO/MC COMP/P/92696/07/2024</v>
          </cell>
          <cell r="C93" t="str">
            <v>040000178372</v>
          </cell>
        </row>
        <row r="94">
          <cell r="B94" t="str">
            <v>KHI/HO/D/MO/MC COMP/P/92700/07/2024</v>
          </cell>
          <cell r="C94" t="str">
            <v>040000178377</v>
          </cell>
        </row>
        <row r="95">
          <cell r="B95" t="str">
            <v>KHI/HO/D/MO/MC COMP/P/92775/07/2024</v>
          </cell>
          <cell r="C95" t="str">
            <v>040000178467</v>
          </cell>
        </row>
        <row r="96">
          <cell r="B96" t="str">
            <v>KHI/HO/D/MO/MC COMP/P/92823/07/2024</v>
          </cell>
          <cell r="C96" t="str">
            <v>040000178534</v>
          </cell>
        </row>
        <row r="97">
          <cell r="B97" t="str">
            <v>KHI/HO/D/MO/MC COMP/P/92826/07/2024</v>
          </cell>
          <cell r="C97" t="str">
            <v>040000178538</v>
          </cell>
        </row>
        <row r="98">
          <cell r="B98" t="str">
            <v>KHI/HO/D/MO/MC COMP/P/92886/07/2024</v>
          </cell>
          <cell r="C98" t="str">
            <v>040000178618</v>
          </cell>
        </row>
        <row r="99">
          <cell r="B99" t="str">
            <v>KHI/HO/D/MO/MC COMP/P/92887/07/2024</v>
          </cell>
          <cell r="C99" t="str">
            <v>040000178619</v>
          </cell>
        </row>
        <row r="100">
          <cell r="B100" t="str">
            <v>KHI/HO/D/MO/MC COMP/P/92888/07/2024</v>
          </cell>
          <cell r="C100" t="str">
            <v>040000178620</v>
          </cell>
        </row>
        <row r="101">
          <cell r="B101" t="str">
            <v>KHI/HO/D/MO/MC COMP/P/92889/07/2024</v>
          </cell>
          <cell r="C101" t="str">
            <v>040000178621</v>
          </cell>
        </row>
        <row r="102">
          <cell r="B102" t="str">
            <v>KHI/HO/D/MO/MC COMP/P/92890/07/2024</v>
          </cell>
          <cell r="C102" t="str">
            <v>040000178622</v>
          </cell>
        </row>
        <row r="103">
          <cell r="B103" t="str">
            <v>KHI/HO/D/MO/MC COMP/P/92892/07/2024</v>
          </cell>
          <cell r="C103" t="str">
            <v>040000178624</v>
          </cell>
        </row>
        <row r="104">
          <cell r="B104" t="str">
            <v>KHI/HO/D/MO/MC COMP/P/92893/07/2024</v>
          </cell>
          <cell r="C104" t="str">
            <v>040000178625</v>
          </cell>
        </row>
        <row r="105">
          <cell r="B105" t="str">
            <v>KHI/HO/D/MO/MC COMP/P/92894/07/2024</v>
          </cell>
          <cell r="C105" t="str">
            <v>040000178626</v>
          </cell>
        </row>
        <row r="106">
          <cell r="B106" t="str">
            <v>KHI/HO/D/MO/MC COMP/P/92895/07/2024</v>
          </cell>
          <cell r="C106" t="str">
            <v>040000178627</v>
          </cell>
        </row>
        <row r="107">
          <cell r="B107" t="str">
            <v>KHI/HO/D/MO/MC COMP/P/93093/07/2024</v>
          </cell>
          <cell r="C107" t="str">
            <v>040000178849</v>
          </cell>
        </row>
        <row r="108">
          <cell r="B108" t="str">
            <v>KHI/HO/D/MO/MC COMP/P/92897/07/2024</v>
          </cell>
          <cell r="C108" t="str">
            <v>040000178629</v>
          </cell>
        </row>
        <row r="109">
          <cell r="B109" t="str">
            <v>KHI/HO/D/MO/MC COMP/P/92898/07/2024</v>
          </cell>
          <cell r="C109" t="str">
            <v>040000178630</v>
          </cell>
        </row>
        <row r="110">
          <cell r="B110" t="str">
            <v>KHI/HO/D/MO/MC COMP/P/92899/07/2024</v>
          </cell>
          <cell r="C110" t="str">
            <v>040000178631</v>
          </cell>
        </row>
        <row r="111">
          <cell r="B111" t="str">
            <v>KHI/HO/D/MO/MC COMP/P/93028/07/2024</v>
          </cell>
          <cell r="C111" t="str">
            <v>040000178772</v>
          </cell>
        </row>
        <row r="112">
          <cell r="B112" t="str">
            <v>KHI/HO/D/MO/MC COMP/P/93096/07/2024</v>
          </cell>
          <cell r="C112" t="str">
            <v>040000178853</v>
          </cell>
        </row>
        <row r="113">
          <cell r="B113" t="str">
            <v>KHI/HO/D/MO/MC COMP/P/93188/07/2024</v>
          </cell>
          <cell r="C113" t="str">
            <v>040000178970</v>
          </cell>
        </row>
        <row r="114">
          <cell r="B114" t="str">
            <v>KHI/HO/D/MO/MC COMP/P/93191/07/2024</v>
          </cell>
          <cell r="C114" t="str">
            <v>040000178973</v>
          </cell>
        </row>
        <row r="115">
          <cell r="B115" t="str">
            <v>KHI/HO/D/MO/MC COMP/P/93192/07/2024</v>
          </cell>
          <cell r="C115" t="str">
            <v>040000178974</v>
          </cell>
        </row>
        <row r="116">
          <cell r="B116" t="str">
            <v>KHI/HO/D/MO/MC COMP/P/93195/07/2024</v>
          </cell>
          <cell r="C116" t="str">
            <v>040000178977</v>
          </cell>
        </row>
        <row r="117">
          <cell r="B117" t="str">
            <v>KHI/HO/D/MO/MC COMP/P/93196/07/2024</v>
          </cell>
          <cell r="C117" t="str">
            <v>040000178980</v>
          </cell>
        </row>
        <row r="118">
          <cell r="B118" t="str">
            <v>KHI/HO/D/MO/MC COMP/P/93202/07/2024</v>
          </cell>
          <cell r="C118" t="str">
            <v>040000178986</v>
          </cell>
        </row>
        <row r="119">
          <cell r="B119" t="str">
            <v>KHI/HO/D/MO/MC COMP/P/93197/07/2024</v>
          </cell>
          <cell r="C119" t="str">
            <v>040000178981</v>
          </cell>
        </row>
        <row r="120">
          <cell r="B120" t="str">
            <v>KHI/HO/D/MO/MC COMP/P/93205/07/2024</v>
          </cell>
          <cell r="C120" t="str">
            <v>040000178989</v>
          </cell>
        </row>
        <row r="121">
          <cell r="B121" t="str">
            <v>KHI/HO/D/MO/MC COMP/P/93207/07/2024</v>
          </cell>
          <cell r="C121" t="str">
            <v>040000178992</v>
          </cell>
        </row>
        <row r="122">
          <cell r="B122" t="str">
            <v>KHI/HO/D/MO/MC COMP/P/93713/07/2024</v>
          </cell>
          <cell r="C122" t="str">
            <v>040000179630</v>
          </cell>
        </row>
        <row r="123">
          <cell r="B123" t="str">
            <v>KHI/HO/D/MO/MC COMP/P/93901/07/2024</v>
          </cell>
          <cell r="C123" t="str">
            <v>040000179862</v>
          </cell>
        </row>
        <row r="124">
          <cell r="B124" t="str">
            <v>KHI/HO/D/MO/MC COMP/P/92571/07/2024</v>
          </cell>
          <cell r="C124" t="str">
            <v>040000178210</v>
          </cell>
        </row>
        <row r="125">
          <cell r="B125" t="str">
            <v>KHI/HO/D/MO/MC COMP/P/94313/07/2024</v>
          </cell>
          <cell r="C125" t="str">
            <v>040000180374</v>
          </cell>
        </row>
        <row r="126">
          <cell r="B126" t="str">
            <v>KHI/HO/D/MO/MC COMP/P/92215/07/2024</v>
          </cell>
          <cell r="C126" t="str">
            <v>040000177648</v>
          </cell>
        </row>
        <row r="127">
          <cell r="B127" t="str">
            <v>KHI/HO/D/MO/MC COMP/P/92242/07/2024</v>
          </cell>
          <cell r="C127" t="str">
            <v>040000177698</v>
          </cell>
        </row>
        <row r="128">
          <cell r="B128" t="str">
            <v>KHI/HO/D/MO/MC COMP/P/92058/07/2024</v>
          </cell>
          <cell r="C128" t="str">
            <v>040000177422</v>
          </cell>
        </row>
        <row r="129">
          <cell r="B129" t="str">
            <v>KHI/HO/D/MO/MC COMP/P/92230/07/2024</v>
          </cell>
          <cell r="C129" t="str">
            <v>040000177675</v>
          </cell>
        </row>
        <row r="130">
          <cell r="B130" t="str">
            <v>KHI/HO/D/MO/MC COMP/P/92231/07/2024</v>
          </cell>
          <cell r="C130" t="str">
            <v>040000177676</v>
          </cell>
        </row>
        <row r="131">
          <cell r="B131" t="str">
            <v>KHI/HO/D/MO/MC COMP/P/92245/07/2024</v>
          </cell>
          <cell r="C131" t="str">
            <v>040000177704</v>
          </cell>
        </row>
        <row r="132">
          <cell r="B132" t="str">
            <v>KHI/HO/D/MO/MC COMP/P/93903/07/2024</v>
          </cell>
          <cell r="C132" t="str">
            <v>040000179864</v>
          </cell>
        </row>
        <row r="133">
          <cell r="B133" t="str">
            <v>KHI/HO/D/MO/MC COMP/P/93914/07/2024</v>
          </cell>
          <cell r="C133" t="str">
            <v>040000179877</v>
          </cell>
        </row>
        <row r="134">
          <cell r="B134" t="str">
            <v>KHI/HO/D/MO/MC COMP/P/93249/07/2024</v>
          </cell>
          <cell r="C134" t="str">
            <v>040000179049</v>
          </cell>
        </row>
        <row r="135">
          <cell r="B135" t="str">
            <v>KHI/HO/D/MO/MC COMP/P/93258/07/2024</v>
          </cell>
          <cell r="C135" t="str">
            <v>040000179062</v>
          </cell>
        </row>
        <row r="136">
          <cell r="B136" t="str">
            <v>KHI/HO/D/MO/MC COMP/P/93259/07/2024</v>
          </cell>
          <cell r="C136" t="str">
            <v>040000179063</v>
          </cell>
        </row>
        <row r="137">
          <cell r="B137" t="str">
            <v>KHI/HO/D/MO/MC COMP/P/92412/07/2024</v>
          </cell>
          <cell r="C137" t="str">
            <v>040000178013</v>
          </cell>
        </row>
        <row r="138">
          <cell r="B138" t="str">
            <v>KHI/HO/D/MO/MC COMP/P/92421/07/2024</v>
          </cell>
          <cell r="C138" t="str">
            <v>040000178022</v>
          </cell>
        </row>
        <row r="139">
          <cell r="B139" t="str">
            <v>KHI/HO/D/MO/MC COMP/P/92422/07/2024</v>
          </cell>
          <cell r="C139" t="str">
            <v>040000178023</v>
          </cell>
        </row>
        <row r="140">
          <cell r="B140" t="str">
            <v>KHI/HO/D/MO/MC COMP/P/93880/07/2024</v>
          </cell>
          <cell r="C140" t="str">
            <v>040000179839</v>
          </cell>
        </row>
        <row r="141">
          <cell r="B141" t="str">
            <v>KHI/HO/D/MO/MC COMP/P/93888/07/2024</v>
          </cell>
          <cell r="C141" t="str">
            <v>040000179847</v>
          </cell>
        </row>
        <row r="142">
          <cell r="B142" t="str">
            <v>KHI/HO/D/MO/MC COMP/P/93897/07/2024</v>
          </cell>
          <cell r="C142" t="str">
            <v>040000179857</v>
          </cell>
        </row>
        <row r="143">
          <cell r="B143" t="str">
            <v>KHI/HO/D/MO/MC COMP/P/93898/07/2024</v>
          </cell>
          <cell r="C143" t="str">
            <v>040000179858</v>
          </cell>
        </row>
        <row r="144">
          <cell r="B144" t="str">
            <v>KHI/HO/D/MO/MC COMP/P/93640/07/2024</v>
          </cell>
          <cell r="C144" t="str">
            <v>040000179536</v>
          </cell>
        </row>
        <row r="145">
          <cell r="B145" t="str">
            <v>KHI/HO/D/MO/MC COMP/P/93752/07/2024</v>
          </cell>
          <cell r="C145" t="str">
            <v>040000179685</v>
          </cell>
        </row>
        <row r="146">
          <cell r="B146" t="str">
            <v>KHI/HO/D/MO/MC COMP/P/93793/07/2024</v>
          </cell>
          <cell r="C146" t="str">
            <v>040000179727</v>
          </cell>
        </row>
        <row r="147">
          <cell r="B147" t="str">
            <v>KHI/HO/D/MO/MC COMP/P/93797/07/2024</v>
          </cell>
          <cell r="C147" t="str">
            <v>040000179731</v>
          </cell>
        </row>
        <row r="148">
          <cell r="B148" t="str">
            <v>KHI/HO/D/MO/MC COMP/P/92816/07/2024</v>
          </cell>
          <cell r="C148" t="str">
            <v>040000178527</v>
          </cell>
        </row>
        <row r="149">
          <cell r="B149" t="str">
            <v>KHI/HO/D/MO/MC COMP/P/93321/07/2024</v>
          </cell>
          <cell r="C149" t="str">
            <v>040000179142</v>
          </cell>
        </row>
        <row r="150">
          <cell r="B150" t="str">
            <v>KHI/HO/D/MO/MC COMP/P/93393/07/2024</v>
          </cell>
          <cell r="C150" t="str">
            <v>040000179231</v>
          </cell>
        </row>
        <row r="151">
          <cell r="B151" t="str">
            <v>KHI/HO/D/MO/MC COMP/P/93394/07/2024</v>
          </cell>
          <cell r="C151" t="str">
            <v>040000179232</v>
          </cell>
        </row>
        <row r="152">
          <cell r="B152" t="str">
            <v>KHI/HO/D/MO/MC COMP/P/92917/07/2024</v>
          </cell>
          <cell r="C152" t="str">
            <v>040000178650</v>
          </cell>
        </row>
        <row r="153">
          <cell r="B153" t="str">
            <v>KHI/HO/D/MO/MC COMP/P/92674/07/2024</v>
          </cell>
          <cell r="C153" t="str">
            <v>040000178347</v>
          </cell>
        </row>
        <row r="154">
          <cell r="B154" t="str">
            <v>KHI/HO/D/MO/MC COMP/P/92790/07/2024</v>
          </cell>
          <cell r="C154" t="str">
            <v>040000178484</v>
          </cell>
        </row>
        <row r="155">
          <cell r="B155" t="str">
            <v>KHI/HO/D/MO/MC COMP/P/92791/07/2024</v>
          </cell>
          <cell r="C155" t="str">
            <v>040000178485</v>
          </cell>
        </row>
        <row r="156">
          <cell r="B156" t="str">
            <v>KHI/HO/D/MO/MC COMP/P/92793/07/2024</v>
          </cell>
          <cell r="C156" t="str">
            <v>040000178488</v>
          </cell>
        </row>
        <row r="157">
          <cell r="B157" t="str">
            <v>KHI/HO/D/MO/MC COMP/P/92794/07/2024</v>
          </cell>
          <cell r="C157" t="str">
            <v>040000178489</v>
          </cell>
        </row>
        <row r="158">
          <cell r="B158" t="str">
            <v>KHI/HO/D/MO/MC COMP/P/93083/07/2024</v>
          </cell>
          <cell r="C158" t="str">
            <v>040000178838</v>
          </cell>
        </row>
        <row r="159">
          <cell r="B159" t="str">
            <v>KHI/HO/D/MO/MC COMP/P/93085/07/2024</v>
          </cell>
          <cell r="C159" t="str">
            <v>040000178840</v>
          </cell>
        </row>
        <row r="160">
          <cell r="B160" t="str">
            <v>KHI/HO/D/MO/MC COMP/P/93086/07/2024</v>
          </cell>
          <cell r="C160" t="str">
            <v>040000178841</v>
          </cell>
        </row>
        <row r="161">
          <cell r="B161" t="str">
            <v>KHI/HO/D/MO/MC COMP/P/93087/07/2024</v>
          </cell>
          <cell r="C161" t="str">
            <v>040000178843</v>
          </cell>
        </row>
        <row r="162">
          <cell r="B162" t="str">
            <v>KHI/HO/D/MO/MC COMP/P/93088/07/2024</v>
          </cell>
          <cell r="C162" t="str">
            <v>040000178844</v>
          </cell>
        </row>
        <row r="163">
          <cell r="B163" t="str">
            <v>KHI/HO/D/MO/MC COMP/P/93146/07/2024</v>
          </cell>
          <cell r="C163" t="str">
            <v>040000178916</v>
          </cell>
        </row>
        <row r="164">
          <cell r="B164" t="str">
            <v>KHI/HO/D/MO/MC COMP/P/93781/07/2024</v>
          </cell>
          <cell r="C164" t="str">
            <v>040000179715</v>
          </cell>
        </row>
        <row r="165">
          <cell r="B165" t="str">
            <v>KHI/HO/D/MO/MC COMP/P/93061/07/2024</v>
          </cell>
          <cell r="C165" t="str">
            <v>040000178806</v>
          </cell>
        </row>
        <row r="166">
          <cell r="B166" t="str">
            <v>KHI/HO/D/MO/MC COMP/P/93062/07/2024</v>
          </cell>
          <cell r="C166" t="str">
            <v>040000178808</v>
          </cell>
        </row>
        <row r="167">
          <cell r="B167" t="str">
            <v>KHI/HO/D/MO/MC COMP/P/93838/07/2024</v>
          </cell>
          <cell r="C167" t="str">
            <v>040000179784</v>
          </cell>
        </row>
        <row r="168">
          <cell r="B168" t="str">
            <v>KHI/HO/D/MO/MC COMP/P/93841/07/2024</v>
          </cell>
          <cell r="C168" t="str">
            <v>040000179789</v>
          </cell>
        </row>
        <row r="169">
          <cell r="B169" t="str">
            <v>KHI/HO/D/MO/MC COMP/P/94074/07/2024</v>
          </cell>
          <cell r="C169" t="str">
            <v>040000180052</v>
          </cell>
        </row>
        <row r="170">
          <cell r="B170" t="str">
            <v>KHI/HO/D/MO/MC COMP/P/94075/07/2024</v>
          </cell>
          <cell r="C170" t="str">
            <v>040000180053</v>
          </cell>
        </row>
        <row r="171">
          <cell r="B171" t="str">
            <v>KHI/HO/D/MO/MC COMP/P/93134/07/2024</v>
          </cell>
          <cell r="C171" t="str">
            <v>040000178903</v>
          </cell>
        </row>
        <row r="172">
          <cell r="B172" t="str">
            <v>KHI/HO/D/MO/MC COMP/P/93136/07/2024</v>
          </cell>
          <cell r="C172" t="str">
            <v>040000178905</v>
          </cell>
        </row>
        <row r="173">
          <cell r="B173" t="str">
            <v>KHI/HO/D/MO/MC COMP/P/93148/07/2024</v>
          </cell>
          <cell r="C173" t="str">
            <v>040000178919</v>
          </cell>
        </row>
        <row r="174">
          <cell r="B174" t="str">
            <v>KHI/HO/D/MO/MC COMP/P/92357/07/2024</v>
          </cell>
          <cell r="C174" t="str">
            <v>040000177943</v>
          </cell>
        </row>
        <row r="175">
          <cell r="B175" t="str">
            <v>KHI/HO/D/MO/MC COMP/P/92360/07/2024</v>
          </cell>
          <cell r="C175" t="str">
            <v>040000177948</v>
          </cell>
        </row>
        <row r="176">
          <cell r="B176" t="str">
            <v>KHI/HO/D/MO/MC COMP/P/92427/07/2024</v>
          </cell>
          <cell r="C176" t="str">
            <v>040000178029</v>
          </cell>
        </row>
        <row r="177">
          <cell r="B177" t="str">
            <v>KHI/HO/D/MO/MC COMP/P/94154/07/2024</v>
          </cell>
          <cell r="C177" t="str">
            <v>040000180162</v>
          </cell>
        </row>
        <row r="178">
          <cell r="B178" t="str">
            <v>KHI/HO/D/MO/MC COMP/P/94153/07/2024</v>
          </cell>
          <cell r="C178" t="str">
            <v>040000180161</v>
          </cell>
        </row>
        <row r="179">
          <cell r="B179" t="str">
            <v>KHI/HO/D/MO/MC COMP/P/93505/07/2024</v>
          </cell>
          <cell r="C179" t="str">
            <v>040000179367</v>
          </cell>
        </row>
        <row r="180">
          <cell r="B180" t="str">
            <v>KHI/HO/D/MO/MC COMP/P/92479/07/2024</v>
          </cell>
          <cell r="C180" t="str">
            <v>040000178089</v>
          </cell>
        </row>
        <row r="181">
          <cell r="B181" t="str">
            <v>KHI/HO/D/MO/MC COMP/P/93054/07/2024</v>
          </cell>
          <cell r="C181" t="str">
            <v>040000178798</v>
          </cell>
        </row>
        <row r="182">
          <cell r="B182" t="str">
            <v>KHI/HO/D/MO/MC COMP/P/93055/07/2024</v>
          </cell>
          <cell r="C182" t="str">
            <v>040000178799</v>
          </cell>
        </row>
        <row r="183">
          <cell r="B183" t="str">
            <v>KHI/HO/D/MO/MC COMP/P/93056/07/2024</v>
          </cell>
          <cell r="C183" t="str">
            <v>040000178800</v>
          </cell>
        </row>
        <row r="184">
          <cell r="B184" t="str">
            <v>KHI/HO/D/MO/MC COMP/P/93057/07/2024</v>
          </cell>
          <cell r="C184" t="str">
            <v>040000178801</v>
          </cell>
        </row>
        <row r="185">
          <cell r="B185" t="str">
            <v>KHI/HO/D/MO/MC COMP/P/93059/07/2024</v>
          </cell>
          <cell r="C185" t="str">
            <v>040000178804</v>
          </cell>
        </row>
        <row r="186">
          <cell r="B186" t="str">
            <v>KHI/HO/D/MO/MC COMP/P/93060/07/2024</v>
          </cell>
          <cell r="C186" t="str">
            <v>040000178805</v>
          </cell>
        </row>
        <row r="187">
          <cell r="B187" t="str">
            <v>KHI/HO/D/MO/MC COMP/P/93615/07/2024</v>
          </cell>
          <cell r="C187" t="str">
            <v>040000179497</v>
          </cell>
        </row>
        <row r="188">
          <cell r="B188" t="str">
            <v>KHI/HO/D/MO/MC COMP/P/92354/07/2024</v>
          </cell>
          <cell r="C188" t="str">
            <v>040000177940</v>
          </cell>
        </row>
        <row r="189">
          <cell r="B189" t="str">
            <v>KHI/HO/D/MO/MC COMP/P/92358/07/2024</v>
          </cell>
          <cell r="C189" t="str">
            <v>040000177945</v>
          </cell>
        </row>
        <row r="190">
          <cell r="B190" t="str">
            <v>KHI/HO/D/MO/MC COMP/P/92278/07/2024</v>
          </cell>
          <cell r="C190" t="str">
            <v>040000177778</v>
          </cell>
        </row>
        <row r="191">
          <cell r="B191" t="str">
            <v>KHI/HO/D/MO/MC COMP/P/92235/07/2024</v>
          </cell>
          <cell r="C191" t="str">
            <v>040000177686</v>
          </cell>
        </row>
        <row r="192">
          <cell r="B192" t="str">
            <v>KHI/HO/D/MO/MC COMP/P/92236/07/2024</v>
          </cell>
          <cell r="C192" t="str">
            <v>040000177687</v>
          </cell>
        </row>
        <row r="193">
          <cell r="B193" t="str">
            <v>KHI/HO/D/MO/MC COMP/P/92238/07/2024</v>
          </cell>
          <cell r="C193" t="str">
            <v>040000177691</v>
          </cell>
        </row>
        <row r="194">
          <cell r="B194" t="str">
            <v>KHI/HO/D/MO/MC COMP/P/92287/07/2024</v>
          </cell>
          <cell r="C194" t="str">
            <v>040000177798</v>
          </cell>
        </row>
        <row r="195">
          <cell r="B195" t="str">
            <v>KHI/HO/D/MO/MC COMP/P/94395/08/2024</v>
          </cell>
          <cell r="C195" t="str">
            <v>040000180466</v>
          </cell>
        </row>
        <row r="196">
          <cell r="B196" t="str">
            <v>KHI/HO/D/MO/MC COMP/P/93008/07/2024</v>
          </cell>
          <cell r="C196" t="str">
            <v>040000178750</v>
          </cell>
        </row>
        <row r="197">
          <cell r="B197" t="str">
            <v>KHI/HO/D/MO/MC COMP/P/93069/07/2024</v>
          </cell>
          <cell r="C197" t="str">
            <v>040000178820</v>
          </cell>
        </row>
        <row r="198">
          <cell r="B198" t="str">
            <v>KHI/HO/D/MO/MC COMP/P/93101/07/2024</v>
          </cell>
          <cell r="C198" t="str">
            <v>040000178860</v>
          </cell>
        </row>
        <row r="199">
          <cell r="B199" t="str">
            <v>KHI/HO/D/MO/MC COMP/P/92463/07/2024</v>
          </cell>
          <cell r="C199" t="str">
            <v>040000178073</v>
          </cell>
        </row>
        <row r="200">
          <cell r="B200" t="str">
            <v>KHI/HO/D/MO/MC COMP/P/92482/07/2024</v>
          </cell>
          <cell r="C200" t="str">
            <v>040000178092</v>
          </cell>
        </row>
        <row r="201">
          <cell r="B201" t="str">
            <v>KHI/HO/D/MO/MC COMP/P/92485/07/2024</v>
          </cell>
          <cell r="C201" t="str">
            <v>040000178095</v>
          </cell>
        </row>
        <row r="202">
          <cell r="B202" t="str">
            <v>KHI/HO/D/MO/MC COMP/P/92936/07/2024</v>
          </cell>
          <cell r="C202" t="str">
            <v>040000178671</v>
          </cell>
        </row>
        <row r="203">
          <cell r="B203" t="str">
            <v>KHI/HO/D/MO/MC COMP/P/92958/07/2024</v>
          </cell>
          <cell r="C203" t="str">
            <v>040000178694</v>
          </cell>
        </row>
        <row r="204">
          <cell r="B204" t="str">
            <v>KHI/HO/D/MO/MC COMP/P/93140/07/2024</v>
          </cell>
          <cell r="C204" t="str">
            <v>040000178909</v>
          </cell>
        </row>
        <row r="205">
          <cell r="B205" t="str">
            <v>KHI/HO/D/MO/MC COMP/P/93488/07/2024</v>
          </cell>
          <cell r="C205" t="str">
            <v>040000179345</v>
          </cell>
        </row>
        <row r="206">
          <cell r="B206" t="str">
            <v>KHI/HO/D/MO/MC COMP/P/92289/07/2024</v>
          </cell>
          <cell r="C206" t="str">
            <v>040000177800</v>
          </cell>
        </row>
        <row r="207">
          <cell r="B207" t="str">
            <v>KHI/HO/D/MO/MC COMP/P/93489/07/2024</v>
          </cell>
          <cell r="C207" t="str">
            <v>040000179348</v>
          </cell>
        </row>
        <row r="208">
          <cell r="B208" t="str">
            <v>KHI/HO/D/MO/MC COMP/P/93490/07/2024</v>
          </cell>
          <cell r="C208" t="str">
            <v>040000179349</v>
          </cell>
        </row>
        <row r="209">
          <cell r="B209" t="str">
            <v>KHI/HO/D/MO/MC COMP/P/93491/07/2024</v>
          </cell>
          <cell r="C209" t="str">
            <v>040000179350</v>
          </cell>
        </row>
        <row r="210">
          <cell r="B210" t="str">
            <v>KHI/HO/D/MO/MC COMP/P/93504/07/2024</v>
          </cell>
          <cell r="C210" t="str">
            <v>040000179365</v>
          </cell>
        </row>
        <row r="211">
          <cell r="B211" t="str">
            <v>KHI/HO/D/MO/MC COMP/P/93322/07/2024</v>
          </cell>
          <cell r="C211" t="str">
            <v>040000179143</v>
          </cell>
        </row>
        <row r="212">
          <cell r="B212" t="str">
            <v>KHI/HO/D/MO/MC COMP/P/92745/07/2024</v>
          </cell>
          <cell r="C212" t="str">
            <v>040000178435</v>
          </cell>
        </row>
        <row r="213">
          <cell r="B213" t="str">
            <v>KHI/HO/D/MO/MC COMP/P/92106/07/2024</v>
          </cell>
          <cell r="C213" t="str">
            <v>040000177511</v>
          </cell>
        </row>
        <row r="214">
          <cell r="B214" t="str">
            <v>KHI/HO/D/MO/MC COMP/P/92107/07/2024</v>
          </cell>
          <cell r="C214" t="str">
            <v>040000177512</v>
          </cell>
        </row>
        <row r="215">
          <cell r="B215" t="str">
            <v>KHI/HO/D/MO/MC COMP/P/92108/07/2024</v>
          </cell>
          <cell r="C215" t="str">
            <v>040000177513</v>
          </cell>
        </row>
        <row r="216">
          <cell r="B216" t="str">
            <v>KHI/HO/D/MO/MC COMP/P/92110/07/2024</v>
          </cell>
          <cell r="C216" t="str">
            <v>040000177515</v>
          </cell>
        </row>
        <row r="217">
          <cell r="B217" t="str">
            <v>KHI/HO/D/MO/MC COMP/P/93484/07/2024</v>
          </cell>
          <cell r="C217" t="str">
            <v>040000179340</v>
          </cell>
        </row>
        <row r="218">
          <cell r="B218" t="str">
            <v>KHI/HO/D/MO/MC COMP/P/93765/07/2024</v>
          </cell>
          <cell r="C218" t="str">
            <v>040000179699</v>
          </cell>
        </row>
        <row r="219">
          <cell r="B219" t="str">
            <v>KHI/HO/D/MO/MC COMP/P/93424/07/2024</v>
          </cell>
          <cell r="C219" t="str">
            <v>040000179263</v>
          </cell>
        </row>
        <row r="220">
          <cell r="B220" t="str">
            <v>KHI/HO/D/MO/MC COMP/P/92083/07/2024</v>
          </cell>
          <cell r="C220" t="str">
            <v>040000177470</v>
          </cell>
        </row>
        <row r="221">
          <cell r="B221" t="str">
            <v>KHI/HO/D/MO/MC COMP/P/92114/07/2024</v>
          </cell>
          <cell r="C221" t="str">
            <v>040000177519</v>
          </cell>
        </row>
        <row r="222">
          <cell r="B222" t="str">
            <v>KHI/HO/D/MO/MC COMP/P/92995/07/2024</v>
          </cell>
          <cell r="C222" t="str">
            <v>040000178737</v>
          </cell>
        </row>
        <row r="223">
          <cell r="B223" t="str">
            <v>KHI/HO/D/MO/MC COMP/P/92734/07/2024</v>
          </cell>
          <cell r="C223" t="str">
            <v>040000178423</v>
          </cell>
        </row>
        <row r="224">
          <cell r="B224" t="str">
            <v>KHI/HO/D/MO/MC COMP/P/93892/07/2024</v>
          </cell>
          <cell r="C224" t="str">
            <v>040000179851</v>
          </cell>
        </row>
        <row r="225">
          <cell r="B225" t="str">
            <v>KHI/HO/D/MO/MC COMP/P/93893/07/2024</v>
          </cell>
          <cell r="C225" t="str">
            <v>040000179852</v>
          </cell>
        </row>
        <row r="226">
          <cell r="B226" t="str">
            <v>KHI/HO/D/MO/MC COMP/P/93918/07/2024</v>
          </cell>
          <cell r="C226" t="str">
            <v>040000179881</v>
          </cell>
        </row>
        <row r="227">
          <cell r="B227" t="str">
            <v>KHI/HO/D/MO/MC COMP/P/92517/07/2024</v>
          </cell>
          <cell r="C227" t="str">
            <v>040000178137</v>
          </cell>
        </row>
        <row r="228">
          <cell r="B228" t="str">
            <v>KHI/HO/D/MO/MC COMP/P/92519/07/2024</v>
          </cell>
          <cell r="C228" t="str">
            <v>040000178139</v>
          </cell>
        </row>
        <row r="229">
          <cell r="B229" t="str">
            <v>KHI/HO/D/MO/MC COMP/P/92520/07/2024</v>
          </cell>
          <cell r="C229" t="str">
            <v>040000178140</v>
          </cell>
        </row>
        <row r="230">
          <cell r="B230" t="str">
            <v>KHI/HO/D/MO/MC COMP/P/93413/07/2024</v>
          </cell>
          <cell r="C230" t="str">
            <v>040000179252</v>
          </cell>
        </row>
        <row r="231">
          <cell r="B231" t="str">
            <v>KHI/HO/D/MO/MC COMP/P/93414/07/2024</v>
          </cell>
          <cell r="C231" t="str">
            <v>040000179253</v>
          </cell>
        </row>
        <row r="232">
          <cell r="B232" t="str">
            <v>KHI/HO/D/MO/MC COMP/P/93417/07/2024</v>
          </cell>
          <cell r="C232" t="str">
            <v>040000179256</v>
          </cell>
        </row>
        <row r="233">
          <cell r="B233" t="str">
            <v>KHI/HO/D/MO/MC COMP/P/93415/07/2024</v>
          </cell>
          <cell r="C233" t="str">
            <v>040000179254</v>
          </cell>
        </row>
        <row r="234">
          <cell r="B234" t="str">
            <v>KHI/HO/D/MO/MC COMP/P/93416/07/2024</v>
          </cell>
          <cell r="C234" t="str">
            <v>040000179255</v>
          </cell>
        </row>
        <row r="235">
          <cell r="B235" t="str">
            <v>KHI/HO/D/MO/MC COMP/P/93418/07/2024</v>
          </cell>
          <cell r="C235" t="str">
            <v>040000179257</v>
          </cell>
        </row>
        <row r="236">
          <cell r="B236" t="str">
            <v>KHI/HO/D/MO/MC COMP/P/93421/07/2024</v>
          </cell>
          <cell r="C236" t="str">
            <v>040000179260</v>
          </cell>
        </row>
        <row r="237">
          <cell r="B237" t="str">
            <v>KHI/HO/D/MO/MC COMP/P/93427/07/2024</v>
          </cell>
          <cell r="C237" t="str">
            <v>040000179266</v>
          </cell>
        </row>
        <row r="238">
          <cell r="B238" t="str">
            <v>KHI/HO/D/MO/MC COMP/P/93428/07/2024</v>
          </cell>
          <cell r="C238" t="str">
            <v>040000179267</v>
          </cell>
        </row>
        <row r="239">
          <cell r="B239" t="str">
            <v>KHI/HO/D/MO/MC COMP/P/92239/07/2024</v>
          </cell>
          <cell r="C239" t="str">
            <v>040000177692</v>
          </cell>
        </row>
        <row r="240">
          <cell r="B240" t="str">
            <v>KHI/HO/D/MO/MC COMP/P/92277/07/2024</v>
          </cell>
          <cell r="C240" t="str">
            <v>040000177774</v>
          </cell>
        </row>
        <row r="241">
          <cell r="B241" t="str">
            <v>KHI/HO/D/MO/MC COMP/P/92291/07/2024</v>
          </cell>
          <cell r="C241" t="str">
            <v>040000177802</v>
          </cell>
        </row>
        <row r="242">
          <cell r="B242" t="str">
            <v>KHI/HO/D/MO/MC COMP/P/92293/07/2024</v>
          </cell>
          <cell r="C242" t="str">
            <v>040000177805</v>
          </cell>
        </row>
        <row r="243">
          <cell r="B243" t="str">
            <v>KHI/HO/D/MO/MC COMP/P/94280/07/2024</v>
          </cell>
          <cell r="C243" t="str">
            <v>040000180338</v>
          </cell>
        </row>
        <row r="244">
          <cell r="B244" t="str">
            <v>KHI/HO/D/MO/MC COMP/P/94278/07/2024</v>
          </cell>
          <cell r="C244" t="str">
            <v>040000180336</v>
          </cell>
        </row>
        <row r="245">
          <cell r="B245" t="str">
            <v>KHI/HO/D/MO/MC COMP/P/94281/07/2024</v>
          </cell>
          <cell r="C245" t="str">
            <v>040000180339</v>
          </cell>
        </row>
        <row r="246">
          <cell r="B246" t="str">
            <v>KHI/HO/D/MO/MC COMP/P/94283/07/2024</v>
          </cell>
          <cell r="C246" t="str">
            <v>040000180341</v>
          </cell>
        </row>
        <row r="247">
          <cell r="B247" t="str">
            <v>KHI/HO/D/MO/MC COMP/P/93422/07/2024</v>
          </cell>
          <cell r="C247" t="str">
            <v>040000179261</v>
          </cell>
        </row>
        <row r="248">
          <cell r="B248" t="str">
            <v>KHI/HO/D/MO/MC COMP/P/93429/07/2024</v>
          </cell>
          <cell r="C248" t="str">
            <v>040000179268</v>
          </cell>
        </row>
        <row r="249">
          <cell r="B249" t="str">
            <v>KHI/HO/D/MO/MC COMP/P/93430/07/2024</v>
          </cell>
          <cell r="C249" t="str">
            <v>040000179269</v>
          </cell>
        </row>
        <row r="250">
          <cell r="B250" t="str">
            <v>KHI/HO/D/MO/MC COMP/P/93431/07/2024</v>
          </cell>
          <cell r="C250" t="str">
            <v>040000179270</v>
          </cell>
        </row>
        <row r="251">
          <cell r="B251" t="str">
            <v>KHI/HO/D/MO/MC COMP/P/93432/07/2024</v>
          </cell>
          <cell r="C251" t="str">
            <v>040000179271</v>
          </cell>
        </row>
        <row r="252">
          <cell r="B252" t="str">
            <v>KHI/HO/D/MO/MC COMP/P/93480/07/2024</v>
          </cell>
          <cell r="C252" t="str">
            <v>040000179336</v>
          </cell>
        </row>
        <row r="253">
          <cell r="B253" t="str">
            <v>KHI/HO/D/MO/MC COMP/P/93537/07/2024</v>
          </cell>
          <cell r="C253" t="str">
            <v>040000179404</v>
          </cell>
        </row>
        <row r="254">
          <cell r="B254" t="str">
            <v>KHI/HO/D/MO/MC COMP/P/93396/07/2024</v>
          </cell>
          <cell r="C254" t="str">
            <v>040000179235</v>
          </cell>
        </row>
        <row r="255">
          <cell r="B255" t="str">
            <v>KHI/HO/D/MO/MC COMP/P/92981/07/2024</v>
          </cell>
          <cell r="C255" t="str">
            <v>040000178723</v>
          </cell>
        </row>
        <row r="256">
          <cell r="B256" t="str">
            <v>KHI/HO/D/MO/MC COMP/P/92982/07/2024</v>
          </cell>
          <cell r="C256" t="str">
            <v>040000178724</v>
          </cell>
        </row>
        <row r="257">
          <cell r="B257" t="str">
            <v>KHI/HO/D/MO/MC COMP/P/92984/07/2024</v>
          </cell>
          <cell r="C257" t="str">
            <v>040000178726</v>
          </cell>
        </row>
        <row r="258">
          <cell r="B258" t="str">
            <v>KHI/HO/D/MO/MC COMP/P/92986/07/2024</v>
          </cell>
          <cell r="C258" t="str">
            <v>040000178728</v>
          </cell>
        </row>
        <row r="259">
          <cell r="B259" t="str">
            <v>KHI/HO/D/MO/MC COMP/P/93536/07/2024</v>
          </cell>
          <cell r="C259" t="str">
            <v>040000179403</v>
          </cell>
        </row>
        <row r="260">
          <cell r="B260" t="str">
            <v>KHI/HO/D/MO/MC COMP/P/93542/07/2024</v>
          </cell>
          <cell r="C260" t="str">
            <v>040000179409</v>
          </cell>
        </row>
        <row r="261">
          <cell r="B261" t="str">
            <v>KHI/HO/D/MO/MC COMP/P/92601/07/2024</v>
          </cell>
          <cell r="C261" t="str">
            <v>040000178248</v>
          </cell>
        </row>
        <row r="262">
          <cell r="B262" t="str">
            <v>KHI/HO/D/MO/MC COMP/P/92602/07/2024</v>
          </cell>
          <cell r="C262" t="str">
            <v>040000178249</v>
          </cell>
        </row>
        <row r="263">
          <cell r="B263" t="str">
            <v>KHI/HO/D/MO/MC COMP/P/92603/07/2024</v>
          </cell>
          <cell r="C263" t="str">
            <v>040000178250</v>
          </cell>
        </row>
        <row r="264">
          <cell r="B264" t="str">
            <v>KHI/HO/D/MO/MC COMP/P/93399/07/2024</v>
          </cell>
          <cell r="C264" t="str">
            <v>040000179238</v>
          </cell>
        </row>
        <row r="265">
          <cell r="B265" t="str">
            <v>KHI/HO/D/MO/MC COMP/P/93544/07/2024</v>
          </cell>
          <cell r="C265" t="str">
            <v>040000179411</v>
          </cell>
        </row>
        <row r="266">
          <cell r="B266" t="str">
            <v>KHI/HO/D/MO/MC COMP/P/93545/07/2024</v>
          </cell>
          <cell r="C266" t="str">
            <v>040000179412</v>
          </cell>
        </row>
        <row r="267">
          <cell r="B267" t="str">
            <v>KHI/HO/D/MO/MC COMP/P/93546/07/2024</v>
          </cell>
          <cell r="C267" t="str">
            <v>040000179413</v>
          </cell>
        </row>
        <row r="268">
          <cell r="B268" t="str">
            <v>KHI/HO/D/MO/MC COMP/P/93547/07/2024</v>
          </cell>
          <cell r="C268" t="str">
            <v>040000179414</v>
          </cell>
        </row>
        <row r="269">
          <cell r="B269" t="str">
            <v>KHI/HO/D/MO/MC COMP/P/93492/07/2024</v>
          </cell>
          <cell r="C269" t="str">
            <v>040000179351</v>
          </cell>
        </row>
        <row r="270">
          <cell r="B270" t="str">
            <v>KHI/HO/D/MO/MC COMP/P/93502/07/2024</v>
          </cell>
          <cell r="C270" t="str">
            <v>040000179363</v>
          </cell>
        </row>
        <row r="271">
          <cell r="B271" t="str">
            <v>KHI/HO/D/MO/PC COMP/P/92676/07/2024</v>
          </cell>
          <cell r="C271" t="str">
            <v>040000178349</v>
          </cell>
        </row>
        <row r="272">
          <cell r="B272" t="str">
            <v>KHI/HO/D/MO/MC COMP/P/92687/07/2024</v>
          </cell>
          <cell r="C272" t="str">
            <v>040000178362</v>
          </cell>
        </row>
        <row r="273">
          <cell r="B273" t="str">
            <v>KHI/HO/D/MO/MC COMP/P/92708/07/2024</v>
          </cell>
          <cell r="C273" t="str">
            <v>040000178385</v>
          </cell>
        </row>
        <row r="274">
          <cell r="B274" t="str">
            <v>KHI/HO/D/MO/MC COMP/P/92480/07/2024</v>
          </cell>
          <cell r="C274" t="str">
            <v>040000178090</v>
          </cell>
        </row>
        <row r="275">
          <cell r="B275" t="str">
            <v>KHI/HO/D/MO/MC COMP/P/92481/07/2024</v>
          </cell>
          <cell r="C275" t="str">
            <v>040000178091</v>
          </cell>
        </row>
        <row r="276">
          <cell r="B276" t="str">
            <v>KHI/HO/D/MO/MC COMP/P/92950/07/2024</v>
          </cell>
          <cell r="C276" t="str">
            <v>040000178686</v>
          </cell>
        </row>
        <row r="277">
          <cell r="B277" t="str">
            <v>KHI/HO/D/MO/MC COMP/P/93142/07/2024</v>
          </cell>
          <cell r="C277" t="str">
            <v>040000178912</v>
          </cell>
        </row>
        <row r="278">
          <cell r="B278" t="str">
            <v>KHI/HO/D/MO/MC COMP/P/93151/07/2024</v>
          </cell>
          <cell r="C278" t="str">
            <v>040000178923</v>
          </cell>
        </row>
        <row r="279">
          <cell r="B279" t="str">
            <v>KHI/HO/D/MO/MC COMP/P/92949/07/2024</v>
          </cell>
          <cell r="C279" t="str">
            <v>040000178685</v>
          </cell>
        </row>
        <row r="280">
          <cell r="B280" t="str">
            <v>KHI/HO/D/MO/MC COMP/P/94316/07/2024</v>
          </cell>
          <cell r="C280" t="str">
            <v>040000180377</v>
          </cell>
        </row>
        <row r="281">
          <cell r="B281" t="str">
            <v>KHI/HO/D/MO/MC COMP/P/94317/07/2024</v>
          </cell>
          <cell r="C281" t="str">
            <v>040000180378</v>
          </cell>
        </row>
        <row r="282">
          <cell r="B282" t="str">
            <v>KHI/HO/D/MO/MC COMP/P/92484/07/2024</v>
          </cell>
          <cell r="C282" t="str">
            <v>040000178094</v>
          </cell>
        </row>
        <row r="283">
          <cell r="B283" t="str">
            <v>KHI/HO/D/MO/MC COMP/P/92486/07/2024</v>
          </cell>
          <cell r="C283" t="str">
            <v>040000178096</v>
          </cell>
        </row>
        <row r="284">
          <cell r="B284" t="str">
            <v>KHI/HO/D/MO/MC COMP/P/92487/07/2024</v>
          </cell>
          <cell r="C284" t="str">
            <v>040000178097</v>
          </cell>
        </row>
        <row r="285">
          <cell r="B285" t="str">
            <v>KHI/HO/D/MO/MC COMP/P/92735/07/2024</v>
          </cell>
          <cell r="C285" t="str">
            <v>040000178424</v>
          </cell>
        </row>
        <row r="286">
          <cell r="B286" t="str">
            <v>KHI/HO/D/MO/MC COMP/P/92762/07/2024</v>
          </cell>
          <cell r="C286" t="str">
            <v>040000178454</v>
          </cell>
        </row>
        <row r="287">
          <cell r="B287" t="str">
            <v>KHI/HO/D/MO/MC COMP/P/93007/07/2024</v>
          </cell>
          <cell r="C287" t="str">
            <v>040000178749</v>
          </cell>
        </row>
        <row r="288">
          <cell r="B288" t="str">
            <v>KHI/HO/D/MO/MC COMP/P/93009/07/2024</v>
          </cell>
          <cell r="C288" t="str">
            <v>040000178751</v>
          </cell>
        </row>
        <row r="289">
          <cell r="B289" t="str">
            <v>KHI/HO/D/MO/MC COMP/P/93038/07/2024</v>
          </cell>
          <cell r="C289" t="str">
            <v>040000178782</v>
          </cell>
        </row>
        <row r="290">
          <cell r="B290" t="str">
            <v>KHI/HO/D/MO/MC COMP/P/93039/07/2024</v>
          </cell>
          <cell r="C290" t="str">
            <v>040000178783</v>
          </cell>
        </row>
        <row r="291">
          <cell r="B291" t="str">
            <v>KHI/HO/D/MO/MC COMP/P/93041/07/2024</v>
          </cell>
          <cell r="C291" t="str">
            <v>040000178785</v>
          </cell>
        </row>
        <row r="292">
          <cell r="B292" t="str">
            <v>KHI/HO/D/MO/MC COMP/P/93090/07/2024</v>
          </cell>
          <cell r="C292" t="str">
            <v>040000178846</v>
          </cell>
        </row>
        <row r="293">
          <cell r="B293" t="str">
            <v>KHI/HO/D/MO/MC COMP/P/93091/07/2024</v>
          </cell>
          <cell r="C293" t="str">
            <v>040000178847</v>
          </cell>
        </row>
        <row r="294">
          <cell r="B294" t="str">
            <v>KHI/HO/D/MO/MC COMP/P/93092/07/2024</v>
          </cell>
          <cell r="C294" t="str">
            <v>040000178848</v>
          </cell>
        </row>
        <row r="295">
          <cell r="B295" t="str">
            <v>KHI/HO/D/MO/MC COMP/P/93102/07/2024</v>
          </cell>
          <cell r="C295" t="str">
            <v>040000178861</v>
          </cell>
        </row>
        <row r="296">
          <cell r="B296" t="str">
            <v>KHI/HO/D/MO/MC COMP/P/93103/07/2024</v>
          </cell>
          <cell r="C296" t="str">
            <v>040000178862</v>
          </cell>
        </row>
        <row r="297">
          <cell r="B297" t="str">
            <v>KHI/HO/D/MO/MC COMP/P/93104/07/2024</v>
          </cell>
          <cell r="C297" t="str">
            <v>040000178864</v>
          </cell>
        </row>
        <row r="298">
          <cell r="B298" t="str">
            <v>KHI/HO/D/MO/MC COMP/P/93105/07/2024</v>
          </cell>
          <cell r="C298" t="str">
            <v>040000178865</v>
          </cell>
        </row>
        <row r="299">
          <cell r="B299" t="str">
            <v>KHI/HO/D/MO/MC COMP/P/93075/07/2024</v>
          </cell>
          <cell r="C299" t="str">
            <v>040000178827</v>
          </cell>
        </row>
        <row r="300">
          <cell r="B300" t="str">
            <v>KHI/HO/D/MO/MC COMP/P/93767/07/2024</v>
          </cell>
          <cell r="C300" t="str">
            <v>040000179701</v>
          </cell>
        </row>
        <row r="301">
          <cell r="B301" t="str">
            <v>KHI/HO/D/MO/MC COMP/P/93705/07/2024</v>
          </cell>
          <cell r="C301" t="str">
            <v>040000179618</v>
          </cell>
        </row>
        <row r="302">
          <cell r="B302" t="str">
            <v>KHI/HO/D/MO/MC COMP/P/94315/07/2024</v>
          </cell>
          <cell r="C302" t="str">
            <v>040000180376</v>
          </cell>
        </row>
        <row r="303">
          <cell r="B303" t="str">
            <v>KHI/HO/D/MO/MC COMP/P/93072/07/2024</v>
          </cell>
          <cell r="C303" t="str">
            <v>040000178824</v>
          </cell>
        </row>
        <row r="304">
          <cell r="B304" t="str">
            <v>KHI/HO/D/MO/MC COMP/P/93073/07/2024</v>
          </cell>
          <cell r="C304" t="str">
            <v>040000178825</v>
          </cell>
        </row>
        <row r="305">
          <cell r="B305" t="str">
            <v>KHI/HO/D/MO/MC COMP/P/93074/07/2024</v>
          </cell>
          <cell r="C305" t="str">
            <v>040000178826</v>
          </cell>
        </row>
        <row r="306">
          <cell r="B306" t="str">
            <v>KHI/HO/D/MO/MC COMP/P/93076/07/2024</v>
          </cell>
          <cell r="C306" t="str">
            <v>040000178828</v>
          </cell>
        </row>
        <row r="307">
          <cell r="B307" t="str">
            <v>KHI/HO/D/MO/MC COMP/P/93125/07/2024</v>
          </cell>
          <cell r="C307" t="str">
            <v>040000178894</v>
          </cell>
        </row>
        <row r="308">
          <cell r="B308" t="str">
            <v>KHI/HO/D/MO/MC COMP/P/94039/07/2024</v>
          </cell>
          <cell r="C308" t="str">
            <v>040000180010</v>
          </cell>
        </row>
        <row r="309">
          <cell r="B309" t="str">
            <v>KHI/HO/D/MO/MC COMP/P/94041/07/2024</v>
          </cell>
          <cell r="C309" t="str">
            <v>040000180012</v>
          </cell>
        </row>
        <row r="310">
          <cell r="B310" t="str">
            <v>KHI/HO/D/MO/MC COMP/P/94049/07/2024</v>
          </cell>
          <cell r="C310" t="str">
            <v>040000180022</v>
          </cell>
        </row>
        <row r="311">
          <cell r="B311" t="str">
            <v>KHI/HO/D/MO/MC COMP/P/94052/07/2024</v>
          </cell>
          <cell r="C311" t="str">
            <v>040000180025</v>
          </cell>
        </row>
        <row r="312">
          <cell r="B312" t="str">
            <v>KHI/HO/D/MO/MC COMP/P/94099/07/2024</v>
          </cell>
          <cell r="C312" t="str">
            <v>040000180090</v>
          </cell>
        </row>
        <row r="313">
          <cell r="B313" t="str">
            <v>KHI/HO/D/MO/MC COMP/P/94100/07/2024</v>
          </cell>
          <cell r="C313" t="str">
            <v>040000180091</v>
          </cell>
        </row>
        <row r="314">
          <cell r="B314" t="str">
            <v>KHI/HO/D/MO/MC COMP/P/94102/07/2024</v>
          </cell>
          <cell r="C314" t="str">
            <v>040000180093</v>
          </cell>
        </row>
        <row r="315">
          <cell r="B315" t="str">
            <v>KHI/HO/D/MO/MC COMP/P/92429/07/2024</v>
          </cell>
          <cell r="C315" t="str">
            <v>040000178031</v>
          </cell>
        </row>
        <row r="316">
          <cell r="B316" t="str">
            <v>KHI/HO/D/MO/MC COMP/P/92430/07/2024</v>
          </cell>
          <cell r="C316" t="str">
            <v>040000178032</v>
          </cell>
        </row>
        <row r="317">
          <cell r="B317" t="str">
            <v>KHI/HO/D/MO/MC COMP/P/93578/07/2024</v>
          </cell>
          <cell r="C317" t="str">
            <v>040000179449</v>
          </cell>
        </row>
        <row r="318">
          <cell r="B318" t="str">
            <v>KHI/HO/D/MO/MC COMP/P/93434/07/2024</v>
          </cell>
          <cell r="C318" t="str">
            <v>040000179273</v>
          </cell>
        </row>
        <row r="319">
          <cell r="B319" t="str">
            <v>KHI/HO/D/MO/MC COMP/P/93498/07/2024</v>
          </cell>
          <cell r="C319" t="str">
            <v>040000179358</v>
          </cell>
        </row>
        <row r="320">
          <cell r="B320" t="str">
            <v>KHI/HO/D/MO/MC COMP/P/93499/07/2024</v>
          </cell>
          <cell r="C320" t="str">
            <v>040000179359</v>
          </cell>
        </row>
        <row r="321">
          <cell r="B321" t="str">
            <v>KHI/HO/D/MO/MC COMP/P/94093/07/2024</v>
          </cell>
          <cell r="C321" t="str">
            <v>040000180084</v>
          </cell>
        </row>
        <row r="322">
          <cell r="B322" t="str">
            <v>KHI/HO/D/MO/MC COMP/P/94094/07/2024</v>
          </cell>
          <cell r="C322" t="str">
            <v>040000180085</v>
          </cell>
        </row>
        <row r="323">
          <cell r="B323" t="str">
            <v>KHI/HO/D/MO/MC COMP/P/93957/07/2024</v>
          </cell>
          <cell r="C323" t="str">
            <v>040000179922</v>
          </cell>
        </row>
        <row r="324">
          <cell r="B324" t="str">
            <v>KHI/HO/D/MO/MC COMP/P/93958/07/2024</v>
          </cell>
          <cell r="C324" t="str">
            <v>040000179923</v>
          </cell>
        </row>
        <row r="325">
          <cell r="B325" t="str">
            <v>KHI/HO/D/MO/MC COMP/P/93959/07/2024</v>
          </cell>
          <cell r="C325" t="str">
            <v>040000179924</v>
          </cell>
        </row>
        <row r="326">
          <cell r="B326" t="str">
            <v>KHI/HO/D/MO/MC COMP/P/93960/07/2024</v>
          </cell>
          <cell r="C326" t="str">
            <v>040000179925</v>
          </cell>
        </row>
        <row r="327">
          <cell r="B327" t="str">
            <v>KHI/HO/D/MO/MC COMP/P/93621/07/2024</v>
          </cell>
          <cell r="C327" t="str">
            <v>040000179506</v>
          </cell>
        </row>
        <row r="328">
          <cell r="B328" t="str">
            <v>KHI/HO/D/MO/MC COMP/P/93622/07/2024</v>
          </cell>
          <cell r="C328" t="str">
            <v>040000179507</v>
          </cell>
        </row>
        <row r="329">
          <cell r="B329" t="str">
            <v>KHI/HO/D/MO/MC COMP/P/92655/07/2024</v>
          </cell>
          <cell r="C329" t="str">
            <v>040000178321</v>
          </cell>
        </row>
        <row r="330">
          <cell r="B330" t="str">
            <v>KHI/HO/D/MO/MC COMP/P/92464/07/2024</v>
          </cell>
          <cell r="C330" t="str">
            <v>040000178074</v>
          </cell>
        </row>
        <row r="331">
          <cell r="B331" t="str">
            <v>KHI/HO/D/MO/MC COMP/P/92375/07/2024</v>
          </cell>
          <cell r="C331" t="str">
            <v>040000177968</v>
          </cell>
        </row>
        <row r="332">
          <cell r="B332" t="str">
            <v>KHI/HO/D/MO/MC COMP/P/93681/07/2024</v>
          </cell>
          <cell r="C332" t="str">
            <v>040000179591</v>
          </cell>
        </row>
        <row r="333">
          <cell r="B333" t="str">
            <v>KHI/HO/D/MO/MC COMP/P/93690/07/2024</v>
          </cell>
          <cell r="C333" t="str">
            <v>040000179600</v>
          </cell>
        </row>
        <row r="334">
          <cell r="B334" t="str">
            <v>KHI/HO/D/MO/MC COMP/P/93706/07/2024</v>
          </cell>
          <cell r="C334" t="str">
            <v>040000179620</v>
          </cell>
        </row>
        <row r="335">
          <cell r="B335" t="str">
            <v>KHI/HO/D/MO/MC COMP/P/93277/07/2024</v>
          </cell>
          <cell r="C335" t="str">
            <v>040000179086</v>
          </cell>
        </row>
        <row r="336">
          <cell r="B336" t="str">
            <v>KHI/HO/D/MO/MC COMP/P/93700/07/2024</v>
          </cell>
          <cell r="C336" t="str">
            <v>040000179612</v>
          </cell>
        </row>
        <row r="337">
          <cell r="B337" t="str">
            <v>KHI/HO/D/MO/MC COMP/P/93124/07/2024</v>
          </cell>
          <cell r="C337" t="str">
            <v>040000178893</v>
          </cell>
        </row>
        <row r="338">
          <cell r="B338" t="str">
            <v>KHI/HO/D/MO/MC COMP/P/93583/07/2024</v>
          </cell>
          <cell r="C338" t="str">
            <v>040000179455</v>
          </cell>
        </row>
        <row r="339">
          <cell r="B339" t="str">
            <v>KHI/HO/D/MO/MC COMP/P/93586/07/2024</v>
          </cell>
          <cell r="C339" t="str">
            <v>040000179458</v>
          </cell>
        </row>
        <row r="340">
          <cell r="B340" t="str">
            <v>KHI/HO/D/MO/MC COMP/P/93587/07/2024</v>
          </cell>
          <cell r="C340" t="str">
            <v>040000179459</v>
          </cell>
        </row>
        <row r="341">
          <cell r="B341" t="str">
            <v>KHI/HO/D/MO/MC COMP/P/92118/07/2024</v>
          </cell>
          <cell r="C341" t="str">
            <v>040000177523</v>
          </cell>
        </row>
        <row r="342">
          <cell r="B342" t="str">
            <v>KHI/HO/D/MO/MC COMP/P/92119/07/2024</v>
          </cell>
          <cell r="C342" t="str">
            <v>040000177524</v>
          </cell>
        </row>
        <row r="343">
          <cell r="B343" t="str">
            <v>KHI/HO/D/MO/MC COMP/P/92120/07/2024</v>
          </cell>
          <cell r="C343" t="str">
            <v>040000177525</v>
          </cell>
        </row>
        <row r="344">
          <cell r="B344" t="str">
            <v>KHI/HO/D/MO/MC COMP/P/92377/07/2024</v>
          </cell>
          <cell r="C344" t="str">
            <v>040000177970</v>
          </cell>
        </row>
        <row r="345">
          <cell r="B345" t="str">
            <v>KHI/HO/D/MO/MC COMP/P/92378/07/2024</v>
          </cell>
          <cell r="C345" t="str">
            <v>040000177971</v>
          </cell>
        </row>
        <row r="346">
          <cell r="B346" t="str">
            <v>KHI/HO/D/MO/MC COMP/P/92460/07/2024</v>
          </cell>
          <cell r="C346" t="str">
            <v>040000178070</v>
          </cell>
        </row>
        <row r="347">
          <cell r="B347" t="str">
            <v>KHI/HO/D/MO/MC COMP/P/92461/07/2024</v>
          </cell>
          <cell r="C347" t="str">
            <v>040000178071</v>
          </cell>
        </row>
        <row r="348">
          <cell r="B348" t="str">
            <v>KHI/HO/D/MO/MC COMP/P/92462/07/2024</v>
          </cell>
          <cell r="C348" t="str">
            <v>040000178072</v>
          </cell>
        </row>
        <row r="349">
          <cell r="B349" t="str">
            <v>KHI/HO/D/MO/MC COMP/P/92465/07/2024</v>
          </cell>
          <cell r="C349" t="str">
            <v>040000178075</v>
          </cell>
        </row>
        <row r="350">
          <cell r="B350" t="str">
            <v>KHI/HO/D/MO/MC COMP/P/92467/07/2024</v>
          </cell>
          <cell r="C350" t="str">
            <v>040000178077</v>
          </cell>
        </row>
        <row r="351">
          <cell r="B351" t="str">
            <v>KHI/HO/D/MO/MC COMP/P/92468/07/2024</v>
          </cell>
          <cell r="C351" t="str">
            <v>040000178078</v>
          </cell>
        </row>
        <row r="352">
          <cell r="B352" t="str">
            <v>KHI/HO/D/MO/MC COMP/P/92598/07/2024</v>
          </cell>
          <cell r="C352" t="str">
            <v>040000178245</v>
          </cell>
        </row>
        <row r="353">
          <cell r="B353" t="str">
            <v>KHI/HO/D/MO/MC COMP/P/92133/07/2024</v>
          </cell>
          <cell r="C353" t="str">
            <v>040000177541</v>
          </cell>
        </row>
        <row r="354">
          <cell r="B354" t="str">
            <v>KHI/HO/D/MO/MC COMP/P/92134/07/2024</v>
          </cell>
          <cell r="C354" t="str">
            <v>040000177542</v>
          </cell>
        </row>
        <row r="355">
          <cell r="B355" t="str">
            <v>KHI/HO/D/MO/MC COMP/P/92135/07/2024</v>
          </cell>
          <cell r="C355" t="str">
            <v>040000177545</v>
          </cell>
        </row>
        <row r="356">
          <cell r="B356" t="str">
            <v>KHI/HO/D/MO/MC COMP/P/92136/07/2024</v>
          </cell>
          <cell r="C356" t="str">
            <v>040000177546</v>
          </cell>
        </row>
        <row r="357">
          <cell r="B357" t="str">
            <v>KHI/HO/D/MO/MC COMP/P/92274/07/2024</v>
          </cell>
          <cell r="C357" t="str">
            <v>040000177770</v>
          </cell>
        </row>
        <row r="358">
          <cell r="B358" t="str">
            <v>KHI/HO/D/MO/MC COMP/P/94227/07/2024</v>
          </cell>
          <cell r="C358" t="str">
            <v>040000180256</v>
          </cell>
        </row>
        <row r="359">
          <cell r="B359" t="str">
            <v>KHI/HO/D/MO/MC COMP/P/93522/07/2024</v>
          </cell>
          <cell r="C359" t="str">
            <v>040000179389</v>
          </cell>
        </row>
        <row r="360">
          <cell r="B360" t="str">
            <v>KHI/HO/D/MO/MC COMP/P/93523/07/2024</v>
          </cell>
          <cell r="C360" t="str">
            <v>040000179390</v>
          </cell>
        </row>
        <row r="361">
          <cell r="B361" t="str">
            <v>KHI/HO/D/MO/MC COMP/P/93524/07/2024</v>
          </cell>
          <cell r="C361" t="str">
            <v>040000179391</v>
          </cell>
        </row>
        <row r="362">
          <cell r="B362" t="str">
            <v>KHI/HO/D/MO/MC COMP/P/93375/07/2024</v>
          </cell>
          <cell r="C362" t="str">
            <v>040000179211</v>
          </cell>
        </row>
        <row r="363">
          <cell r="B363" t="str">
            <v>KHI/HO/D/MO/MC COMP/P/92600/07/2024</v>
          </cell>
          <cell r="C363" t="str">
            <v>040000178247</v>
          </cell>
        </row>
        <row r="364">
          <cell r="B364" t="str">
            <v>KHI/HO/D/MO/MC COMP/P/93503/07/2024</v>
          </cell>
          <cell r="C364" t="str">
            <v>040000179364</v>
          </cell>
        </row>
        <row r="365">
          <cell r="B365" t="str">
            <v>KHI/HO/D/MO/MC COMP/P/94151/07/2024</v>
          </cell>
          <cell r="C365" t="str">
            <v>040000180158</v>
          </cell>
        </row>
        <row r="366">
          <cell r="B366" t="str">
            <v>KHI/HO/D/MO/MC COMP/P/94152/07/2024</v>
          </cell>
          <cell r="C366" t="str">
            <v>040000180159</v>
          </cell>
        </row>
        <row r="367">
          <cell r="B367" t="str">
            <v>KHI/HO/D/MO/MC COMP/P/92511/07/2024</v>
          </cell>
          <cell r="C367" t="str">
            <v>040000178130</v>
          </cell>
        </row>
        <row r="368">
          <cell r="B368" t="str">
            <v>KHI/HO/D/MO/MC COMP/P/92512/07/2024</v>
          </cell>
          <cell r="C368" t="str">
            <v>040000178131</v>
          </cell>
        </row>
        <row r="369">
          <cell r="B369" t="str">
            <v>KHI/HO/D/MO/MC COMP/P/94413/08/2024</v>
          </cell>
          <cell r="C369" t="str">
            <v>040000180487</v>
          </cell>
        </row>
        <row r="370">
          <cell r="B370" t="str">
            <v>KHI/HO/D/MO/MC COMP/P/94418/08/2024</v>
          </cell>
          <cell r="C370" t="str">
            <v>040000180492</v>
          </cell>
        </row>
        <row r="371">
          <cell r="B371" t="str">
            <v>KHI/HO/D/MO/MC COMP/P/92117/07/2024</v>
          </cell>
          <cell r="C371" t="str">
            <v>040000177522</v>
          </cell>
        </row>
        <row r="372">
          <cell r="B372" t="str">
            <v>KHI/HO/D/MO/MC COMP/P/92121/07/2024</v>
          </cell>
          <cell r="C372" t="str">
            <v>040000177526</v>
          </cell>
        </row>
        <row r="373">
          <cell r="B373" t="str">
            <v>KHI/HO/D/MO/MC COMP/P/92175/07/2024</v>
          </cell>
          <cell r="C373" t="str">
            <v>040000177592</v>
          </cell>
        </row>
        <row r="374">
          <cell r="B374" t="str">
            <v>KHI/HO/D/MO/MC COMP/P/92362/07/2024</v>
          </cell>
          <cell r="C374" t="str">
            <v>040000177950</v>
          </cell>
        </row>
        <row r="375">
          <cell r="B375" t="str">
            <v>KHI/HO/D/MO/MC COMP/P/92518/07/2024</v>
          </cell>
          <cell r="C375" t="str">
            <v>040000178138</v>
          </cell>
        </row>
        <row r="376">
          <cell r="B376" t="str">
            <v>KHI/HO/D/MO/MC COMP/P/93633/07/2024</v>
          </cell>
          <cell r="C376" t="str">
            <v>040000179527</v>
          </cell>
        </row>
        <row r="377">
          <cell r="B377" t="str">
            <v>KHI/HO/D/MO/MC COMP/P/93634/07/2024</v>
          </cell>
          <cell r="C377" t="str">
            <v>040000179528</v>
          </cell>
        </row>
        <row r="378">
          <cell r="B378" t="str">
            <v>KHI/HO/D/MO/MC COMP/P/92641/07/2024</v>
          </cell>
          <cell r="C378" t="str">
            <v>040000178301</v>
          </cell>
        </row>
        <row r="379">
          <cell r="B379" t="str">
            <v>KHI/HO/D/MO/MC COMP/P/93372/07/2024</v>
          </cell>
          <cell r="C379" t="str">
            <v>040000179208</v>
          </cell>
        </row>
        <row r="380">
          <cell r="B380" t="str">
            <v>KHI/HO/D/MO/MC COMP/P/93373/07/2024</v>
          </cell>
          <cell r="C380" t="str">
            <v>040000179209</v>
          </cell>
        </row>
        <row r="381">
          <cell r="B381" t="str">
            <v>KHI/HO/D/MO/MC COMP/P/93985/07/2024</v>
          </cell>
          <cell r="C381" t="str">
            <v>040000179950</v>
          </cell>
        </row>
        <row r="382">
          <cell r="B382" t="str">
            <v>KHI/HO/D/MO/MC COMP/P/93987/07/2024</v>
          </cell>
          <cell r="C382" t="str">
            <v>040000179952</v>
          </cell>
        </row>
        <row r="383">
          <cell r="B383" t="str">
            <v>KHI/HO/D/MO/MC COMP/P/93877/07/2024</v>
          </cell>
          <cell r="C383" t="str">
            <v>040000179834</v>
          </cell>
        </row>
        <row r="384">
          <cell r="B384" t="str">
            <v>KHI/HO/D/MO/MC COMP/P/93886/07/2024</v>
          </cell>
          <cell r="C384" t="str">
            <v>040000179845</v>
          </cell>
        </row>
        <row r="385">
          <cell r="B385" t="str">
            <v>KHI/HO/D/MO/MC COMP/P/92483/07/2024</v>
          </cell>
          <cell r="C385" t="str">
            <v>040000178093</v>
          </cell>
        </row>
        <row r="386">
          <cell r="B386" t="str">
            <v>KHI/HO/D/MO/MC COMP/P/92957/07/2024</v>
          </cell>
          <cell r="C386" t="str">
            <v>040000178693</v>
          </cell>
        </row>
        <row r="387">
          <cell r="B387" t="str">
            <v>KHI/HO/D/MO/MC COMP/P/92975/07/2024</v>
          </cell>
          <cell r="C387" t="str">
            <v>040000178716</v>
          </cell>
        </row>
        <row r="388">
          <cell r="B388" t="str">
            <v>KHI/HO/D/MO/MC COMP/P/92996/07/2024</v>
          </cell>
          <cell r="C388" t="str">
            <v>040000178738</v>
          </cell>
        </row>
        <row r="389">
          <cell r="B389" t="str">
            <v>KHI/HO/D/MO/MC COMP/P/93707/07/2024</v>
          </cell>
          <cell r="C389" t="str">
            <v>040000179622</v>
          </cell>
        </row>
        <row r="390">
          <cell r="B390" t="str">
            <v>KHI/HO/D/MO/MC COMP/P/93708/07/2024</v>
          </cell>
          <cell r="C390" t="str">
            <v>040000179624</v>
          </cell>
        </row>
        <row r="391">
          <cell r="B391" t="str">
            <v>KHI/HO/D/MO/MC COMP/P/93922/07/2024</v>
          </cell>
          <cell r="C391" t="str">
            <v>040000179885</v>
          </cell>
        </row>
        <row r="392">
          <cell r="B392" t="str">
            <v>KHI/HO/D/MO/MC COMP/P/93923/07/2024</v>
          </cell>
          <cell r="C392" t="str">
            <v>040000179886</v>
          </cell>
        </row>
        <row r="393">
          <cell r="B393" t="str">
            <v>KHI/HO/D/MO/MC COMP/P/93924/07/2024</v>
          </cell>
          <cell r="C393" t="str">
            <v>040000179888</v>
          </cell>
        </row>
        <row r="394">
          <cell r="B394" t="str">
            <v>KHI/HO/D/MO/MC COMP/P/93925/07/2024</v>
          </cell>
          <cell r="C394" t="str">
            <v>040000179889</v>
          </cell>
        </row>
        <row r="395">
          <cell r="B395" t="str">
            <v>KHI/HO/D/MO/MC COMP/P/93982/07/2024</v>
          </cell>
          <cell r="C395" t="str">
            <v>040000179947</v>
          </cell>
        </row>
        <row r="396">
          <cell r="B396" t="str">
            <v>KHI/HO/D/MO/MC COMP/P/93983/07/2024</v>
          </cell>
          <cell r="C396" t="str">
            <v>040000179948</v>
          </cell>
        </row>
        <row r="397">
          <cell r="B397" t="str">
            <v>KHI/HO/D/MO/MC COMP/P/93988/07/2024</v>
          </cell>
          <cell r="C397" t="str">
            <v>040000179953</v>
          </cell>
        </row>
        <row r="398">
          <cell r="B398" t="str">
            <v>KHI/HO/D/MO/MC COMP/P/93397/07/2024</v>
          </cell>
          <cell r="C398" t="str">
            <v>040000179236</v>
          </cell>
        </row>
        <row r="399">
          <cell r="B399" t="str">
            <v>KHI/HO/D/MO/MC COMP/P/93402/07/2024</v>
          </cell>
          <cell r="C399" t="str">
            <v>040000179241</v>
          </cell>
        </row>
        <row r="400">
          <cell r="B400" t="str">
            <v>KHI/HO/D/MO/MC COMP/P/93403/07/2024</v>
          </cell>
          <cell r="C400" t="str">
            <v>040000179242</v>
          </cell>
        </row>
        <row r="401">
          <cell r="B401" t="str">
            <v>KHI/HO/D/MO/MC COMP/P/92989/07/2024</v>
          </cell>
          <cell r="C401" t="str">
            <v>040000178731</v>
          </cell>
        </row>
        <row r="402">
          <cell r="B402" t="str">
            <v>KHI/HO/D/MO/MC COMP/P/93014/07/2024</v>
          </cell>
          <cell r="C402" t="str">
            <v>040000178756</v>
          </cell>
        </row>
        <row r="403">
          <cell r="B403" t="str">
            <v>KHI/HO/D/MO/MC COMP/P/93064/07/2024</v>
          </cell>
          <cell r="C403" t="str">
            <v>040000178813</v>
          </cell>
        </row>
        <row r="404">
          <cell r="B404" t="str">
            <v>KHI/HO/D/MO/MC COMP/P/93065/07/2024</v>
          </cell>
          <cell r="C404" t="str">
            <v>040000178814</v>
          </cell>
        </row>
        <row r="405">
          <cell r="B405" t="str">
            <v>KHI/HO/D/MO/PC COMP/P/92564/07/2024</v>
          </cell>
          <cell r="C405" t="str">
            <v>040000178203</v>
          </cell>
        </row>
        <row r="406">
          <cell r="B406" t="str">
            <v>KHI/HO/D/MO/MC COMP/P/93649/07/2024</v>
          </cell>
          <cell r="C406" t="str">
            <v>040000179545</v>
          </cell>
        </row>
        <row r="407">
          <cell r="B407" t="str">
            <v>KHI/HO/D/MO/MC COMP/P/93695/07/2024</v>
          </cell>
          <cell r="C407" t="str">
            <v>040000179605</v>
          </cell>
        </row>
        <row r="408">
          <cell r="B408" t="str">
            <v>KHI/HO/D/MO/MC COMP/P/93309/07/2024</v>
          </cell>
          <cell r="C408" t="str">
            <v>040000179129</v>
          </cell>
        </row>
        <row r="409">
          <cell r="B409" t="str">
            <v>KHI/HO/D/MO/MC COMP/P/93951/07/2024</v>
          </cell>
          <cell r="C409" t="str">
            <v>040000179916</v>
          </cell>
        </row>
        <row r="410">
          <cell r="B410" t="str">
            <v>KHI/HO/D/MO/MC COMP/P/93952/07/2024</v>
          </cell>
          <cell r="C410" t="str">
            <v>040000179917</v>
          </cell>
        </row>
        <row r="411">
          <cell r="B411" t="str">
            <v>KHI/HO/D/MO/MC COMP/P/93953/07/2024</v>
          </cell>
          <cell r="C411" t="str">
            <v>040000179918</v>
          </cell>
        </row>
        <row r="412">
          <cell r="B412" t="str">
            <v>KHI/HO/D/MO/MC COMP/P/92903/07/2024</v>
          </cell>
          <cell r="C412" t="str">
            <v>040000178635</v>
          </cell>
        </row>
        <row r="413">
          <cell r="B413" t="str">
            <v>KHI/HO/D/MO/MC COMP/P/92905/07/2024</v>
          </cell>
          <cell r="C413" t="str">
            <v>040000178637</v>
          </cell>
        </row>
        <row r="414">
          <cell r="B414" t="str">
            <v>KHI/HO/D/MO/MC COMP/P/92619/07/2024</v>
          </cell>
          <cell r="C414" t="str">
            <v>040000178271</v>
          </cell>
        </row>
        <row r="415">
          <cell r="B415" t="str">
            <v>KHI/HO/D/MO/MC COMP/P/93558/07/2024</v>
          </cell>
          <cell r="C415" t="str">
            <v>040000179425</v>
          </cell>
        </row>
        <row r="416">
          <cell r="B416" t="str">
            <v>KHI/HO/D/MO/MC COMP/P/93559/07/2024</v>
          </cell>
          <cell r="C416" t="str">
            <v>040000179426</v>
          </cell>
        </row>
        <row r="417">
          <cell r="B417" t="str">
            <v>KHI/HO/D/MO/MC COMP/P/94173/07/2024</v>
          </cell>
          <cell r="C417" t="str">
            <v>040000180189</v>
          </cell>
        </row>
        <row r="418">
          <cell r="B418" t="str">
            <v>KHI/HO/D/MO/MC COMP/P/92080/07/2024</v>
          </cell>
          <cell r="C418" t="str">
            <v>040000177465</v>
          </cell>
        </row>
        <row r="419">
          <cell r="B419" t="str">
            <v>KHI/HO/D/MO/MC COMP/P/94251/07/2024</v>
          </cell>
          <cell r="C419" t="str">
            <v>040000180292</v>
          </cell>
        </row>
        <row r="420">
          <cell r="B420" t="str">
            <v>KHI/HO/D/MO/MC COMP/P/94252/07/2024</v>
          </cell>
          <cell r="C420" t="str">
            <v>040000180293</v>
          </cell>
        </row>
        <row r="421">
          <cell r="B421" t="str">
            <v>KHI/HO/D/MO/MC COMP/P/92923/07/2024</v>
          </cell>
          <cell r="C421" t="str">
            <v>040000178657</v>
          </cell>
        </row>
        <row r="422">
          <cell r="B422" t="str">
            <v>KHI/HO/D/MO/MC COMP/P/92942/07/2024</v>
          </cell>
          <cell r="C422" t="str">
            <v>040000178677</v>
          </cell>
        </row>
        <row r="423">
          <cell r="B423" t="str">
            <v>KHI/HO/D/MO/MC COMP/P/92943/07/2024</v>
          </cell>
          <cell r="C423" t="str">
            <v>040000178678</v>
          </cell>
        </row>
        <row r="424">
          <cell r="B424" t="str">
            <v>KHI/HO/D/MO/MC COMP/P/92944/07/2024</v>
          </cell>
          <cell r="C424" t="str">
            <v>040000178679</v>
          </cell>
        </row>
        <row r="425">
          <cell r="B425" t="str">
            <v>KHI/HO/D/MO/MC COMP/P/92081/07/2024</v>
          </cell>
          <cell r="C425" t="str">
            <v>040000177466</v>
          </cell>
        </row>
        <row r="426">
          <cell r="B426" t="str">
            <v>KHI/HO/D/MO/MC COMP/P/92846/07/2024</v>
          </cell>
          <cell r="C426" t="str">
            <v>040000178564</v>
          </cell>
        </row>
        <row r="427">
          <cell r="B427" t="str">
            <v>KHI/HO/D/MO/MC COMP/P/93624/07/2024</v>
          </cell>
          <cell r="C427" t="str">
            <v>040000179509</v>
          </cell>
        </row>
        <row r="428">
          <cell r="B428" t="str">
            <v>KHI/HO/D/MO/MC COMP/P/93648/07/2024</v>
          </cell>
          <cell r="C428" t="str">
            <v>040000179544</v>
          </cell>
        </row>
        <row r="429">
          <cell r="B429" t="str">
            <v>KHI/HO/D/MO/MC COMP/P/92505/07/2024</v>
          </cell>
          <cell r="C429" t="str">
            <v>040000178124</v>
          </cell>
        </row>
        <row r="430">
          <cell r="B430" t="str">
            <v>KHI/HO/D/MO/MC COMP/P/92510/07/2024</v>
          </cell>
          <cell r="C430" t="str">
            <v>040000178129</v>
          </cell>
        </row>
        <row r="431">
          <cell r="B431" t="str">
            <v>KHI/HO/D/MO/MC COMP/P/92513/07/2024</v>
          </cell>
          <cell r="C431" t="str">
            <v>040000178133</v>
          </cell>
        </row>
        <row r="432">
          <cell r="B432" t="str">
            <v>KHI/HO/D/MO/MC COMP/P/92100/07/2024</v>
          </cell>
          <cell r="C432" t="str">
            <v>040000177495</v>
          </cell>
        </row>
        <row r="433">
          <cell r="B433" t="str">
            <v>KHI/HO/D/MO/MC COMP/P/92524/07/2024</v>
          </cell>
          <cell r="C433" t="str">
            <v>040000178145</v>
          </cell>
        </row>
        <row r="434">
          <cell r="B434" t="str">
            <v>KHI/HO/D/MO/MC COMP/P/92525/07/2024</v>
          </cell>
          <cell r="C434" t="str">
            <v>040000178146</v>
          </cell>
        </row>
        <row r="435">
          <cell r="B435" t="str">
            <v>KHI/HO/D/MO/MC COMP/P/92146/07/2024</v>
          </cell>
          <cell r="C435" t="str">
            <v>040000177558</v>
          </cell>
        </row>
        <row r="436">
          <cell r="B436" t="str">
            <v>KHI/HO/D/MO/MC COMP/P/93183/07/2024</v>
          </cell>
          <cell r="C436" t="str">
            <v>040000178965</v>
          </cell>
        </row>
        <row r="437">
          <cell r="B437" t="str">
            <v>KHI/HO/D/MO/MC COMP/P/93245/07/2024</v>
          </cell>
          <cell r="C437" t="str">
            <v>040000179042</v>
          </cell>
        </row>
        <row r="438">
          <cell r="B438" t="str">
            <v>KHI/HO/D/MO/MC COMP/P/93246/07/2024</v>
          </cell>
          <cell r="C438" t="str">
            <v>040000179043</v>
          </cell>
        </row>
        <row r="439">
          <cell r="B439" t="str">
            <v>KHI/HO/D/MO/MC COMP/P/92200/07/2024</v>
          </cell>
          <cell r="C439" t="str">
            <v>040000177631</v>
          </cell>
        </row>
        <row r="440">
          <cell r="B440" t="str">
            <v>KHI/HO/D/MO/MC COMP/P/92203/07/2024</v>
          </cell>
          <cell r="C440" t="str">
            <v>040000177634</v>
          </cell>
        </row>
        <row r="441">
          <cell r="B441" t="str">
            <v>KHI/HO/D/MO/MC COMP/P/93013/07/2024</v>
          </cell>
          <cell r="C441" t="str">
            <v>040000178755</v>
          </cell>
        </row>
        <row r="442">
          <cell r="B442" t="str">
            <v>KHI/HO/D/MO/MC COMP/P/93325/07/2024</v>
          </cell>
          <cell r="C442" t="str">
            <v>040000179146</v>
          </cell>
        </row>
        <row r="443">
          <cell r="B443" t="str">
            <v>KHI/HO/D/MO/MC COMP/P/93326/07/2024</v>
          </cell>
          <cell r="C443" t="str">
            <v>040000179147</v>
          </cell>
        </row>
        <row r="444">
          <cell r="B444" t="str">
            <v>KHI/HO/D/MO/MC COMP/P/92432/07/2024</v>
          </cell>
          <cell r="C444" t="str">
            <v>040000178034</v>
          </cell>
        </row>
        <row r="445">
          <cell r="B445" t="str">
            <v>KHI/HO/D/MO/MC COMP/P/94036/07/2024</v>
          </cell>
          <cell r="C445" t="str">
            <v>040000180007</v>
          </cell>
        </row>
        <row r="446">
          <cell r="B446" t="str">
            <v>KHI/HO/D/MO/MC COMP/P/92204/07/2024</v>
          </cell>
          <cell r="C446" t="str">
            <v>040000177635</v>
          </cell>
        </row>
        <row r="447">
          <cell r="B447" t="str">
            <v>KHI/HO/D/MO/MC COMP/P/92086/07/2024</v>
          </cell>
          <cell r="C447" t="str">
            <v>040000177474</v>
          </cell>
        </row>
        <row r="448">
          <cell r="B448" t="str">
            <v>KHI/HO/D/MO/MC COMP/P/92087/07/2024</v>
          </cell>
          <cell r="C448" t="str">
            <v>040000177475</v>
          </cell>
        </row>
        <row r="449">
          <cell r="B449" t="str">
            <v>KHI/HO/D/MO/MC COMP/P/93687/07/2024</v>
          </cell>
          <cell r="C449" t="str">
            <v>040000179597</v>
          </cell>
        </row>
        <row r="450">
          <cell r="B450" t="str">
            <v>KHI/HO/D/MO/MC COMP/P/92811/07/2024</v>
          </cell>
          <cell r="C450" t="str">
            <v>040000178520</v>
          </cell>
        </row>
        <row r="451">
          <cell r="B451" t="str">
            <v>KHI/HO/D/MO/MC COMP/P/92852/07/2024</v>
          </cell>
          <cell r="C451" t="str">
            <v>040000178571</v>
          </cell>
        </row>
        <row r="452">
          <cell r="B452" t="str">
            <v>KHI/HO/D/MO/MC COMP/P/93697/07/2024</v>
          </cell>
          <cell r="C452" t="str">
            <v>040000179607</v>
          </cell>
        </row>
        <row r="453">
          <cell r="B453" t="str">
            <v>KHI/HO/D/MO/MC COMP/P/92097/07/2024</v>
          </cell>
          <cell r="C453" t="str">
            <v>040000177489</v>
          </cell>
        </row>
        <row r="454">
          <cell r="B454" t="str">
            <v>KHI/HO/D/MO/MC COMP/P/92101/07/2024</v>
          </cell>
          <cell r="C454" t="str">
            <v>040000177496</v>
          </cell>
        </row>
        <row r="455">
          <cell r="B455" t="str">
            <v>KHI/HO/D/MO/MC COMP/P/92145/07/2024</v>
          </cell>
          <cell r="C455" t="str">
            <v>040000177557</v>
          </cell>
        </row>
        <row r="456">
          <cell r="B456" t="str">
            <v>KHI/HO/D/MO/MC COMP/P/92205/07/2024</v>
          </cell>
          <cell r="C456" t="str">
            <v>040000177637</v>
          </cell>
        </row>
        <row r="457">
          <cell r="B457" t="str">
            <v>KHI/HO/D/MO/MC COMP/P/92206/07/2024</v>
          </cell>
          <cell r="C457" t="str">
            <v>040000177638</v>
          </cell>
        </row>
        <row r="458">
          <cell r="B458" t="str">
            <v>KHI/HO/D/MO/MC COMP/P/93993/07/2024</v>
          </cell>
          <cell r="C458" t="str">
            <v>040000179958</v>
          </cell>
        </row>
        <row r="459">
          <cell r="B459" t="str">
            <v>KHI/HO/D/MO/MC COMP/P/93994/07/2024</v>
          </cell>
          <cell r="C459" t="str">
            <v>040000179959</v>
          </cell>
        </row>
        <row r="460">
          <cell r="B460" t="str">
            <v>KHI/HO/D/MO/MC COMP/P/92522/07/2024</v>
          </cell>
          <cell r="C460" t="str">
            <v>040000178142</v>
          </cell>
        </row>
        <row r="461">
          <cell r="B461" t="str">
            <v>KHI/HO/D/MO/MC COMP/P/92182/07/2024</v>
          </cell>
          <cell r="C461" t="str">
            <v>040000177608</v>
          </cell>
        </row>
        <row r="462">
          <cell r="B462" t="str">
            <v>KHI/HO/D/MO/MC COMP/P/92444/07/2024</v>
          </cell>
          <cell r="C462" t="str">
            <v>040000178047</v>
          </cell>
        </row>
        <row r="463">
          <cell r="B463" t="str">
            <v>KHI/HO/D/MO/MC COMP/P/92445/07/2024</v>
          </cell>
          <cell r="C463" t="str">
            <v>040000178048</v>
          </cell>
        </row>
        <row r="464">
          <cell r="B464" t="str">
            <v>KHI/HO/D/MO/MC COMP/P/93241/07/2024</v>
          </cell>
          <cell r="C464" t="str">
            <v>040000179038</v>
          </cell>
        </row>
        <row r="465">
          <cell r="B465" t="str">
            <v>KHI/HO/D/MO/MC COMP/P/92069/07/2024</v>
          </cell>
          <cell r="C465" t="str">
            <v>040000177444</v>
          </cell>
        </row>
        <row r="466">
          <cell r="B466" t="str">
            <v>KHI/HO/D/MO/MC COMP/P/93655/07/2024</v>
          </cell>
          <cell r="C466" t="str">
            <v>040000179553</v>
          </cell>
        </row>
        <row r="467">
          <cell r="B467" t="str">
            <v>KHI/HO/D/MO/MC COMP/P/93656/07/2024</v>
          </cell>
          <cell r="C467" t="str">
            <v>040000179554</v>
          </cell>
        </row>
        <row r="468">
          <cell r="B468" t="str">
            <v>KHI/HO/D/MO/MC COMP/P/93663/07/2024</v>
          </cell>
          <cell r="C468" t="str">
            <v>040000179562</v>
          </cell>
        </row>
        <row r="469">
          <cell r="B469" t="str">
            <v>KHI/HO/D/MO/MC COMP/P/93717/07/2024</v>
          </cell>
          <cell r="C469" t="str">
            <v>040000179637</v>
          </cell>
        </row>
        <row r="470">
          <cell r="B470" t="str">
            <v>KHI/HO/D/MO/MC COMP/P/93132/07/2024</v>
          </cell>
          <cell r="C470" t="str">
            <v>040000178901</v>
          </cell>
        </row>
        <row r="471">
          <cell r="B471" t="str">
            <v>KHI/HO/D/MO/MC COMP/P/93783/07/2024</v>
          </cell>
          <cell r="C471" t="str">
            <v>040000179717</v>
          </cell>
        </row>
        <row r="472">
          <cell r="B472" t="str">
            <v>KHI/HO/D/MO/MC COMP/P/92621/07/2024</v>
          </cell>
          <cell r="C472" t="str">
            <v>040000178273</v>
          </cell>
        </row>
        <row r="473">
          <cell r="B473" t="str">
            <v>KHI/HO/D/MO/MC COMP/P/93341/07/2024</v>
          </cell>
          <cell r="C473" t="str">
            <v>040000179167</v>
          </cell>
        </row>
        <row r="474">
          <cell r="B474" t="str">
            <v>KHI/HO/D/MO/MC COMP/P/93342/07/2024</v>
          </cell>
          <cell r="C474" t="str">
            <v>040000179168</v>
          </cell>
        </row>
        <row r="475">
          <cell r="B475" t="str">
            <v>KHI/HO/D/MO/MC COMP/P/92440/07/2024</v>
          </cell>
          <cell r="C475" t="str">
            <v>040000178043</v>
          </cell>
        </row>
        <row r="476">
          <cell r="B476" t="str">
            <v>KHI/HO/D/MO/MC COMP/P/92442/07/2024</v>
          </cell>
          <cell r="C476" t="str">
            <v>040000178045</v>
          </cell>
        </row>
        <row r="477">
          <cell r="B477" t="str">
            <v>KHI/HO/D/MO/MC COMP/P/92973/07/2024</v>
          </cell>
          <cell r="C477" t="str">
            <v>040000178714</v>
          </cell>
        </row>
        <row r="478">
          <cell r="B478" t="str">
            <v>KHI/HO/D/MO/MC COMP/P/92976/07/2024</v>
          </cell>
          <cell r="C478" t="str">
            <v>040000178717</v>
          </cell>
        </row>
        <row r="479">
          <cell r="B479" t="str">
            <v>KHI/HO/D/MO/MC COMP/P/92990/07/2024</v>
          </cell>
          <cell r="C479" t="str">
            <v>040000178732</v>
          </cell>
        </row>
        <row r="480">
          <cell r="B480" t="str">
            <v>KHI/HO/D/MO/MC COMP/P/92337/07/2024</v>
          </cell>
          <cell r="C480" t="str">
            <v>040000177912</v>
          </cell>
        </row>
        <row r="481">
          <cell r="B481" t="str">
            <v>KHI/HO/D/MO/MC COMP/P/92409/07/2024</v>
          </cell>
          <cell r="C481" t="str">
            <v>040000178010</v>
          </cell>
        </row>
        <row r="482">
          <cell r="B482" t="str">
            <v>KHI/HO/D/MO/MC COMP/P/92411/07/2024</v>
          </cell>
          <cell r="C482" t="str">
            <v>040000178012</v>
          </cell>
        </row>
        <row r="483">
          <cell r="B483" t="str">
            <v>KHI/HO/D/MO/MC COMP/P/93637/07/2024</v>
          </cell>
          <cell r="C483" t="str">
            <v>040000179532</v>
          </cell>
        </row>
        <row r="484">
          <cell r="B484" t="str">
            <v>KHI/HO/D/MO/MC COMP/P/93650/07/2024</v>
          </cell>
          <cell r="C484" t="str">
            <v>040000179546</v>
          </cell>
        </row>
        <row r="485">
          <cell r="B485" t="str">
            <v>KHI/HO/D/MO/MC COMP/P/92920/07/2024</v>
          </cell>
          <cell r="C485" t="str">
            <v>040000178654</v>
          </cell>
        </row>
        <row r="486">
          <cell r="B486" t="str">
            <v>KHI/HO/D/MO/MC COMP/P/94200/07/2024</v>
          </cell>
          <cell r="C486" t="str">
            <v>040000180228</v>
          </cell>
        </row>
        <row r="487">
          <cell r="B487" t="str">
            <v>KHI/HO/D/MO/MC COMP/P/92785/07/2024</v>
          </cell>
          <cell r="C487" t="str">
            <v>040000178479</v>
          </cell>
        </row>
        <row r="488">
          <cell r="B488" t="str">
            <v>KHI/HO/D/MO/MC COMP/P/92977/07/2024</v>
          </cell>
          <cell r="C488" t="str">
            <v>040000178718</v>
          </cell>
        </row>
        <row r="489">
          <cell r="B489" t="str">
            <v>KHI/HO/D/MO/MC COMP/P/92988/07/2024</v>
          </cell>
          <cell r="C489" t="str">
            <v>040000178730</v>
          </cell>
        </row>
        <row r="490">
          <cell r="B490" t="str">
            <v>KHI/HO/D/MO/MC COMP/P/94142/07/2024</v>
          </cell>
          <cell r="C490" t="str">
            <v>040000180146</v>
          </cell>
        </row>
        <row r="491">
          <cell r="B491" t="str">
            <v>KHI/HO/D/MO/MC COMP/P/92786/07/2024</v>
          </cell>
          <cell r="C491" t="str">
            <v>040000178480</v>
          </cell>
        </row>
        <row r="492">
          <cell r="B492" t="str">
            <v>KHI/HO/D/MO/MC COMP/P/93000/07/2024</v>
          </cell>
          <cell r="C492" t="str">
            <v>040000178742</v>
          </cell>
        </row>
        <row r="493">
          <cell r="B493" t="str">
            <v>KHI/HO/D/MO/MC COMP/P/93623/07/2024</v>
          </cell>
          <cell r="C493" t="str">
            <v>040000179508</v>
          </cell>
        </row>
        <row r="494">
          <cell r="B494" t="str">
            <v>KHI/HO/D/MO/MC COMP/P/93024/07/2024</v>
          </cell>
          <cell r="C494" t="str">
            <v>040000178768</v>
          </cell>
        </row>
        <row r="495">
          <cell r="B495" t="str">
            <v>KHI/HO/D/MO/MC COMP/P/93541/07/2024</v>
          </cell>
          <cell r="C495" t="str">
            <v>040000179408</v>
          </cell>
        </row>
        <row r="496">
          <cell r="B496" t="str">
            <v>KHI/HO/D/MO/MC COMP/P/94101/07/2024</v>
          </cell>
          <cell r="C496" t="str">
            <v>040000180092</v>
          </cell>
        </row>
        <row r="497">
          <cell r="B497" t="str">
            <v>KHI/HO/D/MO/MC COMP/P/94103/07/2024</v>
          </cell>
          <cell r="C497" t="str">
            <v>040000180094</v>
          </cell>
        </row>
        <row r="498">
          <cell r="B498" t="str">
            <v>KHI/HO/D/MO/MC COMP/P/92987/07/2024</v>
          </cell>
          <cell r="C498" t="str">
            <v>040000178729</v>
          </cell>
        </row>
        <row r="499">
          <cell r="B499" t="str">
            <v>KHI/HO/D/MO/MC COMP/P/92111/07/2024</v>
          </cell>
          <cell r="C499" t="str">
            <v>040000177516</v>
          </cell>
        </row>
        <row r="500">
          <cell r="B500" t="str">
            <v>KHI/HO/D/MO/MC COMP/P/92112/07/2024</v>
          </cell>
          <cell r="C500" t="str">
            <v>040000177517</v>
          </cell>
        </row>
        <row r="501">
          <cell r="B501" t="str">
            <v>KHI/HO/D/MO/MC COMP/P/93777/07/2024</v>
          </cell>
          <cell r="C501" t="str">
            <v>040000179711</v>
          </cell>
        </row>
        <row r="502">
          <cell r="B502" t="str">
            <v>KHI/HO/D/MO/MC COMP/P/93779/07/2024</v>
          </cell>
          <cell r="C502" t="str">
            <v>040000179713</v>
          </cell>
        </row>
        <row r="503">
          <cell r="B503" t="str">
            <v>KHI/HO/D/MO/MC COMP/P/93784/07/2024</v>
          </cell>
          <cell r="C503" t="str">
            <v>040000179718</v>
          </cell>
        </row>
        <row r="504">
          <cell r="B504" t="str">
            <v>KHI/HO/D/MO/MC COMP/P/94080/07/2024</v>
          </cell>
          <cell r="C504" t="str">
            <v>040000180066</v>
          </cell>
        </row>
        <row r="505">
          <cell r="B505" t="str">
            <v>KHI/HO/D/MO/MC COMP/P/92546/07/2024</v>
          </cell>
          <cell r="C505" t="str">
            <v>040000178178</v>
          </cell>
        </row>
        <row r="506">
          <cell r="B506" t="str">
            <v>KHI/HO/D/MO/MC COMP/P/92435/07/2024</v>
          </cell>
          <cell r="C506" t="str">
            <v>040000178038</v>
          </cell>
        </row>
        <row r="507">
          <cell r="B507" t="str">
            <v>KHI/HO/D/MO/MC COMP/P/92160/07/2024</v>
          </cell>
          <cell r="C507" t="str">
            <v>040000177575</v>
          </cell>
        </row>
        <row r="508">
          <cell r="B508" t="str">
            <v>KHI/HO/D/MO/MC COMP/P/92970/07/2024</v>
          </cell>
          <cell r="C508" t="str">
            <v>040000178709</v>
          </cell>
        </row>
        <row r="509">
          <cell r="B509" t="str">
            <v>KHI/HO/D/MO/MC COMP/P/92994/07/2024</v>
          </cell>
          <cell r="C509" t="str">
            <v>040000178736</v>
          </cell>
        </row>
        <row r="510">
          <cell r="B510" t="str">
            <v>KHI/HO/D/MO/MC COMP/P/92997/07/2024</v>
          </cell>
          <cell r="C510" t="str">
            <v>040000178739</v>
          </cell>
        </row>
        <row r="511">
          <cell r="B511" t="str">
            <v>KHI/HO/D/MO/MC COMP/P/93744/07/2024</v>
          </cell>
          <cell r="C511" t="str">
            <v>040000179674</v>
          </cell>
        </row>
        <row r="512">
          <cell r="B512" t="str">
            <v>KHI/HO/D/MO/MC COMP/P/93932/07/2024</v>
          </cell>
          <cell r="C512" t="str">
            <v>040000179896</v>
          </cell>
        </row>
        <row r="513">
          <cell r="B513" t="str">
            <v>KHI/HO/D/MO/MC COMP/P/93938/07/2024</v>
          </cell>
          <cell r="C513" t="str">
            <v>040000179903</v>
          </cell>
        </row>
        <row r="514">
          <cell r="B514" t="str">
            <v>KHI/HO/D/MO/MC COMP/P/92323/07/2024</v>
          </cell>
          <cell r="C514" t="str">
            <v>040000177881</v>
          </cell>
        </row>
        <row r="515">
          <cell r="B515" t="str">
            <v>KHI/HO/D/MO/MC COMP/P/92324/07/2024</v>
          </cell>
          <cell r="C515" t="str">
            <v>040000177882</v>
          </cell>
        </row>
        <row r="516">
          <cell r="B516" t="str">
            <v>KHI/HO/D/MO/MC COMP/P/93856/07/2024</v>
          </cell>
          <cell r="C516" t="str">
            <v>040000179809</v>
          </cell>
        </row>
        <row r="517">
          <cell r="B517" t="str">
            <v>KHI/HO/D/MO/MC COMP/P/93860/07/2024</v>
          </cell>
          <cell r="C517" t="str">
            <v>040000179814</v>
          </cell>
        </row>
        <row r="518">
          <cell r="B518" t="str">
            <v>KHI/HO/D/MO/MC COMP/P/92773/07/2024</v>
          </cell>
          <cell r="C518" t="str">
            <v>040000178465</v>
          </cell>
        </row>
        <row r="519">
          <cell r="B519" t="str">
            <v>KHI/HO/D/MO/MC COMP/P/92946/07/2024</v>
          </cell>
          <cell r="C519" t="str">
            <v>040000178681</v>
          </cell>
        </row>
        <row r="520">
          <cell r="B520" t="str">
            <v>KHI/HO/D/MO/MC COMP/P/92953/07/2024</v>
          </cell>
          <cell r="C520" t="str">
            <v>040000178689</v>
          </cell>
        </row>
        <row r="521">
          <cell r="B521" t="str">
            <v>KHI/HO/D/MO/MC COMP/P/92971/07/2024</v>
          </cell>
          <cell r="C521" t="str">
            <v>040000178710</v>
          </cell>
        </row>
        <row r="522">
          <cell r="B522" t="str">
            <v>KHI/HO/D/MO/MC COMP/P/92991/07/2024</v>
          </cell>
          <cell r="C522" t="str">
            <v>040000178733</v>
          </cell>
        </row>
        <row r="523">
          <cell r="B523" t="str">
            <v>KHI/HO/D/MO/MC COMP/P/92993/07/2024</v>
          </cell>
          <cell r="C523" t="str">
            <v>040000178735</v>
          </cell>
        </row>
        <row r="524">
          <cell r="B524" t="str">
            <v>KHI/HO/D/MO/MC COMP/P/93066/07/2024</v>
          </cell>
          <cell r="C524" t="str">
            <v>040000178817</v>
          </cell>
        </row>
        <row r="525">
          <cell r="B525" t="str">
            <v>KHI/HO/D/MO/MC COMP/P/93067/07/2024</v>
          </cell>
          <cell r="C525" t="str">
            <v>040000178818</v>
          </cell>
        </row>
        <row r="526">
          <cell r="B526" t="str">
            <v>KHI/HO/D/MO/MC COMP/P/93170/07/2024</v>
          </cell>
          <cell r="C526" t="str">
            <v>040000178949</v>
          </cell>
        </row>
        <row r="527">
          <cell r="B527" t="str">
            <v>KHI/HO/D/MO/MC COMP/P/92454/07/2024</v>
          </cell>
          <cell r="C527" t="str">
            <v>040000178064</v>
          </cell>
        </row>
        <row r="528">
          <cell r="B528" t="str">
            <v>KHI/HO/D/MO/MC COMP/P/92455/07/2024</v>
          </cell>
          <cell r="C528" t="str">
            <v>040000178065</v>
          </cell>
        </row>
        <row r="529">
          <cell r="B529" t="str">
            <v>KHI/HO/D/MO/MC COMP/P/92954/07/2024</v>
          </cell>
          <cell r="C529" t="str">
            <v>040000178690</v>
          </cell>
        </row>
        <row r="530">
          <cell r="B530" t="str">
            <v>KHI/HO/D/MO/MC COMP/P/93718/07/2024</v>
          </cell>
          <cell r="C530" t="str">
            <v>040000179638</v>
          </cell>
        </row>
        <row r="531">
          <cell r="B531" t="str">
            <v>KHI/HO/D/MO/MC COMP/P/93285/07/2024</v>
          </cell>
          <cell r="C531" t="str">
            <v>040000179094</v>
          </cell>
        </row>
        <row r="532">
          <cell r="B532" t="str">
            <v>KHI/HO/D/MO/MC COMP/P/93302/07/2024</v>
          </cell>
          <cell r="C532" t="str">
            <v>040000179111</v>
          </cell>
        </row>
        <row r="533">
          <cell r="B533" t="str">
            <v>KHI/HO/D/MO/MC COMP/P/92433/07/2024</v>
          </cell>
          <cell r="C533" t="str">
            <v>040000178035</v>
          </cell>
        </row>
        <row r="534">
          <cell r="B534" t="str">
            <v>KHI/HO/D/MO/MC COMP/P/92436/07/2024</v>
          </cell>
          <cell r="C534" t="str">
            <v>040000178039</v>
          </cell>
        </row>
        <row r="535">
          <cell r="B535" t="str">
            <v>KHI/HO/D/MO/MC COMP/P/92437/07/2024</v>
          </cell>
          <cell r="C535" t="str">
            <v>040000178040</v>
          </cell>
        </row>
        <row r="536">
          <cell r="B536" t="str">
            <v>KHI/HO/D/MO/MC COMP/P/92161/07/2024</v>
          </cell>
          <cell r="C536" t="str">
            <v>040000177576</v>
          </cell>
        </row>
        <row r="537">
          <cell r="B537" t="str">
            <v>KHI/HO/D/MO/MC COMP/P/94043/07/2024</v>
          </cell>
          <cell r="C537" t="str">
            <v>040000180015</v>
          </cell>
        </row>
        <row r="538">
          <cell r="B538" t="str">
            <v>KHI/HO/D/MO/MC COMP/P/94229/07/2024</v>
          </cell>
          <cell r="C538" t="str">
            <v>040000180258</v>
          </cell>
        </row>
        <row r="539">
          <cell r="B539" t="str">
            <v>KHI/HO/D/MO/MC COMP/P/94231/07/2024</v>
          </cell>
          <cell r="C539" t="str">
            <v>040000180261</v>
          </cell>
        </row>
        <row r="540">
          <cell r="B540" t="str">
            <v>KHI/HO/D/MO/MC COMP/P/94232/07/2024</v>
          </cell>
          <cell r="C540" t="str">
            <v>040000180262</v>
          </cell>
        </row>
        <row r="541">
          <cell r="B541" t="str">
            <v>KHI/HO/D/MO/MC COMP/P/93149/07/2024</v>
          </cell>
          <cell r="C541" t="str">
            <v>040000178920</v>
          </cell>
        </row>
        <row r="542">
          <cell r="B542" t="str">
            <v>KHI/HO/D/MO/MC COMP/P/93152/07/2024</v>
          </cell>
          <cell r="C542" t="str">
            <v>040000178924</v>
          </cell>
        </row>
        <row r="543">
          <cell r="B543" t="str">
            <v>KHI/HO/D/MO/MC COMP/P/93168/07/2024</v>
          </cell>
          <cell r="C543" t="str">
            <v>040000178947</v>
          </cell>
        </row>
        <row r="544">
          <cell r="B544" t="str">
            <v>KHI/HO/D/MO/MC COMP/P/93284/07/2024</v>
          </cell>
          <cell r="C544" t="str">
            <v>040000179093</v>
          </cell>
        </row>
        <row r="545">
          <cell r="B545" t="str">
            <v>KHI/HO/D/MO/MC COMP/P/93736/07/2024</v>
          </cell>
          <cell r="C545" t="str">
            <v>040000179663</v>
          </cell>
        </row>
        <row r="546">
          <cell r="B546" t="str">
            <v>KHI/HO/D/MO/MC COMP/P/93771/07/2024</v>
          </cell>
          <cell r="C546" t="str">
            <v>040000179705</v>
          </cell>
        </row>
        <row r="547">
          <cell r="B547" t="str">
            <v>KHI/HO/D/MO/MC COMP/P/94145/07/2024</v>
          </cell>
          <cell r="C547" t="str">
            <v>040000180150</v>
          </cell>
        </row>
        <row r="548">
          <cell r="B548" t="str">
            <v>KHI/HO/D/MO/MC COMP/P/94146/07/2024</v>
          </cell>
          <cell r="C548" t="str">
            <v>040000180151</v>
          </cell>
        </row>
        <row r="549">
          <cell r="B549" t="str">
            <v>KHI/HO/D/MO/MC COMP/P/92770/07/2024</v>
          </cell>
          <cell r="C549" t="str">
            <v>040000178462</v>
          </cell>
        </row>
        <row r="550">
          <cell r="B550" t="str">
            <v>KHI/HO/D/MO/MC COMP/P/92729/07/2024</v>
          </cell>
          <cell r="C550" t="str">
            <v>040000178418</v>
          </cell>
        </row>
        <row r="551">
          <cell r="B551" t="str">
            <v>KHI/HO/D/MO/MC COMP/P/94148/07/2024</v>
          </cell>
          <cell r="C551" t="str">
            <v>040000180154</v>
          </cell>
        </row>
        <row r="552">
          <cell r="B552" t="str">
            <v>KHI/HO/D/MO/MC COMP/P/92162/07/2024</v>
          </cell>
          <cell r="C552" t="str">
            <v>040000177577</v>
          </cell>
        </row>
        <row r="553">
          <cell r="B553" t="str">
            <v>KHI/HO/D/MO/MC COMP/P/92163/07/2024</v>
          </cell>
          <cell r="C553" t="str">
            <v>040000177578</v>
          </cell>
        </row>
        <row r="554">
          <cell r="B554" t="str">
            <v>KHI/HO/D/MO/MC COMP/P/92164/07/2024</v>
          </cell>
          <cell r="C554" t="str">
            <v>040000177579</v>
          </cell>
        </row>
        <row r="555">
          <cell r="B555" t="str">
            <v>KHI/HO/D/MO/MC COMP/P/92243/07/2024</v>
          </cell>
          <cell r="C555" t="str">
            <v>040000177702</v>
          </cell>
        </row>
        <row r="556">
          <cell r="B556" t="str">
            <v>KHI/HO/D/MO/MC COMP/P/94149/07/2024</v>
          </cell>
          <cell r="C556" t="str">
            <v>040000180156</v>
          </cell>
        </row>
        <row r="557">
          <cell r="B557" t="str">
            <v>KHI/HO/D/MO/MC COMP/P/92626/07/2024</v>
          </cell>
          <cell r="C557" t="str">
            <v>040000178279</v>
          </cell>
        </row>
        <row r="558">
          <cell r="B558" t="str">
            <v>KHI/HO/D/MO/MC COMP/P/92742/07/2024</v>
          </cell>
          <cell r="C558" t="str">
            <v>040000178431</v>
          </cell>
        </row>
        <row r="559">
          <cell r="B559" t="str">
            <v>KHI/HO/D/MO/MC COMP/P/92921/07/2024</v>
          </cell>
          <cell r="C559" t="str">
            <v>040000178655</v>
          </cell>
        </row>
        <row r="560">
          <cell r="B560" t="str">
            <v>KHI/HO/D/MO/MC COMP/P/92972/07/2024</v>
          </cell>
          <cell r="C560" t="str">
            <v>040000178711</v>
          </cell>
        </row>
        <row r="561">
          <cell r="B561" t="str">
            <v>KHI/HO/D/MO/MC COMP/P/93001/07/2024</v>
          </cell>
          <cell r="C561" t="str">
            <v>040000178743</v>
          </cell>
        </row>
        <row r="562">
          <cell r="B562" t="str">
            <v>KHI/HO/D/MO/MC COMP/P/93019/07/2024</v>
          </cell>
          <cell r="C562" t="str">
            <v>040000178763</v>
          </cell>
        </row>
        <row r="563">
          <cell r="B563" t="str">
            <v>KHI/HO/D/MO/MC COMP/P/93020/07/2024</v>
          </cell>
          <cell r="C563" t="str">
            <v>040000178764</v>
          </cell>
        </row>
        <row r="564">
          <cell r="B564" t="str">
            <v>KHI/HO/D/MO/MC COMP/P/93031/07/2024</v>
          </cell>
          <cell r="C564" t="str">
            <v>040000178775</v>
          </cell>
        </row>
        <row r="565">
          <cell r="B565" t="str">
            <v>KHI/HO/D/MO/MC COMP/P/93032/07/2024</v>
          </cell>
          <cell r="C565" t="str">
            <v>040000178776</v>
          </cell>
        </row>
        <row r="566">
          <cell r="B566" t="str">
            <v>KHI/HO/D/MO/MC COMP/P/93033/07/2024</v>
          </cell>
          <cell r="C566" t="str">
            <v>040000178777</v>
          </cell>
        </row>
        <row r="567">
          <cell r="B567" t="str">
            <v>KHI/HO/D/MO/MC COMP/P/93034/07/2024</v>
          </cell>
          <cell r="C567" t="str">
            <v>040000178778</v>
          </cell>
        </row>
        <row r="568">
          <cell r="B568" t="str">
            <v>KHI/HO/D/MO/MC COMP/P/93370/07/2024</v>
          </cell>
          <cell r="C568" t="str">
            <v>040000179206</v>
          </cell>
        </row>
        <row r="569">
          <cell r="B569" t="str">
            <v>KHI/HO/D/MO/MC COMP/P/93931/07/2024</v>
          </cell>
          <cell r="C569" t="str">
            <v>040000179895</v>
          </cell>
        </row>
        <row r="570">
          <cell r="B570" t="str">
            <v>KHI/HO/D/MO/MC COMP/P/93934/07/2024</v>
          </cell>
          <cell r="C570" t="str">
            <v>040000179899</v>
          </cell>
        </row>
        <row r="571">
          <cell r="B571" t="str">
            <v>KHI/HO/D/MO/MC COMP/P/93935/07/2024</v>
          </cell>
          <cell r="C571" t="str">
            <v>040000179900</v>
          </cell>
        </row>
        <row r="572">
          <cell r="B572" t="str">
            <v>KHI/HO/D/MO/MC COMP/P/93936/07/2024</v>
          </cell>
          <cell r="C572" t="str">
            <v>040000179901</v>
          </cell>
        </row>
        <row r="573">
          <cell r="B573" t="str">
            <v>KHI/HO/D/MO/MC COMP/P/93937/07/2024</v>
          </cell>
          <cell r="C573" t="str">
            <v>040000179902</v>
          </cell>
        </row>
        <row r="574">
          <cell r="B574" t="str">
            <v>KHI/HO/D/MO/MC COMP/P/93773/07/2024</v>
          </cell>
          <cell r="C574" t="str">
            <v>040000179707</v>
          </cell>
        </row>
        <row r="575">
          <cell r="B575" t="str">
            <v>KHI/HO/D/MO/MC COMP/P/93291/07/2024</v>
          </cell>
          <cell r="C575" t="str">
            <v>040000179100</v>
          </cell>
        </row>
        <row r="576">
          <cell r="B576" t="str">
            <v>KHI/HO/D/MO/MC COMP/P/93303/07/2024</v>
          </cell>
          <cell r="C576" t="str">
            <v>040000179112</v>
          </cell>
        </row>
        <row r="577">
          <cell r="B577" t="str">
            <v>KHI/HO/D/MO/MC COMP/P/93329/07/2024</v>
          </cell>
          <cell r="C577" t="str">
            <v>040000179151</v>
          </cell>
        </row>
        <row r="578">
          <cell r="B578" t="str">
            <v>KHI/HO/D/MO/MC COMP/P/93330/07/2024</v>
          </cell>
          <cell r="C578" t="str">
            <v>040000179153</v>
          </cell>
        </row>
        <row r="579">
          <cell r="B579" t="str">
            <v>KHI/HO/D/MO/MC COMP/P/92438/07/2024</v>
          </cell>
          <cell r="C579" t="str">
            <v>040000178041</v>
          </cell>
        </row>
        <row r="580">
          <cell r="B580" t="str">
            <v>KHI/HO/D/MO/MC COMP/P/92443/07/2024</v>
          </cell>
          <cell r="C580" t="str">
            <v>040000178046</v>
          </cell>
        </row>
        <row r="581">
          <cell r="B581" t="str">
            <v>KHI/HO/D/MO/MC COMP/P/92446/07/2024</v>
          </cell>
          <cell r="C581" t="str">
            <v>040000178049</v>
          </cell>
        </row>
        <row r="582">
          <cell r="B582" t="str">
            <v>KHI/HO/D/MO/MC COMP/P/93774/07/2024</v>
          </cell>
          <cell r="C582" t="str">
            <v>040000179708</v>
          </cell>
        </row>
        <row r="583">
          <cell r="B583" t="str">
            <v>KHI/HO/D/MO/MC COMP/P/93857/07/2024</v>
          </cell>
          <cell r="C583" t="str">
            <v>040000179810</v>
          </cell>
        </row>
        <row r="584">
          <cell r="B584" t="str">
            <v>KHI/HO/D/MO/MC COMP/P/93859/07/2024</v>
          </cell>
          <cell r="C584" t="str">
            <v>040000179813</v>
          </cell>
        </row>
        <row r="585">
          <cell r="B585" t="str">
            <v>KHI/HO/D/MO/MC COMP/P/93410/07/2024</v>
          </cell>
          <cell r="C585" t="str">
            <v>040000179249</v>
          </cell>
        </row>
        <row r="586">
          <cell r="B586" t="str">
            <v>KHI/HO/D/MO/MC COMP/P/93662/07/2024</v>
          </cell>
          <cell r="C586" t="str">
            <v>040000179561</v>
          </cell>
        </row>
        <row r="587">
          <cell r="B587" t="str">
            <v>KHI/HO/D/MO/MC COMP/P/93664/07/2024</v>
          </cell>
          <cell r="C587" t="str">
            <v>040000179563</v>
          </cell>
        </row>
        <row r="588">
          <cell r="B588" t="str">
            <v>KHI/HO/D/MO/MC COMP/P/92167/07/2024</v>
          </cell>
          <cell r="C588" t="str">
            <v>040000177582</v>
          </cell>
        </row>
        <row r="589">
          <cell r="B589" t="str">
            <v>KHI/HO/D/MO/MC COMP/P/92639/07/2024</v>
          </cell>
          <cell r="C589" t="str">
            <v>040000178298</v>
          </cell>
        </row>
        <row r="590">
          <cell r="B590" t="str">
            <v>KHI/HO/D/MO/MC COMP/P/94054/07/2024</v>
          </cell>
          <cell r="C590" t="str">
            <v>040000180027</v>
          </cell>
        </row>
        <row r="591">
          <cell r="B591" t="str">
            <v>KHI/HO/D/MO/MC COMP/P/94055/07/2024</v>
          </cell>
          <cell r="C591" t="str">
            <v>040000180028</v>
          </cell>
        </row>
        <row r="592">
          <cell r="B592" t="str">
            <v>KHI/HO/D/MO/MC COMP/P/92850/07/2024</v>
          </cell>
          <cell r="C592" t="str">
            <v>040000178569</v>
          </cell>
        </row>
        <row r="593">
          <cell r="B593" t="str">
            <v>KHI/HO/D/MO/MC COMP/P/92859/07/2024</v>
          </cell>
          <cell r="C593" t="str">
            <v>040000178583</v>
          </cell>
        </row>
        <row r="594">
          <cell r="B594" t="str">
            <v>KHI/HO/D/MO/MC COMP/P/93989/07/2024</v>
          </cell>
          <cell r="C594" t="str">
            <v>040000179954</v>
          </cell>
        </row>
        <row r="595">
          <cell r="B595" t="str">
            <v>KHI/HO/D/MO/MC COMP/P/93991/07/2024</v>
          </cell>
          <cell r="C595" t="str">
            <v>040000179956</v>
          </cell>
        </row>
        <row r="596">
          <cell r="B596" t="str">
            <v>KHI/HO/D/MO/MC COMP/P/93992/07/2024</v>
          </cell>
          <cell r="C596" t="str">
            <v>040000179957</v>
          </cell>
        </row>
        <row r="597">
          <cell r="B597" t="str">
            <v>KHI/HO/D/MO/MC COMP/P/92098/07/2024</v>
          </cell>
          <cell r="C597" t="str">
            <v>040000177492</v>
          </cell>
        </row>
        <row r="598">
          <cell r="B598" t="str">
            <v>KHI/HO/D/MO/MC COMP/P/92099/07/2024</v>
          </cell>
          <cell r="C598" t="str">
            <v>040000177493</v>
          </cell>
        </row>
        <row r="599">
          <cell r="B599" t="str">
            <v>KHI/HO/D/MO/MC COMP/P/94420/08/2024</v>
          </cell>
          <cell r="C599" t="str">
            <v>040000180494</v>
          </cell>
        </row>
        <row r="600">
          <cell r="B600" t="str">
            <v>KHI/HO/D/MO/MC COMP/P/94424/08/2024</v>
          </cell>
          <cell r="C600" t="str">
            <v>040000180498</v>
          </cell>
        </row>
        <row r="601">
          <cell r="B601" t="str">
            <v>KHI/HO/D/MO/MC COMP/P/94425/08/2024</v>
          </cell>
          <cell r="C601" t="str">
            <v>040000180499</v>
          </cell>
        </row>
        <row r="602">
          <cell r="B602" t="str">
            <v>KHI/HO/D/MO/MC COMP/P/92564/07/2024</v>
          </cell>
          <cell r="C602" t="str">
            <v>040000178202</v>
          </cell>
        </row>
        <row r="603">
          <cell r="B603" t="str">
            <v>KHI/HO/D/MO/MC COMP/P/93471/07/2024</v>
          </cell>
          <cell r="C603" t="str">
            <v>040000179327</v>
          </cell>
        </row>
        <row r="604">
          <cell r="B604" t="str">
            <v>KHI/HO/D/MO/MC COMP/P/93472/07/2024</v>
          </cell>
          <cell r="C604" t="str">
            <v>040000179328</v>
          </cell>
        </row>
        <row r="605">
          <cell r="B605" t="str">
            <v>KHI/HO/D/MO/MC COMP/P/94204/07/2024</v>
          </cell>
          <cell r="C605" t="str">
            <v>040000180232</v>
          </cell>
        </row>
        <row r="606">
          <cell r="B606" t="str">
            <v>KHI/HO/D/MO/MC COMP/P/94216/07/2024</v>
          </cell>
          <cell r="C606" t="str">
            <v>040000180244</v>
          </cell>
        </row>
        <row r="607">
          <cell r="B607" t="str">
            <v>KHI/HO/D/MO/MC COMP/P/94222/07/2024</v>
          </cell>
          <cell r="C607" t="str">
            <v>040000180250</v>
          </cell>
        </row>
        <row r="608">
          <cell r="B608" t="str">
            <v>KHI/HO/D/MO/MC COMP/P/93270/07/2024</v>
          </cell>
          <cell r="C608" t="str">
            <v>040000179076</v>
          </cell>
        </row>
        <row r="609">
          <cell r="B609" t="str">
            <v>KHI/HO/D/MO/MC COMP/P/93274/07/2024</v>
          </cell>
          <cell r="C609" t="str">
            <v>040000179080</v>
          </cell>
        </row>
        <row r="610">
          <cell r="B610" t="str">
            <v>KHI/HO/D/MO/MC COMP/P/92717/07/2024</v>
          </cell>
          <cell r="C610" t="str">
            <v>040000178400</v>
          </cell>
        </row>
        <row r="611">
          <cell r="B611" t="str">
            <v>KHI/HO/D/MO/MC COMP/P/92783/07/2024</v>
          </cell>
          <cell r="C611" t="str">
            <v>040000178476</v>
          </cell>
        </row>
        <row r="612">
          <cell r="B612" t="str">
            <v>KHI/HO/D/MO/MC COMP/P/92434/07/2024</v>
          </cell>
          <cell r="C612" t="str">
            <v>040000178036</v>
          </cell>
        </row>
        <row r="613">
          <cell r="B613" t="str">
            <v>KHI/HO/D/MO/MC COMP/P/92476/07/2024</v>
          </cell>
          <cell r="C613" t="str">
            <v>040000178086</v>
          </cell>
        </row>
        <row r="614">
          <cell r="B614" t="str">
            <v>KHI/HO/D/MO/MC COMP/P/92814/07/2024</v>
          </cell>
          <cell r="C614" t="str">
            <v>040000178524</v>
          </cell>
        </row>
        <row r="615">
          <cell r="B615" t="str">
            <v>KHI/HO/D/MO/MC COMP/P/92843/07/2024</v>
          </cell>
          <cell r="C615" t="str">
            <v>040000178559</v>
          </cell>
        </row>
        <row r="616">
          <cell r="B616" t="str">
            <v>KHI/HO/D/MO/MC COMP/P/93963/07/2024</v>
          </cell>
          <cell r="C616" t="str">
            <v>040000179928</v>
          </cell>
        </row>
        <row r="617">
          <cell r="B617" t="str">
            <v>KHI/HO/D/MO/MC COMP/P/92148/07/2024</v>
          </cell>
          <cell r="C617" t="str">
            <v>040000177560</v>
          </cell>
        </row>
        <row r="618">
          <cell r="B618" t="str">
            <v>KHI/HO/D/MO/MC COMP/P/92149/07/2024</v>
          </cell>
          <cell r="C618" t="str">
            <v>040000177561</v>
          </cell>
        </row>
        <row r="619">
          <cell r="B619" t="str">
            <v>KHI/HO/D/MO/MC COMP/P/92263/07/2024</v>
          </cell>
          <cell r="C619" t="str">
            <v>040000177751</v>
          </cell>
        </row>
        <row r="620">
          <cell r="B620" t="str">
            <v>KHI/HO/D/MO/MC COMP/P/93612/07/2024</v>
          </cell>
          <cell r="C620" t="str">
            <v>040000179490</v>
          </cell>
        </row>
        <row r="621">
          <cell r="B621" t="str">
            <v>KHI/HO/D/MO/MC COMP/P/93946/07/2024</v>
          </cell>
          <cell r="C621" t="str">
            <v>040000179911</v>
          </cell>
        </row>
        <row r="622">
          <cell r="B622" t="str">
            <v>KHI/HO/D/MO/MC COMP/P/92264/07/2024</v>
          </cell>
          <cell r="C622" t="str">
            <v>040000177752</v>
          </cell>
        </row>
        <row r="623">
          <cell r="B623" t="str">
            <v>KHI/HO/D/MO/MC COMP/P/92918/07/2024</v>
          </cell>
          <cell r="C623" t="str">
            <v>040000178652</v>
          </cell>
        </row>
        <row r="624">
          <cell r="B624" t="str">
            <v>KHI/HO/D/MO/MC COMP/P/94175/07/2024</v>
          </cell>
          <cell r="C624" t="str">
            <v>040000180191</v>
          </cell>
        </row>
        <row r="625">
          <cell r="B625" t="str">
            <v>KHI/HO/D/MO/MC COMP/P/93156/07/2024</v>
          </cell>
          <cell r="C625" t="str">
            <v>040000178929</v>
          </cell>
        </row>
        <row r="626">
          <cell r="B626" t="str">
            <v>KHI/HO/D/MO/MC COMP/P/93175/07/2024</v>
          </cell>
          <cell r="C626" t="str">
            <v>040000178955</v>
          </cell>
        </row>
        <row r="627">
          <cell r="B627" t="str">
            <v>KHI/HO/D/MO/MC COMP/P/93254/07/2024</v>
          </cell>
          <cell r="C627" t="str">
            <v>040000179057</v>
          </cell>
        </row>
        <row r="628">
          <cell r="B628" t="str">
            <v>KHI/HO/D/MO/MC COMP/P/93255/07/2024</v>
          </cell>
          <cell r="C628" t="str">
            <v>040000179058</v>
          </cell>
        </row>
        <row r="629">
          <cell r="B629" t="str">
            <v>KHI/HO/D/MO/MC COMP/P/93266/07/2024</v>
          </cell>
          <cell r="C629" t="str">
            <v>040000179071</v>
          </cell>
        </row>
        <row r="630">
          <cell r="B630" t="str">
            <v>KHI/HO/D/MO/MC COMP/P/93677/07/2024</v>
          </cell>
          <cell r="C630" t="str">
            <v>040000179587</v>
          </cell>
        </row>
        <row r="631">
          <cell r="B631" t="str">
            <v>KHI/HO/D/MO/MC COMP/P/93680/07/2024</v>
          </cell>
          <cell r="C631" t="str">
            <v>040000179590</v>
          </cell>
        </row>
        <row r="632">
          <cell r="B632" t="str">
            <v>KHI/HO/D/MO/MC COMP/P/93692/07/2024</v>
          </cell>
          <cell r="C632" t="str">
            <v>040000179602</v>
          </cell>
        </row>
        <row r="633">
          <cell r="B633" t="str">
            <v>KHI/HO/D/MO/MC COMP/P/92477/07/2024</v>
          </cell>
          <cell r="C633" t="str">
            <v>040000178087</v>
          </cell>
        </row>
        <row r="634">
          <cell r="B634" t="str">
            <v>KHI/HO/D/MO/MC COMP/P/92478/07/2024</v>
          </cell>
          <cell r="C634" t="str">
            <v>040000178088</v>
          </cell>
        </row>
        <row r="635">
          <cell r="B635" t="str">
            <v>KHI/HO/D/MO/MC COMP/P/92784/07/2024</v>
          </cell>
          <cell r="C635" t="str">
            <v>040000178478</v>
          </cell>
        </row>
        <row r="636">
          <cell r="B636" t="str">
            <v>KHI/HO/D/MO/MC COMP/P/92838/07/2024</v>
          </cell>
          <cell r="C636" t="str">
            <v>040000178553</v>
          </cell>
        </row>
        <row r="637">
          <cell r="B637" t="str">
            <v>KHI/HO/D/MO/MC COMP/P/92841/07/2024</v>
          </cell>
          <cell r="C637" t="str">
            <v>040000178557</v>
          </cell>
        </row>
        <row r="638">
          <cell r="B638" t="str">
            <v>KHI/HO/D/MO/MC COMP/P/92844/07/2024</v>
          </cell>
          <cell r="C638" t="str">
            <v>040000178561</v>
          </cell>
        </row>
        <row r="639">
          <cell r="B639" t="str">
            <v>KHI/HO/D/MO/MC COMP/P/92845/07/2024</v>
          </cell>
          <cell r="C639" t="str">
            <v>040000178562</v>
          </cell>
        </row>
        <row r="640">
          <cell r="B640" t="str">
            <v>KHI/HO/D/MO/MC COMP/P/92847/07/2024</v>
          </cell>
          <cell r="C640" t="str">
            <v>040000178565</v>
          </cell>
        </row>
        <row r="641">
          <cell r="B641" t="str">
            <v>KHI/HO/D/MO/MC COMP/P/92932/07/2024</v>
          </cell>
          <cell r="C641" t="str">
            <v>040000178667</v>
          </cell>
        </row>
        <row r="642">
          <cell r="B642" t="str">
            <v>KHI/HO/D/MO/MC COMP/P/92933/07/2024</v>
          </cell>
          <cell r="C642" t="str">
            <v>040000178668</v>
          </cell>
        </row>
        <row r="643">
          <cell r="B643" t="str">
            <v>KHI/HO/D/MO/MC COMP/P/93174/07/2024</v>
          </cell>
          <cell r="C643" t="str">
            <v>040000178954</v>
          </cell>
        </row>
        <row r="644">
          <cell r="B644" t="str">
            <v>KHI/HO/D/MO/MC COMP/P/93746/07/2024</v>
          </cell>
          <cell r="C644" t="str">
            <v>040000179676</v>
          </cell>
        </row>
        <row r="645">
          <cell r="B645" t="str">
            <v>KHI/HO/D/MO/MC COMP/P/93780/07/2024</v>
          </cell>
          <cell r="C645" t="str">
            <v>040000179714</v>
          </cell>
        </row>
        <row r="646">
          <cell r="B646" t="str">
            <v>KHI/HO/D/MO/MC COMP/P/93804/07/2024</v>
          </cell>
          <cell r="C646" t="str">
            <v>040000179739</v>
          </cell>
        </row>
        <row r="647">
          <cell r="B647" t="str">
            <v>KHI/HO/D/MO/MC COMP/P/93812/07/2024</v>
          </cell>
          <cell r="C647" t="str">
            <v>040000179749</v>
          </cell>
        </row>
        <row r="648">
          <cell r="B648" t="str">
            <v>KHI/HO/D/MO/MC COMP/P/93814/07/2024</v>
          </cell>
          <cell r="C648" t="str">
            <v>040000179751</v>
          </cell>
        </row>
        <row r="649">
          <cell r="B649" t="str">
            <v>KHI/HO/D/MO/MC COMP/P/93247/07/2024</v>
          </cell>
          <cell r="C649" t="str">
            <v>040000179046</v>
          </cell>
        </row>
        <row r="650">
          <cell r="B650" t="str">
            <v>KHI/HO/D/MO/MC COMP/P/92504/07/2024</v>
          </cell>
          <cell r="C650" t="str">
            <v>040000178122</v>
          </cell>
        </row>
        <row r="651">
          <cell r="B651" t="str">
            <v>KHI/HO/D/MO/MC COMP/P/93406/07/2024</v>
          </cell>
          <cell r="C651" t="str">
            <v>040000179245</v>
          </cell>
        </row>
        <row r="652">
          <cell r="B652" t="str">
            <v>KHI/HO/D/MO/MC COMP/P/93408/07/2024</v>
          </cell>
          <cell r="C652" t="str">
            <v>040000179247</v>
          </cell>
        </row>
        <row r="653">
          <cell r="B653" t="str">
            <v>KHI/HO/D/MO/MC COMP/P/93864/07/2024</v>
          </cell>
          <cell r="C653" t="str">
            <v>040000179819</v>
          </cell>
        </row>
        <row r="654">
          <cell r="B654" t="str">
            <v>KHI/HO/D/MO/MC COMP/P/93874/07/2024</v>
          </cell>
          <cell r="C654" t="str">
            <v>040000179830</v>
          </cell>
        </row>
        <row r="655">
          <cell r="B655" t="str">
            <v>KHI/HO/D/MO/MC COMP/P/93909/07/2024</v>
          </cell>
          <cell r="C655" t="str">
            <v>040000179871</v>
          </cell>
        </row>
        <row r="656">
          <cell r="B656" t="str">
            <v>KHI/HO/D/MO/MC COMP/P/94098/07/2024</v>
          </cell>
          <cell r="C656" t="str">
            <v>040000180089</v>
          </cell>
        </row>
        <row r="657">
          <cell r="B657" t="str">
            <v>KHI/HO/D/MO/MC COMP/P/93407/07/2024</v>
          </cell>
          <cell r="C657" t="str">
            <v>040000179246</v>
          </cell>
        </row>
        <row r="658">
          <cell r="B658" t="str">
            <v>KHI/HO/D/MO/MC COMP/P/93409/07/2024</v>
          </cell>
          <cell r="C658" t="str">
            <v>040000179248</v>
          </cell>
        </row>
        <row r="659">
          <cell r="B659" t="str">
            <v>KHI/HO/D/MO/MC COMP/P/93568/07/2024</v>
          </cell>
          <cell r="C659" t="str">
            <v>040000179437</v>
          </cell>
        </row>
        <row r="660">
          <cell r="B660" t="str">
            <v>KHI/HO/D/MO/MC COMP/P/93905/07/2024</v>
          </cell>
          <cell r="C660" t="str">
            <v>040000179867</v>
          </cell>
        </row>
        <row r="661">
          <cell r="B661" t="str">
            <v>KHI/HO/D/MO/MC COMP/P/93908/07/2024</v>
          </cell>
          <cell r="C661" t="str">
            <v>040000179870</v>
          </cell>
        </row>
        <row r="662">
          <cell r="B662" t="str">
            <v>KHI/HO/D/MO/MC COMP/P/93679/07/2024</v>
          </cell>
          <cell r="C662" t="str">
            <v>040000179589</v>
          </cell>
        </row>
        <row r="663">
          <cell r="B663" t="str">
            <v>KHI/HO/D/MO/MC COMP/P/93686/07/2024</v>
          </cell>
          <cell r="C663" t="str">
            <v>040000179596</v>
          </cell>
        </row>
        <row r="664">
          <cell r="B664" t="str">
            <v>KHI/HO/D/MO/MC COMP/P/93689/07/2024</v>
          </cell>
          <cell r="C664" t="str">
            <v>040000179599</v>
          </cell>
        </row>
        <row r="665">
          <cell r="B665" t="str">
            <v>KHI/HO/D/MO/MC COMP/P/93569/07/2024</v>
          </cell>
          <cell r="C665" t="str">
            <v>040000179438</v>
          </cell>
        </row>
        <row r="666">
          <cell r="B666" t="str">
            <v>KHI/HO/D/MO/MC COMP/P/93725/07/2024</v>
          </cell>
          <cell r="C666" t="str">
            <v>040000179648</v>
          </cell>
        </row>
        <row r="667">
          <cell r="B667" t="str">
            <v>KHI/HO/D/MO/MC COMP/P/92399/07/2024</v>
          </cell>
          <cell r="C667" t="str">
            <v>040000177996</v>
          </cell>
        </row>
        <row r="668">
          <cell r="B668" t="str">
            <v>KHI/HO/D/MO/MC COMP/P/92475/07/2024</v>
          </cell>
          <cell r="C668" t="str">
            <v>040000178085</v>
          </cell>
        </row>
        <row r="669">
          <cell r="B669" t="str">
            <v>KHI/HO/D/MO/MC COMP/P/94047/07/2024</v>
          </cell>
          <cell r="C669" t="str">
            <v>040000180019</v>
          </cell>
        </row>
        <row r="670">
          <cell r="B670" t="str">
            <v>KHI/HO/D/MO/MC COMP/P/93164/07/2024</v>
          </cell>
          <cell r="C670" t="str">
            <v>040000178938</v>
          </cell>
        </row>
        <row r="671">
          <cell r="B671" t="str">
            <v>KHI/HO/D/MO/MC COMP/P/93166/07/2024</v>
          </cell>
          <cell r="C671" t="str">
            <v>040000178945</v>
          </cell>
        </row>
        <row r="672">
          <cell r="B672" t="str">
            <v>KHI/HO/D/MO/MC COMP/P/93295/07/2024</v>
          </cell>
          <cell r="C672" t="str">
            <v>040000179104</v>
          </cell>
        </row>
        <row r="673">
          <cell r="B673" t="str">
            <v>KHI/HO/D/MO/MC COMP/P/93296/07/2024</v>
          </cell>
          <cell r="C673" t="str">
            <v>040000179105</v>
          </cell>
        </row>
        <row r="674">
          <cell r="B674" t="str">
            <v>KHI/HO/D/MO/MC COMP/P/93353/07/2024</v>
          </cell>
          <cell r="C674" t="str">
            <v>040000179184</v>
          </cell>
        </row>
        <row r="675">
          <cell r="B675" t="str">
            <v>KHI/HO/D/MO/MC COMP/P/92606/07/2024</v>
          </cell>
          <cell r="C675" t="str">
            <v>040000178255</v>
          </cell>
        </row>
        <row r="676">
          <cell r="B676" t="str">
            <v>KHI/HO/D/MO/MC COMP/P/92607/07/2024</v>
          </cell>
          <cell r="C676" t="str">
            <v>040000178256</v>
          </cell>
        </row>
        <row r="677">
          <cell r="B677" t="str">
            <v>KHI/HO/D/MO/MC COMP/P/93292/07/2024</v>
          </cell>
          <cell r="C677" t="str">
            <v>040000179101</v>
          </cell>
        </row>
        <row r="678">
          <cell r="B678" t="str">
            <v>KHI/HO/D/MO/MC COMP/P/93043/07/2024</v>
          </cell>
          <cell r="C678" t="str">
            <v>040000178787</v>
          </cell>
        </row>
        <row r="679">
          <cell r="B679" t="str">
            <v>KHI/HO/D/MO/MC COMP/P/93044/07/2024</v>
          </cell>
          <cell r="C679" t="str">
            <v>040000178788</v>
          </cell>
        </row>
        <row r="680">
          <cell r="B680" t="str">
            <v>KHI/HO/D/MO/MC COMP/P/93045/07/2024</v>
          </cell>
          <cell r="C680" t="str">
            <v>040000178789</v>
          </cell>
        </row>
        <row r="681">
          <cell r="B681" t="str">
            <v>KHI/HO/D/MO/MC COMP/P/93046/07/2024</v>
          </cell>
          <cell r="C681" t="str">
            <v>040000178790</v>
          </cell>
        </row>
        <row r="682">
          <cell r="B682" t="str">
            <v>KHI/HO/D/MO/MC COMP/P/93077/07/2024</v>
          </cell>
          <cell r="C682" t="str">
            <v>040000178830</v>
          </cell>
        </row>
        <row r="683">
          <cell r="B683" t="str">
            <v>KHI/HO/D/MO/MC COMP/P/93078/07/2024</v>
          </cell>
          <cell r="C683" t="str">
            <v>040000178831</v>
          </cell>
        </row>
        <row r="684">
          <cell r="B684" t="str">
            <v>KHI/HO/D/MO/MC COMP/P/92390/07/2024</v>
          </cell>
          <cell r="C684" t="str">
            <v>040000177983</v>
          </cell>
        </row>
        <row r="685">
          <cell r="B685" t="str">
            <v>KHI/HO/D/MO/MC COMP/P/93350/07/2024</v>
          </cell>
          <cell r="C685" t="str">
            <v>040000179179</v>
          </cell>
        </row>
        <row r="686">
          <cell r="B686" t="str">
            <v>KHI/HO/D/MO/MC COMP/P/93351/07/2024</v>
          </cell>
          <cell r="C686" t="str">
            <v>040000179180</v>
          </cell>
        </row>
        <row r="687">
          <cell r="B687" t="str">
            <v>KHI/HO/D/MO/MC COMP/P/92439/07/2024</v>
          </cell>
          <cell r="C687" t="str">
            <v>040000178042</v>
          </cell>
        </row>
        <row r="688">
          <cell r="B688" t="str">
            <v>KHI/HO/D/MO/MC COMP/P/93184/07/2024</v>
          </cell>
          <cell r="C688" t="str">
            <v>040000178966</v>
          </cell>
        </row>
        <row r="689">
          <cell r="B689" t="str">
            <v>KHI/HO/D/MO/MC COMP/P/93185/07/2024</v>
          </cell>
          <cell r="C689" t="str">
            <v>040000178967</v>
          </cell>
        </row>
        <row r="690">
          <cell r="B690" t="str">
            <v>KHI/HO/D/MO/MC COMP/P/93525/07/2024</v>
          </cell>
          <cell r="C690" t="str">
            <v>040000179392</v>
          </cell>
        </row>
        <row r="691">
          <cell r="B691" t="str">
            <v>KHI/HO/D/MO/MC COMP/P/92941/07/2024</v>
          </cell>
          <cell r="C691" t="str">
            <v>040000178676</v>
          </cell>
        </row>
        <row r="692">
          <cell r="B692" t="str">
            <v>KHI/HO/D/MO/MC COMP/P/93543/07/2024</v>
          </cell>
          <cell r="C692" t="str">
            <v>040000179410</v>
          </cell>
        </row>
        <row r="693">
          <cell r="B693" t="str">
            <v>KHI/HO/D/MO/MC COMP/P/93340/07/2024</v>
          </cell>
          <cell r="C693" t="str">
            <v>040000179166</v>
          </cell>
        </row>
        <row r="694">
          <cell r="B694" t="str">
            <v>KHI/HO/D/MO/MC COMP/P/93345/07/2024</v>
          </cell>
          <cell r="C694" t="str">
            <v>040000179173</v>
          </cell>
        </row>
        <row r="695">
          <cell r="B695" t="str">
            <v>KHI/HO/D/MO/MC COMP/P/94135/07/2024</v>
          </cell>
          <cell r="C695" t="str">
            <v>040000180139</v>
          </cell>
        </row>
        <row r="696">
          <cell r="B696" t="str">
            <v>KHI/HO/D/MO/MC COMP/P/94136/07/2024</v>
          </cell>
          <cell r="C696" t="str">
            <v>040000180140</v>
          </cell>
        </row>
        <row r="697">
          <cell r="B697" t="str">
            <v>KHI/HO/D/MO/MC COMP/P/92137/07/2024</v>
          </cell>
          <cell r="C697" t="str">
            <v>040000177547</v>
          </cell>
        </row>
        <row r="698">
          <cell r="B698" t="str">
            <v>KHI/HO/D/MO/MC COMP/P/92998/07/2024</v>
          </cell>
          <cell r="C698" t="str">
            <v>040000178740</v>
          </cell>
        </row>
        <row r="699">
          <cell r="B699" t="str">
            <v>KHI/HO/D/MO/MC COMP/P/93021/07/2024</v>
          </cell>
          <cell r="C699" t="str">
            <v>040000178765</v>
          </cell>
        </row>
        <row r="700">
          <cell r="B700" t="str">
            <v>KHI/HO/D/MO/MC COMP/P/93050/07/2024</v>
          </cell>
          <cell r="C700" t="str">
            <v>040000178794</v>
          </cell>
        </row>
        <row r="701">
          <cell r="B701" t="str">
            <v>KHI/HO/D/MO/MC COMP/P/93510/07/2024</v>
          </cell>
          <cell r="C701" t="str">
            <v>040000179375</v>
          </cell>
        </row>
        <row r="702">
          <cell r="B702" t="str">
            <v>KHI/HO/D/MO/MC COMP/P/93511/07/2024</v>
          </cell>
          <cell r="C702" t="str">
            <v>040000179376</v>
          </cell>
        </row>
        <row r="703">
          <cell r="B703" t="str">
            <v>KHI/HO/D/MO/MC COMP/P/93513/07/2024</v>
          </cell>
          <cell r="C703" t="str">
            <v>040000179378</v>
          </cell>
        </row>
        <row r="704">
          <cell r="B704" t="str">
            <v>KHI/HO/D/MO/MC COMP/P/93514/07/2024</v>
          </cell>
          <cell r="C704" t="str">
            <v>040000179379</v>
          </cell>
        </row>
        <row r="705">
          <cell r="B705" t="str">
            <v>KHI/HO/D/MO/MC COMP/P/93517/07/2024</v>
          </cell>
          <cell r="C705" t="str">
            <v>040000179382</v>
          </cell>
        </row>
        <row r="706">
          <cell r="B706" t="str">
            <v>KHI/HO/D/MO/MC COMP/P/93606/07/2024</v>
          </cell>
          <cell r="C706" t="str">
            <v>040000179483</v>
          </cell>
        </row>
        <row r="707">
          <cell r="B707" t="str">
            <v>KHI/HO/D/MO/MC COMP/P/92074/07/2024</v>
          </cell>
          <cell r="C707" t="str">
            <v>040000177452</v>
          </cell>
        </row>
        <row r="708">
          <cell r="B708" t="str">
            <v>KHI/HO/D/MO/MC COMP/P/92140/07/2024</v>
          </cell>
          <cell r="C708" t="str">
            <v>040000177551</v>
          </cell>
        </row>
        <row r="709">
          <cell r="B709" t="str">
            <v>KHI/HO/D/MO/MC COMP/P/93051/07/2024</v>
          </cell>
          <cell r="C709" t="str">
            <v>040000178795</v>
          </cell>
        </row>
        <row r="710">
          <cell r="B710" t="str">
            <v>KHI/HO/D/MO/MC COMP/P/93646/07/2024</v>
          </cell>
          <cell r="C710" t="str">
            <v>040000179542</v>
          </cell>
        </row>
        <row r="711">
          <cell r="B711" t="str">
            <v>KHI/HO/D/MO/MC COMP/P/92188/07/2024</v>
          </cell>
          <cell r="C711" t="str">
            <v>040000177616</v>
          </cell>
        </row>
        <row r="712">
          <cell r="B712" t="str">
            <v>KHI/HO/D/MO/MC COMP/P/93955/07/2024</v>
          </cell>
          <cell r="C712" t="str">
            <v>040000179920</v>
          </cell>
        </row>
        <row r="713">
          <cell r="B713" t="str">
            <v>KHI/HO/D/MO/MC COMP/P/93956/07/2024</v>
          </cell>
          <cell r="C713" t="str">
            <v>040000179921</v>
          </cell>
        </row>
        <row r="714">
          <cell r="B714" t="str">
            <v>KHI/HO/D/MO/MC COMP/P/93961/07/2024</v>
          </cell>
          <cell r="C714" t="str">
            <v>040000179926</v>
          </cell>
        </row>
        <row r="715">
          <cell r="B715" t="str">
            <v>KHI/HO/D/MO/MC COMP/P/93962/07/2024</v>
          </cell>
          <cell r="C715" t="str">
            <v>040000179927</v>
          </cell>
        </row>
        <row r="716">
          <cell r="B716" t="str">
            <v>KHI/HO/D/MO/MC COMP/P/93964/07/2024</v>
          </cell>
          <cell r="C716" t="str">
            <v>040000179929</v>
          </cell>
        </row>
        <row r="717">
          <cell r="B717" t="str">
            <v>KHI/HO/D/MO/MC COMP/P/93969/07/2024</v>
          </cell>
          <cell r="C717" t="str">
            <v>040000179934</v>
          </cell>
        </row>
        <row r="718">
          <cell r="B718" t="str">
            <v>KHI/HO/D/MO/MC COMP/P/93986/07/2024</v>
          </cell>
          <cell r="C718" t="str">
            <v>040000179951</v>
          </cell>
        </row>
        <row r="719">
          <cell r="B719" t="str">
            <v>KHI/HO/D/MO/MC COMP/P/92962/07/2024</v>
          </cell>
          <cell r="C719" t="str">
            <v>040000178698</v>
          </cell>
        </row>
        <row r="720">
          <cell r="B720" t="str">
            <v>KHI/HO/D/MO/MC COMP/P/93071/07/2024</v>
          </cell>
          <cell r="C720" t="str">
            <v>040000178822</v>
          </cell>
        </row>
        <row r="721">
          <cell r="B721" t="str">
            <v>KHI/HO/D/MO/MC COMP/P/92656/07/2024</v>
          </cell>
          <cell r="C721" t="str">
            <v>040000178322</v>
          </cell>
        </row>
        <row r="722">
          <cell r="B722" t="str">
            <v>KHI/HO/D/MO/MC COMP/P/92683/07/2024</v>
          </cell>
          <cell r="C722" t="str">
            <v>040000178358</v>
          </cell>
        </row>
        <row r="723">
          <cell r="B723" t="str">
            <v>KHI/HO/D/MO/MC COMP/P/92676/07/2024</v>
          </cell>
          <cell r="C723" t="str">
            <v>040000178350</v>
          </cell>
        </row>
        <row r="724">
          <cell r="B724" t="str">
            <v>KHI/HO/D/MO/PC COMP/P/92696/07/2024</v>
          </cell>
          <cell r="C724" t="str">
            <v>040000178373</v>
          </cell>
        </row>
        <row r="725">
          <cell r="B725" t="str">
            <v>KHI/HO/D/MO/MC COMP/P/92738/07/2024</v>
          </cell>
          <cell r="C725" t="str">
            <v>040000178427</v>
          </cell>
        </row>
        <row r="726">
          <cell r="B726" t="str">
            <v>KHI/HO/D/MO/MC COMP/P/92406/07/2024</v>
          </cell>
          <cell r="C726" t="str">
            <v>040000178007</v>
          </cell>
        </row>
        <row r="727">
          <cell r="B727" t="str">
            <v>KHI/HO/D/MO/MC COMP/P/92407/07/2024</v>
          </cell>
          <cell r="C727" t="str">
            <v>040000178008</v>
          </cell>
        </row>
        <row r="728">
          <cell r="B728" t="str">
            <v>KHI/HO/D/MO/MC COMP/P/92408/07/2024</v>
          </cell>
          <cell r="C728" t="str">
            <v>040000178009</v>
          </cell>
        </row>
        <row r="729">
          <cell r="B729" t="str">
            <v>KHI/HO/D/MO/MC COMP/P/92657/07/2024</v>
          </cell>
          <cell r="C729" t="str">
            <v>040000178323</v>
          </cell>
        </row>
        <row r="730">
          <cell r="B730" t="str">
            <v>KHI/HO/D/MO/MC COMP/P/92658/07/2024</v>
          </cell>
          <cell r="C730" t="str">
            <v>040000178325</v>
          </cell>
        </row>
        <row r="731">
          <cell r="B731" t="str">
            <v>KHI/HO/D/MO/MC COMP/P/92718/07/2024</v>
          </cell>
          <cell r="C731" t="str">
            <v>040000178401</v>
          </cell>
        </row>
        <row r="732">
          <cell r="B732" t="str">
            <v>KHI/HO/D/MO/MC COMP/P/92726/07/2024</v>
          </cell>
          <cell r="C732" t="str">
            <v>040000178415</v>
          </cell>
        </row>
        <row r="733">
          <cell r="B733" t="str">
            <v>KHI/HO/D/MO/MC COMP/P/92727/07/2024</v>
          </cell>
          <cell r="C733" t="str">
            <v>040000178416</v>
          </cell>
        </row>
        <row r="734">
          <cell r="B734" t="str">
            <v>KHI/HO/D/MO/MC COMP/P/92851/07/2024</v>
          </cell>
          <cell r="C734" t="str">
            <v>040000178570</v>
          </cell>
        </row>
        <row r="735">
          <cell r="B735" t="str">
            <v>KHI/HO/D/MO/MC COMP/P/92861/07/2024</v>
          </cell>
          <cell r="C735" t="str">
            <v>040000178585</v>
          </cell>
        </row>
        <row r="736">
          <cell r="B736" t="str">
            <v>KHI/HO/D/MO/MC COMP/P/92961/07/2024</v>
          </cell>
          <cell r="C736" t="str">
            <v>040000178697</v>
          </cell>
        </row>
        <row r="737">
          <cell r="B737" t="str">
            <v>KHI/HO/D/MO/MC COMP/P/93023/07/2024</v>
          </cell>
          <cell r="C737" t="str">
            <v>040000178767</v>
          </cell>
        </row>
        <row r="738">
          <cell r="B738" t="str">
            <v>KHI/HO/D/MO/MC COMP/P/93070/07/2024</v>
          </cell>
          <cell r="C738" t="str">
            <v>040000178821</v>
          </cell>
        </row>
        <row r="739">
          <cell r="B739" t="str">
            <v>KHI/HO/D/MO/MC COMP/P/93307/07/2024</v>
          </cell>
          <cell r="C739" t="str">
            <v>040000179124</v>
          </cell>
        </row>
        <row r="740">
          <cell r="B740" t="str">
            <v>KHI/HO/D/MO/MC COMP/P/93311/07/2024</v>
          </cell>
          <cell r="C740" t="str">
            <v>040000179132</v>
          </cell>
        </row>
        <row r="741">
          <cell r="B741" t="str">
            <v>KHI/HO/D/MO/MC COMP/P/93331/07/2024</v>
          </cell>
          <cell r="C741" t="str">
            <v>040000179155</v>
          </cell>
        </row>
        <row r="742">
          <cell r="B742" t="str">
            <v>KHI/HO/D/MO/MC COMP/P/93332/07/2024</v>
          </cell>
          <cell r="C742" t="str">
            <v>040000179156</v>
          </cell>
        </row>
        <row r="743">
          <cell r="B743" t="str">
            <v>KHI/HO/D/MO/MC COMP/P/92392/07/2024</v>
          </cell>
          <cell r="C743" t="str">
            <v>040000177985</v>
          </cell>
        </row>
        <row r="744">
          <cell r="B744" t="str">
            <v>KHI/HO/D/MO/MC COMP/P/94387/08/2024</v>
          </cell>
          <cell r="C744" t="str">
            <v>040000180456</v>
          </cell>
        </row>
        <row r="745">
          <cell r="B745" t="str">
            <v>KHI/HO/D/MO/MC COMP/P/94393/08/2024</v>
          </cell>
          <cell r="C745" t="str">
            <v>040000180462</v>
          </cell>
        </row>
        <row r="746">
          <cell r="B746" t="str">
            <v>KHI/HO/D/MO/MC COMP/P/93022/07/2024</v>
          </cell>
          <cell r="C746" t="str">
            <v>040000178766</v>
          </cell>
        </row>
        <row r="747">
          <cell r="B747" t="str">
            <v>KHI/HO/D/MO/MC COMP/P/93118/07/2024</v>
          </cell>
          <cell r="C747" t="str">
            <v>040000178887</v>
          </cell>
        </row>
        <row r="748">
          <cell r="B748" t="str">
            <v>KHI/HO/D/MO/MC COMP/P/93186/07/2024</v>
          </cell>
          <cell r="C748" t="str">
            <v>040000178968</v>
          </cell>
        </row>
        <row r="749">
          <cell r="B749" t="str">
            <v>KHI/HO/D/MO/MC COMP/P/92523/07/2024</v>
          </cell>
          <cell r="C749" t="str">
            <v>040000178143</v>
          </cell>
        </row>
        <row r="750">
          <cell r="B750" t="str">
            <v>KHI/HO/D/MO/MC COMP/P/92559/07/2024</v>
          </cell>
          <cell r="C750" t="str">
            <v>040000178197</v>
          </cell>
        </row>
        <row r="751">
          <cell r="B751" t="str">
            <v>KHI/HO/D/MO/MC COMP/P/93467/07/2024</v>
          </cell>
          <cell r="C751" t="str">
            <v>040000179322</v>
          </cell>
        </row>
        <row r="752">
          <cell r="B752" t="str">
            <v>KHI/HO/D/MO/MC COMP/P/93468/07/2024</v>
          </cell>
          <cell r="C752" t="str">
            <v>040000179323</v>
          </cell>
        </row>
        <row r="753">
          <cell r="B753" t="str">
            <v>KHI/HO/D/MO/MC COMP/P/93526/07/2024</v>
          </cell>
          <cell r="C753" t="str">
            <v>040000179393</v>
          </cell>
        </row>
        <row r="754">
          <cell r="B754" t="str">
            <v>KHI/HO/D/MO/MC COMP/P/92138/07/2024</v>
          </cell>
          <cell r="C754" t="str">
            <v>040000177548</v>
          </cell>
        </row>
        <row r="755">
          <cell r="B755" t="str">
            <v>KHI/HO/D/MO/MC COMP/P/92186/07/2024</v>
          </cell>
          <cell r="C755" t="str">
            <v>040000177614</v>
          </cell>
        </row>
        <row r="756">
          <cell r="B756" t="str">
            <v>KHI/HO/D/MO/MC COMP/P/92210/07/2024</v>
          </cell>
          <cell r="C756" t="str">
            <v>040000177642</v>
          </cell>
        </row>
        <row r="757">
          <cell r="B757" t="str">
            <v>KHI/HO/D/MO/MC COMP/P/92211/07/2024</v>
          </cell>
          <cell r="C757" t="str">
            <v>040000177643</v>
          </cell>
        </row>
        <row r="758">
          <cell r="B758" t="str">
            <v>KHI/HO/D/MO/MC COMP/P/92248/07/2024</v>
          </cell>
          <cell r="C758" t="str">
            <v>040000177713</v>
          </cell>
        </row>
        <row r="759">
          <cell r="B759" t="str">
            <v>KHI/HO/D/MO/MC COMP/P/94156/07/2024</v>
          </cell>
          <cell r="C759" t="str">
            <v>040000180166</v>
          </cell>
        </row>
        <row r="760">
          <cell r="B760" t="str">
            <v>KHI/HO/D/MO/MC COMP/P/94157/07/2024</v>
          </cell>
          <cell r="C760" t="str">
            <v>040000180167</v>
          </cell>
        </row>
        <row r="761">
          <cell r="B761" t="str">
            <v>KHI/HO/D/MO/MC COMP/P/94159/07/2024</v>
          </cell>
          <cell r="C761" t="str">
            <v>040000180170</v>
          </cell>
        </row>
        <row r="762">
          <cell r="B762" t="str">
            <v>KHI/HO/D/MO/MC COMP/P/92250/07/2024</v>
          </cell>
          <cell r="C762" t="str">
            <v>040000177716</v>
          </cell>
        </row>
        <row r="763">
          <cell r="B763" t="str">
            <v>KHI/HO/D/MO/MC COMP/P/93287/07/2024</v>
          </cell>
          <cell r="C763" t="str">
            <v>040000179096</v>
          </cell>
        </row>
        <row r="764">
          <cell r="B764" t="str">
            <v>KHI/HO/D/MO/MC COMP/P/93288/07/2024</v>
          </cell>
          <cell r="C764" t="str">
            <v>040000179097</v>
          </cell>
        </row>
        <row r="765">
          <cell r="B765" t="str">
            <v>KHI/HO/D/MO/MC COMP/P/92249/07/2024</v>
          </cell>
          <cell r="C765" t="str">
            <v>040000177715</v>
          </cell>
        </row>
        <row r="766">
          <cell r="B766" t="str">
            <v>KHI/HO/D/MO/MC COMP/P/92370/07/2024</v>
          </cell>
          <cell r="C766" t="str">
            <v>040000177963</v>
          </cell>
        </row>
        <row r="767">
          <cell r="B767" t="str">
            <v>KHI/HO/D/MO/MC COMP/P/92075/07/2024</v>
          </cell>
          <cell r="C767" t="str">
            <v>040000177453</v>
          </cell>
        </row>
        <row r="768">
          <cell r="B768" t="str">
            <v>KHI/HO/D/MO/MC COMP/P/93619/07/2024</v>
          </cell>
          <cell r="C768" t="str">
            <v>040000179504</v>
          </cell>
        </row>
        <row r="769">
          <cell r="B769" t="str">
            <v>KHI/HO/D/MO/MC COMP/P/93620/07/2024</v>
          </cell>
          <cell r="C769" t="str">
            <v>040000179505</v>
          </cell>
        </row>
        <row r="770">
          <cell r="B770" t="str">
            <v>KHI/HO/D/MO/MC COMP/P/92269/07/2024</v>
          </cell>
          <cell r="C770" t="str">
            <v>040000177762</v>
          </cell>
        </row>
        <row r="771">
          <cell r="B771" t="str">
            <v>KHI/HO/D/MO/MC COMP/P/92272/07/2024</v>
          </cell>
          <cell r="C771" t="str">
            <v>040000177766</v>
          </cell>
        </row>
        <row r="772">
          <cell r="B772" t="str">
            <v>KHI/HO/D/MO/MC COMP/P/92508/07/2024</v>
          </cell>
          <cell r="C772" t="str">
            <v>040000178127</v>
          </cell>
        </row>
        <row r="773">
          <cell r="B773" t="str">
            <v>KHI/HO/D/MO/MC COMP/P/94293/07/2024</v>
          </cell>
          <cell r="C773" t="str">
            <v>040000180351</v>
          </cell>
        </row>
        <row r="774">
          <cell r="B774" t="str">
            <v>KHI/HO/D/MO/MC COMP/P/94030/07/2024</v>
          </cell>
          <cell r="C774" t="str">
            <v>040000180001</v>
          </cell>
        </row>
        <row r="775">
          <cell r="B775" t="str">
            <v>KHI/HO/D/MO/MC COMP/P/94031/07/2024</v>
          </cell>
          <cell r="C775" t="str">
            <v>040000180002</v>
          </cell>
        </row>
        <row r="776">
          <cell r="B776" t="str">
            <v>KHI/HO/D/MO/MC COMP/P/94053/07/2024</v>
          </cell>
          <cell r="C776" t="str">
            <v>040000180026</v>
          </cell>
        </row>
        <row r="777">
          <cell r="B777" t="str">
            <v>KHI/HO/D/MO/MC COMP/P/94130/07/2024</v>
          </cell>
          <cell r="C777" t="str">
            <v>040000180132</v>
          </cell>
        </row>
        <row r="778">
          <cell r="B778" t="str">
            <v>KHI/HO/D/MO/MC COMP/P/92282/07/2024</v>
          </cell>
          <cell r="C778" t="str">
            <v>040000177789</v>
          </cell>
        </row>
        <row r="779">
          <cell r="B779" t="str">
            <v>KHI/HO/D/MO/MC COMP/P/92094/07/2024</v>
          </cell>
          <cell r="C779" t="str">
            <v>040000177485</v>
          </cell>
        </row>
        <row r="780">
          <cell r="B780" t="str">
            <v>KHI/HO/D/MO/MC COMP/P/92195/07/2024</v>
          </cell>
          <cell r="C780" t="str">
            <v>040000177625</v>
          </cell>
        </row>
        <row r="781">
          <cell r="B781" t="str">
            <v>KHI/HO/D/MO/MC COMP/P/94273/07/2024</v>
          </cell>
          <cell r="C781" t="str">
            <v>040000180331</v>
          </cell>
        </row>
        <row r="782">
          <cell r="B782" t="str">
            <v>KHI/HO/D/MO/MC COMP/P/92865/07/2024</v>
          </cell>
          <cell r="C782" t="str">
            <v>040000178589</v>
          </cell>
        </row>
        <row r="783">
          <cell r="B783" t="str">
            <v>KHI/HO/D/MO/MC COMP/P/94274/07/2024</v>
          </cell>
          <cell r="C783" t="str">
            <v>040000180332</v>
          </cell>
        </row>
        <row r="784">
          <cell r="B784" t="str">
            <v>KHI/HO/D/MO/MC COMP/P/92929/07/2024</v>
          </cell>
          <cell r="C784" t="str">
            <v>040000178664</v>
          </cell>
        </row>
        <row r="785">
          <cell r="B785" t="str">
            <v>KHI/HO/D/MO/MC COMP/P/92930/07/2024</v>
          </cell>
          <cell r="C785" t="str">
            <v>040000178665</v>
          </cell>
        </row>
        <row r="786">
          <cell r="B786" t="str">
            <v>KHI/HO/D/MO/MC COMP/P/92931/07/2024</v>
          </cell>
          <cell r="C786" t="str">
            <v>040000178666</v>
          </cell>
        </row>
        <row r="787">
          <cell r="B787" t="str">
            <v>KHI/HO/D/MO/MC COMP/P/93682/07/2024</v>
          </cell>
          <cell r="C787" t="str">
            <v>040000179592</v>
          </cell>
        </row>
        <row r="788">
          <cell r="B788" t="str">
            <v>KHI/HO/D/MO/MC COMP/P/93683/07/2024</v>
          </cell>
          <cell r="C788" t="str">
            <v>040000179593</v>
          </cell>
        </row>
        <row r="789">
          <cell r="B789" t="str">
            <v>KHI/HO/D/MO/MC COMP/P/93160/07/2024</v>
          </cell>
          <cell r="C789" t="str">
            <v>040000178933</v>
          </cell>
        </row>
        <row r="790">
          <cell r="B790" t="str">
            <v>KHI/HO/D/MO/MC COMP/P/93161/07/2024</v>
          </cell>
          <cell r="C790" t="str">
            <v>040000178934</v>
          </cell>
        </row>
        <row r="791">
          <cell r="B791" t="str">
            <v>KHI/HO/D/MO/MC COMP/P/93163/07/2024</v>
          </cell>
          <cell r="C791" t="str">
            <v>040000178936</v>
          </cell>
        </row>
        <row r="792">
          <cell r="B792" t="str">
            <v>KHI/HO/D/MO/MC COMP/P/93315/07/2024</v>
          </cell>
          <cell r="C792" t="str">
            <v>040000179136</v>
          </cell>
        </row>
        <row r="793">
          <cell r="B793" t="str">
            <v>KHI/HO/D/MO/MC COMP/P/93348/07/2024</v>
          </cell>
          <cell r="C793" t="str">
            <v>040000179177</v>
          </cell>
        </row>
        <row r="794">
          <cell r="B794" t="str">
            <v>KHI/HO/D/MO/MC COMP/P/93358/07/2024</v>
          </cell>
          <cell r="C794" t="str">
            <v>040000179193</v>
          </cell>
        </row>
        <row r="795">
          <cell r="B795" t="str">
            <v>KHI/HO/D/MO/MC COMP/P/93384/07/2024</v>
          </cell>
          <cell r="C795" t="str">
            <v>040000179221</v>
          </cell>
        </row>
        <row r="796">
          <cell r="B796" t="str">
            <v>KHI/HO/D/MO/MC COMP/P/92330/07/2024</v>
          </cell>
          <cell r="C796" t="str">
            <v>040000177892</v>
          </cell>
        </row>
        <row r="797">
          <cell r="B797" t="str">
            <v>KHI/HO/D/MO/MC COMP/P/92257/07/2024</v>
          </cell>
          <cell r="C797" t="str">
            <v>040000177739</v>
          </cell>
        </row>
        <row r="798">
          <cell r="B798" t="str">
            <v>KHI/HO/D/MO/MC COMP/P/92939/07/2024</v>
          </cell>
          <cell r="C798" t="str">
            <v>040000178674</v>
          </cell>
        </row>
        <row r="799">
          <cell r="B799" t="str">
            <v>KHI/HO/D/MO/MC COMP/P/92940/07/2024</v>
          </cell>
          <cell r="C799" t="str">
            <v>040000178675</v>
          </cell>
        </row>
        <row r="800">
          <cell r="B800" t="str">
            <v>KHI/HO/D/MO/MC COMP/P/92151/07/2024</v>
          </cell>
          <cell r="C800" t="str">
            <v>040000177563</v>
          </cell>
        </row>
        <row r="801">
          <cell r="B801" t="str">
            <v>KHI/HO/D/MO/MC COMP/P/92152/07/2024</v>
          </cell>
          <cell r="C801" t="str">
            <v>040000177564</v>
          </cell>
        </row>
        <row r="802">
          <cell r="B802" t="str">
            <v>KHI/HO/D/MO/MC COMP/P/92077/07/2024</v>
          </cell>
          <cell r="C802" t="str">
            <v>040000177460</v>
          </cell>
        </row>
        <row r="803">
          <cell r="B803" t="str">
            <v>KHI/HO/D/MO/MC COMP/P/92078/07/2024</v>
          </cell>
          <cell r="C803" t="str">
            <v>040000177461</v>
          </cell>
        </row>
        <row r="804">
          <cell r="B804" t="str">
            <v>KHI/HO/D/MO/MC COMP/P/93540/07/2024</v>
          </cell>
          <cell r="C804" t="str">
            <v>040000179407</v>
          </cell>
        </row>
        <row r="805">
          <cell r="B805" t="str">
            <v>KHI/HO/D/MO/MC COMP/P/93557/07/2024</v>
          </cell>
          <cell r="C805" t="str">
            <v>040000179424</v>
          </cell>
        </row>
        <row r="806">
          <cell r="B806" t="str">
            <v>KHI/HO/D/MO/MC COMP/P/93555/07/2024</v>
          </cell>
          <cell r="C806" t="str">
            <v>040000179422</v>
          </cell>
        </row>
        <row r="807">
          <cell r="B807" t="str">
            <v>KHI/HO/D/MO/MC COMP/P/93556/07/2024</v>
          </cell>
          <cell r="C807" t="str">
            <v>040000179423</v>
          </cell>
        </row>
        <row r="808">
          <cell r="B808" t="str">
            <v>KHI/HO/D/MO/MC COMP/P/92821/07/2024</v>
          </cell>
          <cell r="C808" t="str">
            <v>040000178532</v>
          </cell>
        </row>
        <row r="809">
          <cell r="B809" t="str">
            <v>KHI/HO/D/MO/MC COMP/P/94429/08/2024</v>
          </cell>
          <cell r="C809" t="str">
            <v>040000180504</v>
          </cell>
        </row>
        <row r="810">
          <cell r="B810" t="str">
            <v>KHI/HO/D/MO/MC COMP/P/94434/08/2024</v>
          </cell>
          <cell r="C810" t="str">
            <v>040000180511</v>
          </cell>
        </row>
        <row r="811">
          <cell r="B811" t="str">
            <v>KHI/HO/D/MO/MC COMP/P/94435/08/2024</v>
          </cell>
          <cell r="C811" t="str">
            <v>040000180512</v>
          </cell>
        </row>
        <row r="812">
          <cell r="B812" t="str">
            <v>KHI/HO/D/MO/MC COMP/P/92659/07/2024</v>
          </cell>
          <cell r="C812" t="str">
            <v>040000178328</v>
          </cell>
        </row>
        <row r="813">
          <cell r="B813" t="str">
            <v>KHI/HO/D/MO/MC COMP/P/92660/07/2024</v>
          </cell>
          <cell r="C813" t="str">
            <v>040000178329</v>
          </cell>
        </row>
        <row r="814">
          <cell r="B814" t="str">
            <v>KHI/HO/D/MO/MC COMP/P/92661/07/2024</v>
          </cell>
          <cell r="C814" t="str">
            <v>040000178330</v>
          </cell>
        </row>
        <row r="815">
          <cell r="B815" t="str">
            <v>KHI/HO/D/MO/MC COMP/P/92795/07/2024</v>
          </cell>
          <cell r="C815" t="str">
            <v>040000178490</v>
          </cell>
        </row>
        <row r="816">
          <cell r="B816" t="str">
            <v>KHI/HO/D/MO/MC COMP/P/92796/07/2024</v>
          </cell>
          <cell r="C816" t="str">
            <v>040000178491</v>
          </cell>
        </row>
        <row r="817">
          <cell r="B817" t="str">
            <v>KHI/HO/D/MO/MC COMP/P/92880/07/2024</v>
          </cell>
          <cell r="C817" t="str">
            <v>040000178608</v>
          </cell>
        </row>
        <row r="818">
          <cell r="B818" t="str">
            <v>KHI/HO/D/MO/MC COMP/P/92883/07/2024</v>
          </cell>
          <cell r="C818" t="str">
            <v>040000178611</v>
          </cell>
        </row>
        <row r="819">
          <cell r="B819" t="str">
            <v>KHI/HO/D/MO/MC COMP/P/92884/07/2024</v>
          </cell>
          <cell r="C819" t="str">
            <v>040000178612</v>
          </cell>
        </row>
        <row r="820">
          <cell r="B820" t="str">
            <v>KHI/HO/D/MO/MC COMP/P/92907/07/2024</v>
          </cell>
          <cell r="C820" t="str">
            <v>040000178640</v>
          </cell>
        </row>
        <row r="821">
          <cell r="B821" t="str">
            <v>KHI/HO/D/MO/MC COMP/P/92908/07/2024</v>
          </cell>
          <cell r="C821" t="str">
            <v>040000178641</v>
          </cell>
        </row>
        <row r="822">
          <cell r="B822" t="str">
            <v>KHI/HO/D/MO/MC COMP/P/92912/07/2024</v>
          </cell>
          <cell r="C822" t="str">
            <v>040000178645</v>
          </cell>
        </row>
        <row r="823">
          <cell r="B823" t="str">
            <v>KHI/HO/D/MO/MC COMP/P/93005/07/2024</v>
          </cell>
          <cell r="C823" t="str">
            <v>040000178747</v>
          </cell>
        </row>
        <row r="824">
          <cell r="B824" t="str">
            <v>KHI/HO/D/MO/MC COMP/P/92934/07/2024</v>
          </cell>
          <cell r="C824" t="str">
            <v>040000178669</v>
          </cell>
        </row>
        <row r="825">
          <cell r="B825" t="str">
            <v>KHI/HO/D/MO/MC COMP/P/92935/07/2024</v>
          </cell>
          <cell r="C825" t="str">
            <v>040000178670</v>
          </cell>
        </row>
        <row r="826">
          <cell r="B826" t="str">
            <v>KHI/HO/D/MO/MC COMP/P/93010/07/2024</v>
          </cell>
          <cell r="C826" t="str">
            <v>040000178752</v>
          </cell>
        </row>
        <row r="827">
          <cell r="B827" t="str">
            <v>KHI/HO/D/MO/MC COMP/P/93011/07/2024</v>
          </cell>
          <cell r="C827" t="str">
            <v>040000178753</v>
          </cell>
        </row>
        <row r="828">
          <cell r="B828" t="str">
            <v>KHI/HO/D/MO/MC COMP/P/93355/07/2024</v>
          </cell>
          <cell r="C828" t="str">
            <v>040000179188</v>
          </cell>
        </row>
        <row r="829">
          <cell r="B829" t="str">
            <v>KHI/HO/D/MO/MC COMP/P/93367/07/2024</v>
          </cell>
          <cell r="C829" t="str">
            <v>040000179202</v>
          </cell>
        </row>
        <row r="830">
          <cell r="B830" t="str">
            <v>KHI/HO/D/MO/MC COMP/P/93368/07/2024</v>
          </cell>
          <cell r="C830" t="str">
            <v>040000179203</v>
          </cell>
        </row>
        <row r="831">
          <cell r="B831" t="str">
            <v>KHI/HO/D/MO/MC COMP/P/92733/07/2024</v>
          </cell>
          <cell r="C831" t="str">
            <v>040000178422</v>
          </cell>
        </row>
        <row r="832">
          <cell r="B832" t="str">
            <v>KHI/HO/D/MO/MC COMP/P/92857/07/2024</v>
          </cell>
          <cell r="C832" t="str">
            <v>040000178581</v>
          </cell>
        </row>
        <row r="833">
          <cell r="B833" t="str">
            <v>KHI/HO/D/MO/MC COMP/P/92964/07/2024</v>
          </cell>
          <cell r="C833" t="str">
            <v>040000178701</v>
          </cell>
        </row>
        <row r="834">
          <cell r="B834" t="str">
            <v>KHI/HO/D/MO/MC COMP/P/94223/07/2024</v>
          </cell>
          <cell r="C834" t="str">
            <v>040000180252</v>
          </cell>
        </row>
        <row r="835">
          <cell r="B835" t="str">
            <v>KHI/HO/D/MO/MC COMP/P/92217/07/2024</v>
          </cell>
          <cell r="C835" t="str">
            <v>040000177650</v>
          </cell>
        </row>
        <row r="836">
          <cell r="B836" t="str">
            <v>KHI/HO/D/MO/MC COMP/P/93693/07/2024</v>
          </cell>
          <cell r="C836" t="str">
            <v>040000179603</v>
          </cell>
        </row>
        <row r="837">
          <cell r="B837" t="str">
            <v>KHI/HO/D/MO/MC COMP/P/93699/07/2024</v>
          </cell>
          <cell r="C837" t="str">
            <v>040000179610</v>
          </cell>
        </row>
        <row r="838">
          <cell r="B838" t="str">
            <v>KHI/HO/D/MO/MC COMP/P/92281/07/2024</v>
          </cell>
          <cell r="C838" t="str">
            <v>040000177787</v>
          </cell>
        </row>
        <row r="839">
          <cell r="B839" t="str">
            <v>KHI/HO/D/MO/MC COMP/P/92285/07/2024</v>
          </cell>
          <cell r="C839" t="str">
            <v>040000177794</v>
          </cell>
        </row>
        <row r="840">
          <cell r="B840" t="str">
            <v>KHI/HO/D/MO/MC COMP/P/92286/07/2024</v>
          </cell>
          <cell r="C840" t="str">
            <v>040000177796</v>
          </cell>
        </row>
        <row r="841">
          <cell r="B841" t="str">
            <v>KHI/HO/D/MO/MC COMP/P/94180/07/2024</v>
          </cell>
          <cell r="C841" t="str">
            <v>040000180203</v>
          </cell>
        </row>
        <row r="842">
          <cell r="B842" t="str">
            <v>KHI/HO/D/MO/MC COMP/P/92631/07/2024</v>
          </cell>
          <cell r="C842" t="str">
            <v>040000178287</v>
          </cell>
        </row>
        <row r="843">
          <cell r="B843" t="str">
            <v>KHI/HO/D/MO/MC COMP/P/92173/07/2024</v>
          </cell>
          <cell r="C843" t="str">
            <v>040000177588</v>
          </cell>
        </row>
        <row r="844">
          <cell r="B844" t="str">
            <v>KHI/HO/D/MO/MC COMP/P/92174/07/2024</v>
          </cell>
          <cell r="C844" t="str">
            <v>040000177590</v>
          </cell>
        </row>
        <row r="845">
          <cell r="B845" t="str">
            <v>KHI/HO/D/MO/MC COMP/P/92535/07/2024</v>
          </cell>
          <cell r="C845" t="str">
            <v>040000178159</v>
          </cell>
        </row>
        <row r="846">
          <cell r="B846" t="str">
            <v>KHI/HO/D/MO/MC COMP/P/92536/07/2024</v>
          </cell>
          <cell r="C846" t="str">
            <v>040000178160</v>
          </cell>
        </row>
        <row r="847">
          <cell r="B847" t="str">
            <v>KHI/HO/D/MO/MC COMP/P/92937/07/2024</v>
          </cell>
          <cell r="C847" t="str">
            <v>040000178672</v>
          </cell>
        </row>
        <row r="848">
          <cell r="B848" t="str">
            <v>KHI/HO/D/MO/MC COMP/P/92938/07/2024</v>
          </cell>
          <cell r="C848" t="str">
            <v>040000178673</v>
          </cell>
        </row>
        <row r="849">
          <cell r="B849" t="str">
            <v>KHI/HO/D/MO/MC COMP/P/93554/07/2024</v>
          </cell>
          <cell r="C849" t="str">
            <v>040000179421</v>
          </cell>
        </row>
        <row r="850">
          <cell r="B850" t="str">
            <v>KHI/HO/D/MO/MC COMP/P/94081/07/2024</v>
          </cell>
          <cell r="C850" t="str">
            <v>040000180068</v>
          </cell>
        </row>
        <row r="851">
          <cell r="B851" t="str">
            <v>KHI/HO/D/MO/MC COMP/P/93359/07/2024</v>
          </cell>
          <cell r="C851" t="str">
            <v>040000179194</v>
          </cell>
        </row>
        <row r="852">
          <cell r="B852" t="str">
            <v>KHI/HO/D/MO/MC COMP/P/93360/07/2024</v>
          </cell>
          <cell r="C852" t="str">
            <v>040000179195</v>
          </cell>
        </row>
        <row r="853">
          <cell r="B853" t="str">
            <v>KHI/HO/D/MO/MC COMP/P/93364/07/2024</v>
          </cell>
          <cell r="C853" t="str">
            <v>040000179199</v>
          </cell>
        </row>
        <row r="854">
          <cell r="B854" t="str">
            <v>KHI/HO/D/MO/MC COMP/P/93366/07/2024</v>
          </cell>
          <cell r="C854" t="str">
            <v>040000179201</v>
          </cell>
        </row>
        <row r="855">
          <cell r="B855" t="str">
            <v>KHI/HO/D/MO/MC COMP/P/94276/07/2024</v>
          </cell>
          <cell r="C855" t="str">
            <v>040000180334</v>
          </cell>
        </row>
        <row r="856">
          <cell r="B856" t="str">
            <v>KHI/HO/D/MO/MC COMP/P/94181/07/2024</v>
          </cell>
          <cell r="C856" t="str">
            <v>040000180204</v>
          </cell>
        </row>
        <row r="857">
          <cell r="B857" t="str">
            <v>KHI/HO/D/MO/MC COMP/P/94311/07/2024</v>
          </cell>
          <cell r="C857" t="str">
            <v>040000180372</v>
          </cell>
        </row>
        <row r="858">
          <cell r="B858" t="str">
            <v>KHI/HO/D/MO/MC COMP/P/94312/07/2024</v>
          </cell>
          <cell r="C858" t="str">
            <v>040000180373</v>
          </cell>
        </row>
        <row r="859">
          <cell r="B859" t="str">
            <v>KHI/HO/D/MO/MC COMP/P/92458/07/2024</v>
          </cell>
          <cell r="C859" t="str">
            <v>040000178068</v>
          </cell>
        </row>
        <row r="860">
          <cell r="B860" t="str">
            <v>KHI/HO/D/MO/MC COMP/P/94165/07/2024</v>
          </cell>
          <cell r="C860" t="str">
            <v>040000180178</v>
          </cell>
        </row>
        <row r="861">
          <cell r="B861" t="str">
            <v>KHI/HO/D/MO/MC COMP/P/94402/08/2024</v>
          </cell>
          <cell r="C861" t="str">
            <v>040000180474</v>
          </cell>
        </row>
        <row r="862">
          <cell r="B862" t="str">
            <v>KHI/HO/D/MO/MC COMP/P/92488/07/2024</v>
          </cell>
          <cell r="C862" t="str">
            <v>040000178098</v>
          </cell>
        </row>
        <row r="863">
          <cell r="B863" t="str">
            <v>KHI/HO/D/MO/MC COMP/P/92489/07/2024</v>
          </cell>
          <cell r="C863" t="str">
            <v>040000178099</v>
          </cell>
        </row>
        <row r="864">
          <cell r="B864" t="str">
            <v>KHI/HO/D/MO/MC COMP/P/93382/07/2024</v>
          </cell>
          <cell r="C864" t="str">
            <v>040000179219</v>
          </cell>
        </row>
        <row r="865">
          <cell r="B865" t="str">
            <v>KHI/HO/D/MO/MC COMP/P/93383/07/2024</v>
          </cell>
          <cell r="C865" t="str">
            <v>040000179220</v>
          </cell>
        </row>
        <row r="866">
          <cell r="B866" t="str">
            <v>KHI/HO/D/MO/MC COMP/P/92453/07/2024</v>
          </cell>
          <cell r="C866" t="str">
            <v>040000178057</v>
          </cell>
        </row>
        <row r="867">
          <cell r="B867" t="str">
            <v>KHI/HO/D/MO/MC COMP/P/92474/07/2024</v>
          </cell>
          <cell r="C867" t="str">
            <v>040000178084</v>
          </cell>
        </row>
        <row r="868">
          <cell r="B868" t="str">
            <v>KHI/HO/D/MO/MC COMP/P/94404/08/2024</v>
          </cell>
          <cell r="C868" t="str">
            <v>040000180477</v>
          </cell>
        </row>
        <row r="869">
          <cell r="B869" t="str">
            <v>KHI/HO/D/MO/MC COMP/P/92628/07/2024</v>
          </cell>
          <cell r="C869" t="str">
            <v>040000178281</v>
          </cell>
        </row>
        <row r="870">
          <cell r="B870" t="str">
            <v>KHI/HO/D/MO/MC COMP/P/94255/07/2024</v>
          </cell>
          <cell r="C870" t="str">
            <v>040000180297</v>
          </cell>
        </row>
        <row r="871">
          <cell r="B871" t="str">
            <v>KHI/HO/D/MO/MC COMP/P/93549/07/2024</v>
          </cell>
          <cell r="C871" t="str">
            <v>040000179416</v>
          </cell>
        </row>
        <row r="872">
          <cell r="B872" t="str">
            <v>KHI/HO/D/MO/MC COMP/P/93550/07/2024</v>
          </cell>
          <cell r="C872" t="str">
            <v>040000179417</v>
          </cell>
        </row>
        <row r="873">
          <cell r="B873" t="str">
            <v>KHI/HO/D/MO/MC COMP/P/93551/07/2024</v>
          </cell>
          <cell r="C873" t="str">
            <v>040000179418</v>
          </cell>
        </row>
        <row r="874">
          <cell r="B874" t="str">
            <v>KHI/HO/D/MO/MC COMP/P/93552/07/2024</v>
          </cell>
          <cell r="C874" t="str">
            <v>040000179419</v>
          </cell>
        </row>
        <row r="875">
          <cell r="B875" t="str">
            <v>KHI/HO/D/MO/MC COMP/P/94040/07/2024</v>
          </cell>
          <cell r="C875" t="str">
            <v>040000180011</v>
          </cell>
        </row>
        <row r="876">
          <cell r="B876" t="str">
            <v>KHI/HO/D/MO/MC COMP/P/94285/07/2024</v>
          </cell>
          <cell r="C876" t="str">
            <v>040000180343</v>
          </cell>
        </row>
        <row r="877">
          <cell r="B877" t="str">
            <v>KHI/HO/D/MO/MC COMP/P/94287/07/2024</v>
          </cell>
          <cell r="C877" t="str">
            <v>040000180345</v>
          </cell>
        </row>
        <row r="878">
          <cell r="B878" t="str">
            <v>KHI/HO/D/MO/MC COMP/P/94290/07/2024</v>
          </cell>
          <cell r="C878" t="str">
            <v>040000180348</v>
          </cell>
        </row>
        <row r="879">
          <cell r="B879" t="str">
            <v>KHI/HO/D/MO/MC COMP/P/92367/07/2024</v>
          </cell>
          <cell r="C879" t="str">
            <v>040000177958</v>
          </cell>
        </row>
        <row r="880">
          <cell r="B880" t="str">
            <v>KHI/HO/D/MO/MC COMP/P/94292/07/2024</v>
          </cell>
          <cell r="C880" t="str">
            <v>040000180350</v>
          </cell>
        </row>
        <row r="881">
          <cell r="B881" t="str">
            <v>KHI/HO/D/MO/MC COMP/P/92630/07/2024</v>
          </cell>
          <cell r="C881" t="str">
            <v>040000178286</v>
          </cell>
        </row>
        <row r="882">
          <cell r="B882" t="str">
            <v>KHI/HO/D/MO/MC COMP/P/92635/07/2024</v>
          </cell>
          <cell r="C882" t="str">
            <v>040000178292</v>
          </cell>
        </row>
        <row r="883">
          <cell r="B883" t="str">
            <v>KHI/HO/D/MO/MC COMP/P/92644/07/2024</v>
          </cell>
          <cell r="C883" t="str">
            <v>040000178308</v>
          </cell>
        </row>
        <row r="884">
          <cell r="B884" t="str">
            <v>KHI/HO/D/MO/MC COMP/P/93380/07/2024</v>
          </cell>
          <cell r="C884" t="str">
            <v>040000179217</v>
          </cell>
        </row>
        <row r="885">
          <cell r="B885" t="str">
            <v>KHI/HO/D/MO/MC COMP/P/93381/07/2024</v>
          </cell>
          <cell r="C885" t="str">
            <v>040000179218</v>
          </cell>
        </row>
        <row r="886">
          <cell r="B886" t="str">
            <v>KHI/HO/D/MO/MC COMP/P/93433/07/2024</v>
          </cell>
          <cell r="C886" t="str">
            <v>040000179272</v>
          </cell>
        </row>
        <row r="887">
          <cell r="B887" t="str">
            <v>KHI/HO/D/MO/MC COMP/P/94059/07/2024</v>
          </cell>
          <cell r="C887" t="str">
            <v>040000180033</v>
          </cell>
        </row>
        <row r="888">
          <cell r="B888" t="str">
            <v>KHI/HO/D/MO/MC COMP/P/94060/07/2024</v>
          </cell>
          <cell r="C888" t="str">
            <v>040000180034</v>
          </cell>
        </row>
        <row r="889">
          <cell r="B889" t="str">
            <v>KHI/HO/D/MO/MC COMP/P/92714/07/2024</v>
          </cell>
          <cell r="C889" t="str">
            <v>040000178393</v>
          </cell>
        </row>
        <row r="890">
          <cell r="B890" t="str">
            <v>KHI/HO/D/MO/MC COMP/P/92818/07/2024</v>
          </cell>
          <cell r="C890" t="str">
            <v>040000178529</v>
          </cell>
        </row>
        <row r="891">
          <cell r="B891" t="str">
            <v>KHI/HO/D/MO/MC COMP/P/92824/07/2024</v>
          </cell>
          <cell r="C891" t="str">
            <v>040000178535</v>
          </cell>
        </row>
        <row r="892">
          <cell r="B892" t="str">
            <v>KHI/HO/D/MO/MC COMP/P/92926/07/2024</v>
          </cell>
          <cell r="C892" t="str">
            <v>040000178660</v>
          </cell>
        </row>
        <row r="893">
          <cell r="B893" t="str">
            <v>KHI/HO/D/MO/MC COMP/P/93147/07/2024</v>
          </cell>
          <cell r="C893" t="str">
            <v>040000178917</v>
          </cell>
        </row>
        <row r="894">
          <cell r="B894" t="str">
            <v>KHI/HO/D/MO/MC COMP/P/93098/07/2024</v>
          </cell>
          <cell r="C894" t="str">
            <v>040000178856</v>
          </cell>
        </row>
        <row r="895">
          <cell r="B895" t="str">
            <v>KHI/HO/D/MO/MC COMP/P/93099/07/2024</v>
          </cell>
          <cell r="C895" t="str">
            <v>040000178857</v>
          </cell>
        </row>
        <row r="896">
          <cell r="B896" t="str">
            <v>KHI/HO/D/MO/MC COMP/P/92780/07/2024</v>
          </cell>
          <cell r="C896" t="str">
            <v>040000178472</v>
          </cell>
        </row>
        <row r="897">
          <cell r="B897" t="str">
            <v>KHI/HO/D/MO/MC COMP/P/92516/07/2024</v>
          </cell>
          <cell r="C897" t="str">
            <v>040000178136</v>
          </cell>
        </row>
        <row r="898">
          <cell r="B898" t="str">
            <v>KHI/HO/D/MO/MC COMP/P/92828/07/2024</v>
          </cell>
          <cell r="C898" t="str">
            <v>040000178540</v>
          </cell>
        </row>
        <row r="899">
          <cell r="B899" t="str">
            <v>KHI/HO/D/MO/MC COMP/P/92867/07/2024</v>
          </cell>
          <cell r="C899" t="str">
            <v>040000178591</v>
          </cell>
        </row>
        <row r="900">
          <cell r="B900" t="str">
            <v>KHI/HO/D/MO/MC COMP/P/92869/07/2024</v>
          </cell>
          <cell r="C900" t="str">
            <v>040000178593</v>
          </cell>
        </row>
        <row r="901">
          <cell r="B901" t="str">
            <v>KHI/HO/D/MO/MC COMP/P/93734/07/2024</v>
          </cell>
          <cell r="C901" t="str">
            <v>040000179661</v>
          </cell>
        </row>
        <row r="902">
          <cell r="B902" t="str">
            <v>KHI/HO/D/MO/MC COMP/P/92813/07/2024</v>
          </cell>
          <cell r="C902" t="str">
            <v>040000178523</v>
          </cell>
        </row>
        <row r="903">
          <cell r="B903" t="str">
            <v>KHI/HO/D/MO/MC COMP/P/92572/07/2024</v>
          </cell>
          <cell r="C903" t="str">
            <v>040000178211</v>
          </cell>
        </row>
        <row r="904">
          <cell r="B904" t="str">
            <v>KHI/HO/D/MO/MC COMP/P/93920/07/2024</v>
          </cell>
          <cell r="C904" t="str">
            <v>040000179883</v>
          </cell>
        </row>
        <row r="905">
          <cell r="B905" t="str">
            <v>KHI/HO/D/MO/MC COMP/P/93709/07/2024</v>
          </cell>
          <cell r="C905" t="str">
            <v>040000179625</v>
          </cell>
        </row>
        <row r="906">
          <cell r="B906" t="str">
            <v>KHI/HO/D/MO/MC COMP/P/93712/07/2024</v>
          </cell>
          <cell r="C906" t="str">
            <v>040000179629</v>
          </cell>
        </row>
        <row r="907">
          <cell r="B907" t="str">
            <v>KHI/HO/D/MO/MC COMP/P/93716/07/2024</v>
          </cell>
          <cell r="C907" t="str">
            <v>040000179636</v>
          </cell>
        </row>
        <row r="908">
          <cell r="B908" t="str">
            <v>KHI/HO/D/MO/MC COMP/P/92156/07/2024</v>
          </cell>
          <cell r="C908" t="str">
            <v>040000177571</v>
          </cell>
        </row>
        <row r="909">
          <cell r="B909" t="str">
            <v>KHI/HO/D/MO/MC COMP/P/92157/07/2024</v>
          </cell>
          <cell r="C909" t="str">
            <v>040000177572</v>
          </cell>
        </row>
        <row r="910">
          <cell r="B910" t="str">
            <v>KHI/HO/D/MO/MC COMP/P/92158/07/2024</v>
          </cell>
          <cell r="C910" t="str">
            <v>040000177573</v>
          </cell>
        </row>
        <row r="911">
          <cell r="B911" t="str">
            <v>KHI/HO/D/MO/MC COMP/P/93974/07/2024</v>
          </cell>
          <cell r="C911" t="str">
            <v>040000179939</v>
          </cell>
        </row>
        <row r="912">
          <cell r="B912" t="str">
            <v>KHI/HO/D/MO/MC COMP/P/92414/07/2024</v>
          </cell>
          <cell r="C912" t="str">
            <v>040000178015</v>
          </cell>
        </row>
        <row r="913">
          <cell r="B913" t="str">
            <v>KHI/HO/D/MO/MC COMP/P/92702/07/2024</v>
          </cell>
          <cell r="C913" t="str">
            <v>040000178379</v>
          </cell>
        </row>
        <row r="914">
          <cell r="B914" t="str">
            <v>KHI/HO/D/MO/MC COMP/P/93100/07/2024</v>
          </cell>
          <cell r="C914" t="str">
            <v>040000178859</v>
          </cell>
        </row>
        <row r="915">
          <cell r="B915" t="str">
            <v>KHI/HO/D/MO/MC COMP/P/93177/07/2024</v>
          </cell>
          <cell r="C915" t="str">
            <v>040000178958</v>
          </cell>
        </row>
        <row r="916">
          <cell r="B916" t="str">
            <v>KHI/HO/D/MO/MC COMP/P/93178/07/2024</v>
          </cell>
          <cell r="C916" t="str">
            <v>040000178959</v>
          </cell>
        </row>
        <row r="917">
          <cell r="B917" t="str">
            <v>KHI/HO/D/MO/MC COMP/P/93204/07/2024</v>
          </cell>
          <cell r="C917" t="str">
            <v>040000178988</v>
          </cell>
        </row>
        <row r="918">
          <cell r="B918" t="str">
            <v>KHI/HO/D/MO/MC COMP/P/93206/07/2024</v>
          </cell>
          <cell r="C918" t="str">
            <v>040000178991</v>
          </cell>
        </row>
        <row r="919">
          <cell r="B919" t="str">
            <v>KHI/HO/D/MO/MC COMP/P/93208/07/2024</v>
          </cell>
          <cell r="C919" t="str">
            <v>040000178993</v>
          </cell>
        </row>
        <row r="920">
          <cell r="B920" t="str">
            <v>KHI/HO/D/MO/MC COMP/P/93210/07/2024</v>
          </cell>
          <cell r="C920" t="str">
            <v>040000178995</v>
          </cell>
        </row>
        <row r="921">
          <cell r="B921" t="str">
            <v>KHI/HO/D/MO/MC COMP/P/93216/07/2024</v>
          </cell>
          <cell r="C921" t="str">
            <v>040000179001</v>
          </cell>
        </row>
        <row r="922">
          <cell r="B922" t="str">
            <v>KHI/HO/D/MO/MC COMP/P/93636/07/2024</v>
          </cell>
          <cell r="C922" t="str">
            <v>040000179530</v>
          </cell>
        </row>
        <row r="923">
          <cell r="B923" t="str">
            <v>KHI/HO/D/MO/MC COMP/P/93639/07/2024</v>
          </cell>
          <cell r="C923" t="str">
            <v>040000179535</v>
          </cell>
        </row>
        <row r="924">
          <cell r="B924" t="str">
            <v>KHI/HO/D/MO/MC COMP/P/92349/07/2024</v>
          </cell>
          <cell r="C924" t="str">
            <v>040000177934</v>
          </cell>
        </row>
        <row r="925">
          <cell r="B925" t="str">
            <v>KHI/HO/D/MO/MC COMP/P/93053/07/2024</v>
          </cell>
          <cell r="C925" t="str">
            <v>040000178797</v>
          </cell>
        </row>
        <row r="926">
          <cell r="B926" t="str">
            <v>KHI/HO/D/MO/MC COMP/P/93079/07/2024</v>
          </cell>
          <cell r="C926" t="str">
            <v>040000178832</v>
          </cell>
        </row>
        <row r="927">
          <cell r="B927" t="str">
            <v>KHI/HO/D/MO/MC COMP/P/93080/07/2024</v>
          </cell>
          <cell r="C927" t="str">
            <v>040000178833</v>
          </cell>
        </row>
        <row r="928">
          <cell r="B928" t="str">
            <v>KHI/HO/D/MO/MC COMP/P/93094/07/2024</v>
          </cell>
          <cell r="C928" t="str">
            <v>040000178850</v>
          </cell>
        </row>
        <row r="929">
          <cell r="B929" t="str">
            <v>KHI/HO/D/MO/MC COMP/P/93209/07/2024</v>
          </cell>
          <cell r="C929" t="str">
            <v>040000178994</v>
          </cell>
        </row>
        <row r="930">
          <cell r="B930" t="str">
            <v>KHI/HO/D/MO/MC COMP/P/93211/07/2024</v>
          </cell>
          <cell r="C930" t="str">
            <v>040000178996</v>
          </cell>
        </row>
        <row r="931">
          <cell r="B931" t="str">
            <v>KHI/HO/D/MO/MC COMP/P/93212/07/2024</v>
          </cell>
          <cell r="C931" t="str">
            <v>040000178997</v>
          </cell>
        </row>
        <row r="932">
          <cell r="B932" t="str">
            <v>KHI/HO/D/MO/MC COMP/P/93213/07/2024</v>
          </cell>
          <cell r="C932" t="str">
            <v>040000178998</v>
          </cell>
        </row>
        <row r="933">
          <cell r="B933" t="str">
            <v>KHI/HO/D/MO/MC COMP/P/93214/07/2024</v>
          </cell>
          <cell r="C933" t="str">
            <v>040000178999</v>
          </cell>
        </row>
        <row r="934">
          <cell r="B934" t="str">
            <v>KHI/HO/D/MO/MC COMP/P/93215/07/2024</v>
          </cell>
          <cell r="C934" t="str">
            <v>040000179000</v>
          </cell>
        </row>
        <row r="935">
          <cell r="B935" t="str">
            <v>KHI/HO/D/MO/MC COMP/P/93240/07/2024</v>
          </cell>
          <cell r="C935" t="str">
            <v>040000179037</v>
          </cell>
        </row>
        <row r="936">
          <cell r="B936" t="str">
            <v>KHI/HO/D/MO/MC COMP/P/93518/07/2024</v>
          </cell>
          <cell r="C936" t="str">
            <v>040000179384</v>
          </cell>
        </row>
        <row r="937">
          <cell r="B937" t="str">
            <v>KHI/HO/D/MO/MC COMP/P/93519/07/2024</v>
          </cell>
          <cell r="C937" t="str">
            <v>040000179385</v>
          </cell>
        </row>
        <row r="938">
          <cell r="B938" t="str">
            <v>KHI/HO/D/MO/MC COMP/P/93528/07/2024</v>
          </cell>
          <cell r="C938" t="str">
            <v>040000179395</v>
          </cell>
        </row>
        <row r="939">
          <cell r="B939" t="str">
            <v>KHI/HO/D/MO/MC COMP/P/93539/07/2024</v>
          </cell>
          <cell r="C939" t="str">
            <v>040000179406</v>
          </cell>
        </row>
        <row r="940">
          <cell r="B940" t="str">
            <v>KHI/HO/D/MO/MC COMP/P/92925/07/2024</v>
          </cell>
          <cell r="C940" t="str">
            <v>040000178659</v>
          </cell>
        </row>
        <row r="941">
          <cell r="B941" t="str">
            <v>KHI/HO/D/MO/MC COMP/P/93025/07/2024</v>
          </cell>
          <cell r="C941" t="str">
            <v>040000178769</v>
          </cell>
        </row>
        <row r="942">
          <cell r="B942" t="str">
            <v>KHI/HO/D/MO/MC COMP/P/93026/07/2024</v>
          </cell>
          <cell r="C942" t="str">
            <v>040000178770</v>
          </cell>
        </row>
        <row r="943">
          <cell r="B943" t="str">
            <v>KHI/HO/D/MO/MC COMP/P/93027/07/2024</v>
          </cell>
          <cell r="C943" t="str">
            <v>040000178771</v>
          </cell>
        </row>
        <row r="944">
          <cell r="B944" t="str">
            <v>KHI/HO/D/MO/MC COMP/P/93029/07/2024</v>
          </cell>
          <cell r="C944" t="str">
            <v>040000178773</v>
          </cell>
        </row>
        <row r="945">
          <cell r="B945" t="str">
            <v>KHI/HO/D/MO/MC COMP/P/93097/07/2024</v>
          </cell>
          <cell r="C945" t="str">
            <v>040000178854</v>
          </cell>
        </row>
        <row r="946">
          <cell r="B946" t="str">
            <v>KHI/HO/D/MO/MC COMP/P/93193/07/2024</v>
          </cell>
          <cell r="C946" t="str">
            <v>040000178975</v>
          </cell>
        </row>
        <row r="947">
          <cell r="B947" t="str">
            <v>KHI/HO/D/MO/MC COMP/P/93198/07/2024</v>
          </cell>
          <cell r="C947" t="str">
            <v>040000178982</v>
          </cell>
        </row>
        <row r="948">
          <cell r="B948" t="str">
            <v>KHI/HO/D/MO/MC COMP/P/93335/07/2024</v>
          </cell>
          <cell r="C948" t="str">
            <v>040000179160</v>
          </cell>
        </row>
        <row r="949">
          <cell r="B949" t="str">
            <v>KHI/HO/D/MO/MC COMP/P/93967/07/2024</v>
          </cell>
          <cell r="C949" t="str">
            <v>040000179932</v>
          </cell>
        </row>
        <row r="950">
          <cell r="B950" t="str">
            <v>KHI/HO/D/MO/MC COMP/P/93260/07/2024</v>
          </cell>
          <cell r="C950" t="str">
            <v>040000179064</v>
          </cell>
        </row>
        <row r="951">
          <cell r="B951" t="str">
            <v>KHI/HO/D/MO/MC COMP/P/93919/07/2024</v>
          </cell>
          <cell r="C951" t="str">
            <v>040000179882</v>
          </cell>
        </row>
        <row r="952">
          <cell r="B952" t="str">
            <v>KHI/HO/D/MO/MC COMP/P/93948/07/2024</v>
          </cell>
          <cell r="C952" t="str">
            <v>040000179913</v>
          </cell>
        </row>
        <row r="953">
          <cell r="B953" t="str">
            <v>KHI/HO/D/MO/MC COMP/P/92294/07/2024</v>
          </cell>
          <cell r="C953" t="str">
            <v>040000177808</v>
          </cell>
        </row>
        <row r="954">
          <cell r="B954" t="str">
            <v>KHI/HO/D/MO/MC COMP/P/93262/07/2024</v>
          </cell>
          <cell r="C954" t="str">
            <v>040000179066</v>
          </cell>
        </row>
        <row r="955">
          <cell r="B955" t="str">
            <v>KHI/HO/D/MO/MC COMP/P/93263/07/2024</v>
          </cell>
          <cell r="C955" t="str">
            <v>040000179067</v>
          </cell>
        </row>
        <row r="956">
          <cell r="B956" t="str">
            <v>KHI/HO/D/MO/MC COMP/P/93334/07/2024</v>
          </cell>
          <cell r="C956" t="str">
            <v>040000179159</v>
          </cell>
        </row>
        <row r="957">
          <cell r="B957" t="str">
            <v>KHI/HO/D/MO/MC COMP/P/93333/07/2024</v>
          </cell>
          <cell r="C957" t="str">
            <v>040000179158</v>
          </cell>
        </row>
        <row r="958">
          <cell r="B958" t="str">
            <v>KHI/HO/D/MO/MC COMP/P/93533/07/2024</v>
          </cell>
          <cell r="C958" t="str">
            <v>040000179400</v>
          </cell>
        </row>
        <row r="959">
          <cell r="B959" t="str">
            <v>KHI/HO/D/MO/MC COMP/P/93338/07/2024</v>
          </cell>
          <cell r="C959" t="str">
            <v>040000179164</v>
          </cell>
        </row>
        <row r="960">
          <cell r="B960" t="str">
            <v>KHI/HO/D/MO/MC COMP/P/93339/07/2024</v>
          </cell>
          <cell r="C960" t="str">
            <v>040000179165</v>
          </cell>
        </row>
        <row r="961">
          <cell r="B961" t="str">
            <v>KHI/HO/D/MO/MC COMP/P/92091/07/2024</v>
          </cell>
          <cell r="C961" t="str">
            <v>040000177480</v>
          </cell>
        </row>
        <row r="962">
          <cell r="B962" t="str">
            <v>KHI/HO/D/MO/MC COMP/P/93570/07/2024</v>
          </cell>
          <cell r="C962" t="str">
            <v>040000179440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kash Kumar" refreshedDate="45544.688179861114" createdVersion="8" refreshedVersion="8" minRefreshableVersion="3" recordCount="960" xr:uid="{17E5F3DD-B4B8-4084-9F02-9C4B03C11761}">
  <cacheSource type="worksheet">
    <worksheetSource ref="A2:P962" sheet="Detail"/>
  </cacheSource>
  <cacheFields count="16">
    <cacheField name="Policy #" numFmtId="0">
      <sharedItems/>
    </cacheField>
    <cacheField name="Endorsement" numFmtId="0">
      <sharedItems containsNonDate="0" containsString="0" containsBlank="1"/>
    </cacheField>
    <cacheField name="Dealer" numFmtId="0">
      <sharedItems count="30">
        <s v="South"/>
        <s v="UR Suzuki"/>
        <s v="UP Suzuki"/>
        <s v="Suzuki Zeeshan Autos"/>
        <s v="TR Suzuki"/>
        <s v="GT Suzuki"/>
        <s v="WR Suzuki"/>
        <s v="Khalil Motor"/>
        <s v="MS Suzuki"/>
        <s v="GR Suzuki"/>
        <s v="KR Suzuki"/>
        <s v="Suzuki Mandviwalla Motors"/>
        <s v="_x0009_Suzuki Defence Motors"/>
        <s v="SG Suzuki"/>
        <s v="FSD Suzuki"/>
        <s v="SR Suzuki"/>
        <s v="Gujranwala Suzuki"/>
        <s v="Gujrat Suzuki"/>
        <s v="Suzuki R.Y.Khan"/>
        <s v="A R Suzuki"/>
        <s v="CR Suzuki"/>
        <s v="TS Suzuki"/>
        <s v="Suzuki Ravi Motors"/>
        <s v="MR Suzuki"/>
        <s v="Suzuki Canal Motors Faisalabad Branch"/>
        <s v="Direct"/>
        <s v="Suzuki Falcon Motors"/>
        <s v="Sethi Motors"/>
        <s v="Suzuki South"/>
        <s v="Suzuki A R"/>
      </sharedItems>
    </cacheField>
    <cacheField name="Period From" numFmtId="168">
      <sharedItems containsSemiMixedTypes="0" containsNonDate="0" containsDate="1" containsString="0" minDate="2023-02-11T00:00:00" maxDate="2025-08-02T00:00:00"/>
    </cacheField>
    <cacheField name="Period To" numFmtId="168">
      <sharedItems containsSemiMixedTypes="0" containsNonDate="0" containsDate="1" containsString="0" minDate="2024-02-11T00:00:00" maxDate="2026-08-02T00:00:00"/>
    </cacheField>
    <cacheField name="Insured Name" numFmtId="0">
      <sharedItems/>
    </cacheField>
    <cacheField name="Vehicle Info" numFmtId="0">
      <sharedItems/>
    </cacheField>
    <cacheField name="Net" numFmtId="0">
      <sharedItems containsSemiMixedTypes="0" containsString="0" containsNumber="1" containsInteger="1" minValue="8800" maxValue="19145"/>
    </cacheField>
    <cacheField name="Gross" numFmtId="0">
      <sharedItems containsSemiMixedTypes="0" containsString="0" containsNumber="1" containsInteger="1" minValue="7155" maxValue="16073"/>
    </cacheField>
    <cacheField name="Engine" numFmtId="0">
      <sharedItems containsMixedTypes="1" containsNumber="1" containsInteger="1" minValue="144791" maxValue="144791"/>
    </cacheField>
    <cacheField name="Issue date" numFmtId="168">
      <sharedItems containsSemiMixedTypes="0" containsNonDate="0" containsDate="1" containsString="0" minDate="2024-07-01T00:00:00" maxDate="2024-08-02T00:00:00"/>
    </cacheField>
    <cacheField name="Policy Name" numFmtId="0">
      <sharedItems/>
    </cacheField>
    <cacheField name="SumCovered" numFmtId="167">
      <sharedItems containsSemiMixedTypes="0" containsString="0" containsNumber="1" containsInteger="1" minValue="335000" maxValue="547001"/>
    </cacheField>
    <cacheField name="SST 16%" numFmtId="165">
      <sharedItems containsSemiMixedTypes="0" containsString="0" containsNumber="1" minValue="1144.8" maxValue="2571.6799999999998"/>
    </cacheField>
    <cacheField name="F.I.F 1%" numFmtId="164">
      <sharedItems containsSemiMixedTypes="0" containsString="0" containsNumber="1" minValue="71.55" maxValue="160.72999999999999"/>
    </cacheField>
    <cacheField name="Stamp Duty" numFmtId="0">
      <sharedItems containsSemiMixedTypes="0" containsString="0" containsNumber="1" containsInteger="1" minValue="5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s v="KHI/HO/D/MO/MC COMP/P/92057/07/2024"/>
    <m/>
    <x v="0"/>
    <d v="2024-07-01T00:00:00"/>
    <d v="2025-07-01T00:00:00"/>
    <s v="ASIF ALI SHAIKH"/>
    <s v="SUZUKI-GR150 EURO II"/>
    <n v="19145"/>
    <n v="16073"/>
    <s v="113231"/>
    <d v="2024-07-01T00:00:00"/>
    <s v="MOTORCYCLE  COMPREHENSIVE"/>
    <n v="547000"/>
    <n v="2571.6799999999998"/>
    <n v="160.72999999999999"/>
    <n v="500"/>
  </r>
  <r>
    <s v="KHI/HO/D/MO/MC COMP/P/92058/07/2024"/>
    <m/>
    <x v="0"/>
    <d v="2025-07-02T00:00:00"/>
    <d v="2026-07-02T00:00:00"/>
    <s v="ASIF ALI SHAIKH"/>
    <s v="SUZUKI-GR150 EURO II"/>
    <n v="19145"/>
    <n v="16073"/>
    <s v="113231"/>
    <d v="2024-07-01T00:00:00"/>
    <s v="MOTORCYCLE  COMPREHENSIVE"/>
    <n v="547000"/>
    <n v="2571.6799999999998"/>
    <n v="160.72999999999999"/>
    <n v="500"/>
  </r>
  <r>
    <s v="KHI/HO/D/MO/MC COMP/P/92068/07/2024"/>
    <m/>
    <x v="0"/>
    <d v="2024-07-01T00:00:00"/>
    <d v="2025-07-01T00:00:00"/>
    <s v="NAVEED AHMED JAFFERI"/>
    <s v="SUZUKI-GD-110S"/>
    <n v="12320"/>
    <n v="10190"/>
    <s v="145090"/>
    <d v="2024-07-01T00:00:00"/>
    <s v="MOTORCYCLE  COMPREHENSIVE"/>
    <n v="352000"/>
    <n v="1630.4"/>
    <n v="101.9"/>
    <n v="500"/>
  </r>
  <r>
    <s v="KHI/HO/D/MO/MC COMP/P/92069/07/2024"/>
    <m/>
    <x v="0"/>
    <d v="2025-07-02T00:00:00"/>
    <d v="2026-07-02T00:00:00"/>
    <s v="NAVEED AHMED JAFFERI"/>
    <s v="SUZUKI-GD-110S"/>
    <n v="12320"/>
    <n v="10190"/>
    <s v="145090"/>
    <d v="2024-07-01T00:00:00"/>
    <s v="MOTORCYCLE  COMPREHENSIVE"/>
    <n v="352000"/>
    <n v="1630.4"/>
    <n v="101.9"/>
    <n v="500"/>
  </r>
  <r>
    <s v="KHI/HO/D/MO/MC COMP/P/92074/07/2024"/>
    <m/>
    <x v="0"/>
    <d v="2024-07-01T00:00:00"/>
    <d v="2025-07-01T00:00:00"/>
    <s v="AZHAR ILYAS"/>
    <s v="SUZUKI-GS 150"/>
    <n v="13370"/>
    <n v="11095"/>
    <s v="30091943"/>
    <d v="2024-07-01T00:00:00"/>
    <s v="MOTORCYCLE  COMPREHENSIVE"/>
    <n v="382000"/>
    <n v="1775.2"/>
    <n v="110.95"/>
    <n v="500"/>
  </r>
  <r>
    <s v="KHI/HO/D/MO/MC COMP/P/92075/07/2024"/>
    <m/>
    <x v="0"/>
    <d v="2025-07-02T00:00:00"/>
    <d v="2026-07-02T00:00:00"/>
    <s v="AZHAR ILYAS"/>
    <s v="SUZUKI-GS 150"/>
    <n v="13370"/>
    <n v="11095"/>
    <s v="30091943"/>
    <d v="2024-07-01T00:00:00"/>
    <s v="MOTORCYCLE  COMPREHENSIVE"/>
    <n v="382000"/>
    <n v="1775.2"/>
    <n v="110.95"/>
    <n v="500"/>
  </r>
  <r>
    <s v="KHI/HO/D/MO/MC COMP/P/92077/07/2024"/>
    <m/>
    <x v="1"/>
    <d v="2024-07-01T00:00:00"/>
    <d v="2025-07-01T00:00:00"/>
    <s v="MUHAMMAD ZISHAN HYDER"/>
    <s v="SUZUKI-GD-110S"/>
    <n v="12320"/>
    <n v="10190"/>
    <s v="145671"/>
    <d v="2024-07-01T00:00:00"/>
    <s v="MOTORCYCLE  COMPREHENSIVE"/>
    <n v="352000"/>
    <n v="1630.4"/>
    <n v="101.9"/>
    <n v="500"/>
  </r>
  <r>
    <s v="KHI/HO/D/MO/MC COMP/P/92078/07/2024"/>
    <m/>
    <x v="1"/>
    <d v="2025-07-02T00:00:00"/>
    <d v="2026-07-02T00:00:00"/>
    <s v="MUHAMMAD ZISHAN HYDER"/>
    <s v="SUZUKI-GD-110S"/>
    <n v="12320"/>
    <n v="10190"/>
    <s v="145671"/>
    <d v="2024-07-01T00:00:00"/>
    <s v="MOTORCYCLE  COMPREHENSIVE"/>
    <n v="352000"/>
    <n v="1630.4"/>
    <n v="101.9"/>
    <n v="500"/>
  </r>
  <r>
    <s v="KHI/HO/D/MO/MC COMP/P/92080/07/2024"/>
    <m/>
    <x v="0"/>
    <d v="2024-07-01T00:00:00"/>
    <d v="2025-07-01T00:00:00"/>
    <s v="SYED FAIZAN"/>
    <s v="SUZUKI-GR150 EURO II"/>
    <n v="19145"/>
    <n v="16073"/>
    <s v="113260"/>
    <d v="2024-07-01T00:00:00"/>
    <s v="MOTORCYCLE  COMPREHENSIVE"/>
    <n v="547000"/>
    <n v="2571.6799999999998"/>
    <n v="160.72999999999999"/>
    <n v="500"/>
  </r>
  <r>
    <s v="KHI/HO/D/MO/MC COMP/P/92081/07/2024"/>
    <m/>
    <x v="0"/>
    <d v="2025-07-02T00:00:00"/>
    <d v="2026-07-02T00:00:00"/>
    <s v="SYED FAIZAN"/>
    <s v="SUZUKI-GR150 EURO II"/>
    <n v="19145"/>
    <n v="16073"/>
    <s v="113260"/>
    <d v="2024-07-01T00:00:00"/>
    <s v="MOTORCYCLE  COMPREHENSIVE"/>
    <n v="547000"/>
    <n v="2571.6799999999998"/>
    <n v="160.72999999999999"/>
    <n v="500"/>
  </r>
  <r>
    <s v="KHI/HO/D/MO/MC COMP/P/92083/07/2024"/>
    <m/>
    <x v="1"/>
    <d v="2024-07-01T00:00:00"/>
    <d v="2025-07-01T00:00:00"/>
    <s v="MUHAMMAD DANIYAL"/>
    <s v="SUZUKI-GR150 EURO II"/>
    <n v="19145"/>
    <n v="16073"/>
    <s v="113178"/>
    <d v="2024-07-01T00:00:00"/>
    <s v="MOTORCYCLE  COMPREHENSIVE"/>
    <n v="547000"/>
    <n v="2571.6799999999998"/>
    <n v="160.72999999999999"/>
    <n v="500"/>
  </r>
  <r>
    <s v="KHI/HO/D/MO/MC COMP/P/92086/07/2024"/>
    <m/>
    <x v="1"/>
    <d v="2024-07-01T00:00:00"/>
    <d v="2025-07-01T00:00:00"/>
    <s v="NAFEES UR REHMAN"/>
    <s v="SUZUKI-GD-110S"/>
    <n v="12320"/>
    <n v="10190"/>
    <s v="145024"/>
    <d v="2024-07-01T00:00:00"/>
    <s v="MOTORCYCLE  COMPREHENSIVE"/>
    <n v="352000"/>
    <n v="1630.4"/>
    <n v="101.9"/>
    <n v="500"/>
  </r>
  <r>
    <s v="KHI/HO/D/MO/MC COMP/P/92087/07/2024"/>
    <m/>
    <x v="1"/>
    <d v="2025-07-02T00:00:00"/>
    <d v="2026-07-02T00:00:00"/>
    <s v="NAFEES UR REHMAN"/>
    <s v="SUZUKI-GD-110S"/>
    <n v="12320"/>
    <n v="10190"/>
    <s v="145024"/>
    <d v="2024-07-01T00:00:00"/>
    <s v="MOTORCYCLE  COMPREHENSIVE"/>
    <n v="352000"/>
    <n v="1630.4"/>
    <n v="101.9"/>
    <n v="500"/>
  </r>
  <r>
    <s v="KHI/HO/D/MO/MC COMP/P/92091/07/2024"/>
    <m/>
    <x v="0"/>
    <d v="2024-07-01T00:00:00"/>
    <d v="2025-07-01T00:00:00"/>
    <s v="MALIK HABIB UDDIN"/>
    <s v="SUZUKI-GD-110S"/>
    <n v="12320"/>
    <n v="10190"/>
    <s v="144596"/>
    <d v="2024-07-01T00:00:00"/>
    <s v="MOTORCYCLE  COMPREHENSIVE"/>
    <n v="352000"/>
    <n v="1630.4"/>
    <n v="101.9"/>
    <n v="500"/>
  </r>
  <r>
    <s v="KHI/HO/D/MO/MC COMP/P/92092/07/2024"/>
    <m/>
    <x v="1"/>
    <d v="2024-07-01T00:00:00"/>
    <d v="2025-07-01T00:00:00"/>
    <s v="MUHAMMAD RASHID PIRZADA"/>
    <s v="SUZUKI-GS 150"/>
    <n v="13370"/>
    <n v="11095"/>
    <s v="30091568"/>
    <d v="2024-07-01T00:00:00"/>
    <s v="MOTORCYCLE  COMPREHENSIVE"/>
    <n v="382000"/>
    <n v="1775.2"/>
    <n v="110.95"/>
    <n v="500"/>
  </r>
  <r>
    <s v="KHI/HO/D/MO/MC COMP/P/92093/07/2024"/>
    <m/>
    <x v="1"/>
    <d v="2025-07-02T00:00:00"/>
    <d v="2026-07-02T00:00:00"/>
    <s v="MUHAMMAD RASHID PIRZADA"/>
    <s v="SUZUKI-GS 150"/>
    <n v="13370"/>
    <n v="11095"/>
    <s v="30091568"/>
    <d v="2024-07-01T00:00:00"/>
    <s v="MOTORCYCLE  COMPREHENSIVE"/>
    <n v="382000"/>
    <n v="1775.2"/>
    <n v="110.95"/>
    <n v="500"/>
  </r>
  <r>
    <s v="KHI/HO/D/MO/MC COMP/P/92094/07/2024"/>
    <m/>
    <x v="0"/>
    <d v="2024-07-01T00:00:00"/>
    <d v="2025-07-01T00:00:00"/>
    <s v="SHAIKH ABDUL BASIT"/>
    <s v="SUZUKI-GD-110S"/>
    <n v="12320"/>
    <n v="10190"/>
    <s v="145078"/>
    <d v="2024-07-01T00:00:00"/>
    <s v="MOTORCYCLE  COMPREHENSIVE"/>
    <n v="352000"/>
    <n v="1630.4"/>
    <n v="101.9"/>
    <n v="500"/>
  </r>
  <r>
    <s v="KHI/HO/D/MO/MC COMP/P/92096/07/2024"/>
    <m/>
    <x v="2"/>
    <d v="2024-07-01T00:00:00"/>
    <d v="2025-07-01T00:00:00"/>
    <s v="MUHAMMAD OVAIS KHAN"/>
    <s v="SUZUKI-GD-110S"/>
    <n v="12320"/>
    <n v="10190"/>
    <s v="145413"/>
    <d v="2024-07-01T00:00:00"/>
    <s v="MOTORCYCLE  COMPREHENSIVE"/>
    <n v="352000"/>
    <n v="1630.4"/>
    <n v="101.9"/>
    <n v="500"/>
  </r>
  <r>
    <s v="KHI/HO/D/MO/MC COMP/P/92097/07/2024"/>
    <m/>
    <x v="1"/>
    <d v="2024-07-01T00:00:00"/>
    <d v="2025-07-01T00:00:00"/>
    <s v="AHMED KHAN"/>
    <s v="SUZUKI-GD-110S"/>
    <n v="12320"/>
    <n v="10190"/>
    <s v="143899"/>
    <d v="2024-07-01T00:00:00"/>
    <s v="MOTORCYCLE  COMPREHENSIVE"/>
    <n v="352000"/>
    <n v="1630.4"/>
    <n v="101.9"/>
    <n v="500"/>
  </r>
  <r>
    <s v="KHI/HO/D/MO/MC COMP/P/92098/07/2024"/>
    <m/>
    <x v="1"/>
    <d v="2024-07-01T00:00:00"/>
    <d v="2025-07-01T00:00:00"/>
    <s v="ZAIN MURTAZA"/>
    <s v="SUZUKI-GR150 EURO II"/>
    <n v="19145"/>
    <n v="16073"/>
    <s v="113271"/>
    <d v="2024-07-01T00:00:00"/>
    <s v="MOTORCYCLE  COMPREHENSIVE"/>
    <n v="547000"/>
    <n v="2571.6799999999998"/>
    <n v="160.72999999999999"/>
    <n v="500"/>
  </r>
  <r>
    <s v="KHI/HO/D/MO/MC COMP/P/92099/07/2024"/>
    <m/>
    <x v="1"/>
    <d v="2025-07-02T00:00:00"/>
    <d v="2026-07-02T00:00:00"/>
    <s v="ZAIN MURTAZA"/>
    <s v="SUZUKI-GR150 EURO II"/>
    <n v="19145"/>
    <n v="16073"/>
    <s v="113271"/>
    <d v="2024-07-01T00:00:00"/>
    <s v="MOTORCYCLE  COMPREHENSIVE"/>
    <n v="547000"/>
    <n v="2571.6799999999998"/>
    <n v="160.72999999999999"/>
    <n v="500"/>
  </r>
  <r>
    <s v="KHI/HO/D/MO/MC COMP/P/92100/07/2024"/>
    <m/>
    <x v="0"/>
    <d v="2024-07-01T00:00:00"/>
    <d v="2025-07-01T00:00:00"/>
    <s v="KASHAN"/>
    <s v="SUZUKI-GR150 EURO II"/>
    <n v="19145"/>
    <n v="16073"/>
    <s v="113238"/>
    <d v="2024-07-01T00:00:00"/>
    <s v="MOTORCYCLE  COMPREHENSIVE"/>
    <n v="547000"/>
    <n v="2571.6799999999998"/>
    <n v="160.72999999999999"/>
    <n v="500"/>
  </r>
  <r>
    <s v="KHI/HO/D/MO/MC COMP/P/92101/07/2024"/>
    <m/>
    <x v="0"/>
    <d v="2025-07-02T00:00:00"/>
    <d v="2026-07-02T00:00:00"/>
    <s v="KASHAN"/>
    <s v="SUZUKI-GR150 EURO II"/>
    <n v="19145"/>
    <n v="16073"/>
    <s v="113238"/>
    <d v="2024-07-01T00:00:00"/>
    <s v="MOTORCYCLE  COMPREHENSIVE"/>
    <n v="547000"/>
    <n v="2571.6799999999998"/>
    <n v="160.72999999999999"/>
    <n v="500"/>
  </r>
  <r>
    <s v="KHI/HO/D/MO/MC COMP/P/92106/07/2024"/>
    <m/>
    <x v="0"/>
    <d v="2024-07-01T00:00:00"/>
    <d v="2025-07-01T00:00:00"/>
    <s v="MUHAMMAD AZEEM"/>
    <s v="SUZUKI-GR150 EURO II"/>
    <n v="13370"/>
    <n v="11095"/>
    <s v="30091695"/>
    <d v="2024-07-01T00:00:00"/>
    <s v="MOTORCYCLE  COMPREHENSIVE"/>
    <n v="382000"/>
    <n v="1775.2"/>
    <n v="110.95"/>
    <n v="500"/>
  </r>
  <r>
    <s v="KHI/HO/D/MO/MC COMP/P/92107/07/2024"/>
    <m/>
    <x v="3"/>
    <d v="2024-07-01T00:00:00"/>
    <d v="2025-07-01T00:00:00"/>
    <s v="Muhammad Asif"/>
    <s v="SUZUKI-GD-110S"/>
    <n v="12320"/>
    <n v="10190"/>
    <s v="144347"/>
    <d v="2024-07-01T00:00:00"/>
    <s v="MOTORCYCLE  COMPREHENSIVE"/>
    <n v="352000"/>
    <n v="1630.4"/>
    <n v="101.9"/>
    <n v="500"/>
  </r>
  <r>
    <s v="KHI/HO/D/MO/MC COMP/P/92108/07/2024"/>
    <m/>
    <x v="3"/>
    <d v="2024-07-01T00:00:00"/>
    <d v="2025-07-01T00:00:00"/>
    <s v="Salman Illahi"/>
    <s v="SUZUKI-GD-110S"/>
    <n v="12320"/>
    <n v="10190"/>
    <s v="144741"/>
    <d v="2024-07-01T00:00:00"/>
    <s v="MOTORCYCLE  COMPREHENSIVE"/>
    <n v="352000"/>
    <n v="1630.4"/>
    <n v="101.9"/>
    <n v="500"/>
  </r>
  <r>
    <s v="KHI/HO/D/MO/MC COMP/P/92110/07/2024"/>
    <m/>
    <x v="3"/>
    <d v="2024-07-01T00:00:00"/>
    <d v="2025-07-01T00:00:00"/>
    <s v="Nafees Ahmed Khan"/>
    <s v="SUZUKI-GD-110S"/>
    <n v="12320"/>
    <n v="10190"/>
    <s v="144489"/>
    <d v="2024-07-01T00:00:00"/>
    <s v="MOTORCYCLE  COMPREHENSIVE"/>
    <n v="352000"/>
    <n v="1630.4"/>
    <n v="101.9"/>
    <n v="500"/>
  </r>
  <r>
    <s v="KHI/HO/D/MO/MC COMP/P/92111/07/2024"/>
    <m/>
    <x v="3"/>
    <d v="2024-07-01T00:00:00"/>
    <d v="2025-07-01T00:00:00"/>
    <s v="Hassan Raza"/>
    <s v="SUZUKI-GD-110S"/>
    <n v="12320"/>
    <n v="10190"/>
    <s v="144604"/>
    <d v="2024-07-01T00:00:00"/>
    <s v="MOTORCYCLE  COMPREHENSIVE"/>
    <n v="352000"/>
    <n v="1630.4"/>
    <n v="101.9"/>
    <n v="500"/>
  </r>
  <r>
    <s v="KHI/HO/D/MO/MC COMP/P/92112/07/2024"/>
    <m/>
    <x v="3"/>
    <d v="2025-07-02T00:00:00"/>
    <d v="2026-07-02T00:00:00"/>
    <s v="Hassan Raza"/>
    <s v="SUZUKI-GD-110S"/>
    <n v="12320"/>
    <n v="10190"/>
    <s v="144604"/>
    <d v="2024-07-01T00:00:00"/>
    <s v="MOTORCYCLE  COMPREHENSIVE"/>
    <n v="352000"/>
    <n v="1630.4"/>
    <n v="101.9"/>
    <n v="500"/>
  </r>
  <r>
    <s v="KHI/HO/D/MO/MC COMP/P/92114/07/2024"/>
    <m/>
    <x v="3"/>
    <d v="2024-07-01T00:00:00"/>
    <d v="2025-07-01T00:00:00"/>
    <s v="Muhammad Masood Iqbal"/>
    <s v="SUZUKI-GR150 EURO II"/>
    <n v="19145"/>
    <n v="16073"/>
    <s v="112842"/>
    <d v="2024-07-01T00:00:00"/>
    <s v="MOTORCYCLE  COMPREHENSIVE"/>
    <n v="547000"/>
    <n v="2571.6799999999998"/>
    <n v="160.72999999999999"/>
    <n v="500"/>
  </r>
  <r>
    <s v="KHI/HO/D/MO/MC COMP/P/92117/07/2024"/>
    <m/>
    <x v="4"/>
    <d v="2024-07-01T00:00:00"/>
    <d v="2025-07-01T00:00:00"/>
    <s v="TAYYAB SULTAN"/>
    <s v="SUZUKI-GS-150"/>
    <n v="13370"/>
    <n v="11095"/>
    <s v="30091960"/>
    <d v="2024-07-01T00:00:00"/>
    <s v="MOTORCYCLE  COMPREHENSIVE"/>
    <n v="382000"/>
    <n v="1775.2"/>
    <n v="110.95"/>
    <n v="500"/>
  </r>
  <r>
    <s v="KHI/HO/D/MO/MC COMP/P/92118/07/2024"/>
    <m/>
    <x v="4"/>
    <d v="2024-07-01T00:00:00"/>
    <d v="2025-07-01T00:00:00"/>
    <s v="AHSAN SHABBIR SOOMRO"/>
    <s v="SUZUKI-GS-150"/>
    <n v="13370"/>
    <n v="11095"/>
    <s v="30091782"/>
    <d v="2024-07-01T00:00:00"/>
    <s v="MOTORCYCLE  COMPREHENSIVE"/>
    <n v="382000"/>
    <n v="1775.2"/>
    <n v="110.95"/>
    <n v="500"/>
  </r>
  <r>
    <s v="KHI/HO/D/MO/MC COMP/P/92119/07/2024"/>
    <m/>
    <x v="4"/>
    <d v="2025-07-02T00:00:00"/>
    <d v="2026-07-02T00:00:00"/>
    <s v="AHSAN SHABBIR SOOMRO"/>
    <s v="SUZUKI-GS-150"/>
    <n v="13370"/>
    <n v="11095"/>
    <s v="30091782"/>
    <d v="2024-07-01T00:00:00"/>
    <s v="MOTORCYCLE  COMPREHENSIVE"/>
    <n v="382000"/>
    <n v="1775.2"/>
    <n v="110.95"/>
    <n v="500"/>
  </r>
  <r>
    <s v="KHI/HO/D/MO/MC COMP/P/92120/07/2024"/>
    <m/>
    <x v="4"/>
    <d v="2024-07-01T00:00:00"/>
    <d v="2025-07-01T00:00:00"/>
    <s v="KALEEM ULLAH"/>
    <s v="SUZUKI-GR150 EURO II"/>
    <n v="19145"/>
    <n v="16073"/>
    <s v="113223"/>
    <d v="2024-07-01T00:00:00"/>
    <s v="MOTORCYCLE  COMPREHENSIVE"/>
    <n v="547000"/>
    <n v="2571.6799999999998"/>
    <n v="160.72999999999999"/>
    <n v="500"/>
  </r>
  <r>
    <s v="KHI/HO/D/MO/MC COMP/P/92121/07/2024"/>
    <m/>
    <x v="4"/>
    <d v="2025-07-02T00:00:00"/>
    <d v="2026-07-02T00:00:00"/>
    <s v="KALEEM ULLAH"/>
    <s v="SUZUKI-GR150 EURO II"/>
    <n v="19145"/>
    <n v="16073"/>
    <s v="113223"/>
    <d v="2024-07-01T00:00:00"/>
    <s v="MOTORCYCLE  COMPREHENSIVE"/>
    <n v="547000"/>
    <n v="2571.6799999999998"/>
    <n v="160.72999999999999"/>
    <n v="500"/>
  </r>
  <r>
    <s v="KHI/HO/D/MO/MC COMP/P/92133/07/2024"/>
    <m/>
    <x v="0"/>
    <d v="2024-07-02T00:00:00"/>
    <d v="2025-07-02T00:00:00"/>
    <s v="IMRAN QURESHI"/>
    <s v="SUZUKI-GS 150"/>
    <n v="13370"/>
    <n v="11095"/>
    <s v="30091942"/>
    <d v="2024-07-02T00:00:00"/>
    <s v="MOTORCYCLE  COMPREHENSIVE"/>
    <n v="382000"/>
    <n v="1775.2"/>
    <n v="110.95"/>
    <n v="500"/>
  </r>
  <r>
    <s v="KHI/HO/D/MO/MC COMP/P/92134/07/2024"/>
    <m/>
    <x v="0"/>
    <d v="2025-07-03T00:00:00"/>
    <d v="2026-07-03T00:00:00"/>
    <s v="IMRAN QURESHI"/>
    <s v="SUZUKI-GS 150"/>
    <n v="13370"/>
    <n v="11095"/>
    <s v="30091942"/>
    <d v="2024-07-02T00:00:00"/>
    <s v="MOTORCYCLE  COMPREHENSIVE"/>
    <n v="382000"/>
    <n v="1775.2"/>
    <n v="110.95"/>
    <n v="500"/>
  </r>
  <r>
    <s v="KHI/HO/D/MO/MC COMP/P/92135/07/2024"/>
    <m/>
    <x v="0"/>
    <d v="2024-07-02T00:00:00"/>
    <d v="2025-07-02T00:00:00"/>
    <s v="MUHAMMAD KAZIM"/>
    <s v="SUZUKI-GD-110S"/>
    <n v="12320"/>
    <n v="10190"/>
    <s v="145092"/>
    <d v="2024-07-02T00:00:00"/>
    <s v="MOTORCYCLE  COMPREHENSIVE"/>
    <n v="352000"/>
    <n v="1630.4"/>
    <n v="101.9"/>
    <n v="500"/>
  </r>
  <r>
    <s v="KHI/HO/D/MO/MC COMP/P/92136/07/2024"/>
    <m/>
    <x v="0"/>
    <d v="2025-07-03T00:00:00"/>
    <d v="2026-07-03T00:00:00"/>
    <s v="MUHAMMAD KAZIM"/>
    <s v="SUZUKI-GD-110S"/>
    <n v="12320"/>
    <n v="10190"/>
    <s v="145092"/>
    <d v="2024-07-02T00:00:00"/>
    <s v="MOTORCYCLE  COMPREHENSIVE"/>
    <n v="352000"/>
    <n v="1630.4"/>
    <n v="101.9"/>
    <n v="500"/>
  </r>
  <r>
    <s v="KHI/HO/D/MO/MC COMP/P/92137/07/2024"/>
    <m/>
    <x v="0"/>
    <d v="2024-07-02T00:00:00"/>
    <d v="2025-07-02T00:00:00"/>
    <s v="ZEESHAN"/>
    <s v="SUZUKI-GS 150"/>
    <n v="13370"/>
    <n v="11095"/>
    <s v="30091941"/>
    <d v="2024-07-02T00:00:00"/>
    <s v="MOTORCYCLE  COMPREHENSIVE"/>
    <n v="382000"/>
    <n v="1775.2"/>
    <n v="110.95"/>
    <n v="500"/>
  </r>
  <r>
    <s v="KHI/HO/D/MO/MC COMP/P/92138/07/2024"/>
    <m/>
    <x v="0"/>
    <d v="2025-07-03T00:00:00"/>
    <d v="2026-07-03T00:00:00"/>
    <s v="ZEESHAN"/>
    <s v="SUZUKI-GS 150"/>
    <n v="13370"/>
    <n v="11095"/>
    <s v="30091941"/>
    <d v="2024-07-02T00:00:00"/>
    <s v="MOTORCYCLE  COMPREHENSIVE"/>
    <n v="382000"/>
    <n v="1775.2"/>
    <n v="110.95"/>
    <n v="500"/>
  </r>
  <r>
    <s v="KHI/HO/D/MO/MC COMP/P/92140/07/2024"/>
    <m/>
    <x v="2"/>
    <d v="2024-07-02T00:00:00"/>
    <d v="2025-07-02T00:00:00"/>
    <s v="HUZAIFA KHAN"/>
    <s v="SUZUKI-GD-110S"/>
    <n v="12320"/>
    <n v="10190"/>
    <s v="145084"/>
    <d v="2024-07-02T00:00:00"/>
    <s v="MOTORCYCLE  COMPREHENSIVE"/>
    <n v="352000"/>
    <n v="1630.4"/>
    <n v="101.9"/>
    <n v="500"/>
  </r>
  <r>
    <s v="KHI/HO/D/MO/MC COMP/P/92145/07/2024"/>
    <m/>
    <x v="1"/>
    <d v="2024-07-02T00:00:00"/>
    <d v="2025-07-02T00:00:00"/>
    <s v="FAISAL SIDDIQUI"/>
    <s v="SUZUKI-GR150 EURO II"/>
    <n v="19145"/>
    <n v="16073"/>
    <s v="113242"/>
    <d v="2024-07-02T00:00:00"/>
    <s v="MOTORCYCLE  COMPREHENSIVE"/>
    <n v="547000"/>
    <n v="2571.6799999999998"/>
    <n v="160.72999999999999"/>
    <n v="500"/>
  </r>
  <r>
    <s v="KHI/HO/D/MO/MC COMP/P/92146/07/2024"/>
    <m/>
    <x v="1"/>
    <d v="2025-07-03T00:00:00"/>
    <d v="2026-07-03T00:00:00"/>
    <s v="FAISAL SIDDIQUI"/>
    <s v="SUZUKI-GR150 EURO II"/>
    <n v="19145"/>
    <n v="16073"/>
    <s v="113242"/>
    <d v="2024-07-02T00:00:00"/>
    <s v="MOTORCYCLE  COMPREHENSIVE"/>
    <n v="547000"/>
    <n v="2571.6799999999998"/>
    <n v="160.72999999999999"/>
    <n v="500"/>
  </r>
  <r>
    <s v="KHI/HO/D/MO/MC COMP/P/92148/07/2024"/>
    <m/>
    <x v="4"/>
    <d v="2024-07-02T00:00:00"/>
    <d v="2025-07-02T00:00:00"/>
    <s v="NOMAN KHAN"/>
    <s v="SUZUKI-GD-110S"/>
    <n v="12320"/>
    <n v="10190"/>
    <s v="144328"/>
    <d v="2024-07-02T00:00:00"/>
    <s v="MOTORCYCLE  COMPREHENSIVE"/>
    <n v="352000"/>
    <n v="1630.4"/>
    <n v="101.9"/>
    <n v="500"/>
  </r>
  <r>
    <s v="KHI/HO/D/MO/MC COMP/P/92149/07/2024"/>
    <m/>
    <x v="4"/>
    <d v="2025-07-03T00:00:00"/>
    <d v="2026-07-03T00:00:00"/>
    <s v="NOMAN KHAN"/>
    <s v="SUZUKI-GD-110S"/>
    <n v="12320"/>
    <n v="10190"/>
    <s v="144328"/>
    <d v="2024-07-02T00:00:00"/>
    <s v="MOTORCYCLE  COMPREHENSIVE"/>
    <n v="352000"/>
    <n v="1630.4"/>
    <n v="101.9"/>
    <n v="500"/>
  </r>
  <r>
    <s v="KHI/HO/D/MO/MC COMP/P/92151/07/2024"/>
    <m/>
    <x v="1"/>
    <d v="2024-07-02T00:00:00"/>
    <d v="2025-07-02T00:00:00"/>
    <s v="IRFAN RASHID"/>
    <s v="SUZUKI-GD-110S"/>
    <n v="12320"/>
    <n v="10190"/>
    <s v="145667"/>
    <d v="2024-07-02T00:00:00"/>
    <s v="MOTORCYCLE  COMPREHENSIVE"/>
    <n v="352000"/>
    <n v="1630.4"/>
    <n v="101.9"/>
    <n v="500"/>
  </r>
  <r>
    <s v="KHI/HO/D/MO/MC COMP/P/92152/07/2024"/>
    <m/>
    <x v="1"/>
    <d v="2025-07-03T00:00:00"/>
    <d v="2026-07-03T00:00:00"/>
    <s v="IRFAN RASHID"/>
    <s v="SUZUKI-GD-110S"/>
    <n v="12320"/>
    <n v="10190"/>
    <s v="145667"/>
    <d v="2024-07-02T00:00:00"/>
    <s v="MOTORCYCLE  COMPREHENSIVE"/>
    <n v="352000"/>
    <n v="1630.4"/>
    <n v="101.9"/>
    <n v="500"/>
  </r>
  <r>
    <s v="KHI/HO/D/MO/MC COMP/P/92156/07/2024"/>
    <m/>
    <x v="5"/>
    <d v="2024-07-02T00:00:00"/>
    <d v="2025-07-02T00:00:00"/>
    <s v="TANVEER AHMAD"/>
    <s v="SUZUKI-GR150 EURO II"/>
    <n v="13675"/>
    <n v="11357"/>
    <s v="113203"/>
    <d v="2024-07-02T00:00:00"/>
    <s v="MOTORCYCLE  COMPREHENSIVE"/>
    <n v="547000"/>
    <n v="1817.12"/>
    <n v="113.57"/>
    <n v="500"/>
  </r>
  <r>
    <s v="KHI/HO/D/MO/MC COMP/P/92157/07/2024"/>
    <m/>
    <x v="4"/>
    <d v="2024-07-02T00:00:00"/>
    <d v="2025-07-02T00:00:00"/>
    <s v="MUHAMMAD NADEEM"/>
    <s v="SUZUKI-GS-150"/>
    <n v="13370"/>
    <n v="11095"/>
    <s v="30091742"/>
    <d v="2024-07-02T00:00:00"/>
    <s v="MOTORCYCLE  COMPREHENSIVE"/>
    <n v="382000"/>
    <n v="1775.2"/>
    <n v="110.95"/>
    <n v="500"/>
  </r>
  <r>
    <s v="KHI/HO/D/MO/MC COMP/P/92158/07/2024"/>
    <m/>
    <x v="4"/>
    <d v="2025-07-03T00:00:00"/>
    <d v="2026-07-03T00:00:00"/>
    <s v="MUHAMMAD NADEEM"/>
    <s v="SUZUKI-GS-150"/>
    <n v="13370"/>
    <n v="11095"/>
    <s v="30091742"/>
    <d v="2024-07-02T00:00:00"/>
    <s v="MOTORCYCLE  COMPREHENSIVE"/>
    <n v="382000"/>
    <n v="1775.2"/>
    <n v="110.95"/>
    <n v="500"/>
  </r>
  <r>
    <s v="KHI/HO/D/MO/MC COMP/P/92160/07/2024"/>
    <m/>
    <x v="5"/>
    <d v="2024-07-02T00:00:00"/>
    <d v="2025-07-02T00:00:00"/>
    <s v="RIZWAN TAHIR"/>
    <s v="SUZUKI-GD-110S"/>
    <n v="8800"/>
    <n v="7155"/>
    <s v="144113"/>
    <d v="2024-07-02T00:00:00"/>
    <s v="MOTORCYCLE  COMPREHENSIVE"/>
    <n v="352000"/>
    <n v="1144.8"/>
    <n v="71.55"/>
    <n v="500"/>
  </r>
  <r>
    <s v="KHI/HO/D/MO/MC COMP/P/92161/07/2024"/>
    <m/>
    <x v="5"/>
    <d v="2024-07-02T00:00:00"/>
    <d v="2025-07-02T00:00:00"/>
    <s v="MUHAMMAD HASSAN"/>
    <s v="SUZUKI-GS 150"/>
    <n v="9550"/>
    <n v="7802"/>
    <s v="30091875"/>
    <d v="2024-07-02T00:00:00"/>
    <s v="MOTORCYCLE  COMPREHENSIVE"/>
    <n v="382000"/>
    <n v="1248.32"/>
    <n v="78.02"/>
    <n v="500"/>
  </r>
  <r>
    <s v="KHI/HO/D/MO/MC COMP/P/92162/07/2024"/>
    <m/>
    <x v="1"/>
    <d v="2024-07-02T00:00:00"/>
    <d v="2025-07-02T00:00:00"/>
    <s v="MUHAMMAD ZEESHAN"/>
    <s v="SUZUKI-GSX 125"/>
    <n v="17465"/>
    <n v="14625"/>
    <s v="23102452"/>
    <d v="2024-07-02T00:00:00"/>
    <s v="MOTORCYCLE  COMPREHENSIVE"/>
    <n v="499000"/>
    <n v="2340"/>
    <n v="146.25"/>
    <n v="500"/>
  </r>
  <r>
    <s v="KHI/HO/D/MO/MC COMP/P/92163/07/2024"/>
    <m/>
    <x v="1"/>
    <d v="2025-07-03T00:00:00"/>
    <d v="2026-07-03T00:00:00"/>
    <s v="MUHAMMAD ZEESHAN"/>
    <s v="SUZUKI-GSX 125"/>
    <n v="17465"/>
    <n v="14625"/>
    <s v="23102452"/>
    <d v="2024-07-02T00:00:00"/>
    <s v="MOTORCYCLE  COMPREHENSIVE"/>
    <n v="499000"/>
    <n v="2340"/>
    <n v="146.25"/>
    <n v="500"/>
  </r>
  <r>
    <s v="KHI/HO/D/MO/MC COMP/P/92164/07/2024"/>
    <m/>
    <x v="6"/>
    <d v="2024-07-02T00:00:00"/>
    <d v="2025-07-02T00:00:00"/>
    <s v="Zohiab Fayyaz"/>
    <s v="SUZUKI-GS 150"/>
    <n v="9550"/>
    <n v="7802"/>
    <s v="30091816"/>
    <d v="2024-07-02T00:00:00"/>
    <s v="MOTORCYCLE  COMPREHENSIVE"/>
    <n v="382000"/>
    <n v="1248.32"/>
    <n v="78.02"/>
    <n v="500"/>
  </r>
  <r>
    <s v="KHI/HO/D/MO/MC COMP/P/92167/07/2024"/>
    <m/>
    <x v="5"/>
    <d v="2024-07-02T00:00:00"/>
    <d v="2025-07-02T00:00:00"/>
    <s v="ASAD IFTIKHAR"/>
    <s v="SUZUKI-GD-110S"/>
    <n v="8800"/>
    <n v="7155"/>
    <s v="144589"/>
    <d v="2024-07-02T00:00:00"/>
    <s v="MOTORCYCLE  COMPREHENSIVE"/>
    <n v="352000"/>
    <n v="1144.8"/>
    <n v="71.55"/>
    <n v="500"/>
  </r>
  <r>
    <s v="KHI/HO/D/MO/MC COMP/P/92173/07/2024"/>
    <m/>
    <x v="5"/>
    <d v="2024-07-02T00:00:00"/>
    <d v="2025-07-02T00:00:00"/>
    <s v="MUHAMMAD AWAIS"/>
    <s v="SUZUKI-GD-110S"/>
    <n v="8800"/>
    <n v="7155"/>
    <s v="145317"/>
    <d v="2024-07-02T00:00:00"/>
    <s v="MOTORCYCLE  COMPREHENSIVE"/>
    <n v="352000"/>
    <n v="1144.8"/>
    <n v="71.55"/>
    <n v="500"/>
  </r>
  <r>
    <s v="KHI/HO/D/MO/MC COMP/P/92174/07/2024"/>
    <m/>
    <x v="7"/>
    <d v="2024-07-02T00:00:00"/>
    <d v="2025-07-02T00:00:00"/>
    <s v="MUHAMMAD UZAIR"/>
    <s v="SUZUKI-GD-110S"/>
    <n v="12320"/>
    <n v="10190"/>
    <s v="142721"/>
    <d v="2024-07-02T00:00:00"/>
    <s v="MOTORCYCLE  COMPREHENSIVE"/>
    <n v="352000"/>
    <n v="1630.4"/>
    <n v="101.9"/>
    <n v="500"/>
  </r>
  <r>
    <s v="KHI/HO/D/MO/MC COMP/P/92175/07/2024"/>
    <m/>
    <x v="5"/>
    <d v="2024-07-02T00:00:00"/>
    <d v="2025-07-02T00:00:00"/>
    <s v="RANA MUHAMMAD RIZWAN ALI"/>
    <s v="SUZUKI-GD-110S"/>
    <n v="8800"/>
    <n v="7155"/>
    <s v="145316"/>
    <d v="2024-07-02T00:00:00"/>
    <s v="MOTORCYCLE  COMPREHENSIVE"/>
    <n v="352000"/>
    <n v="1144.8"/>
    <n v="71.55"/>
    <n v="500"/>
  </r>
  <r>
    <s v="KHI/HO/D/MO/MC COMP/P/92180/07/2024"/>
    <m/>
    <x v="7"/>
    <d v="2024-07-02T00:00:00"/>
    <d v="2025-07-02T00:00:00"/>
    <s v="HASSAN GOHAR"/>
    <s v="SUZUKI-GD-110S"/>
    <n v="12320"/>
    <n v="10190"/>
    <s v="145045"/>
    <d v="2024-07-02T00:00:00"/>
    <s v="MOTORCYCLE  COMPREHENSIVE"/>
    <n v="352000"/>
    <n v="1630.4"/>
    <n v="101.9"/>
    <n v="500"/>
  </r>
  <r>
    <s v="KHI/HO/D/MO/MC COMP/P/92182/07/2024"/>
    <m/>
    <x v="0"/>
    <d v="2024-07-02T00:00:00"/>
    <d v="2025-07-02T00:00:00"/>
    <s v="MUHAMMAD WASEEM SHAIKH"/>
    <s v="SUZUKI-GS 150"/>
    <n v="13370"/>
    <n v="11095"/>
    <s v="30091917"/>
    <d v="2024-07-02T00:00:00"/>
    <s v="MOTORCYCLE  COMPREHENSIVE"/>
    <n v="382000"/>
    <n v="1775.2"/>
    <n v="110.95"/>
    <n v="500"/>
  </r>
  <r>
    <s v="KHI/HO/D/MO/MC COMP/P/92186/07/2024"/>
    <m/>
    <x v="8"/>
    <d v="2024-07-02T00:00:00"/>
    <d v="2025-07-02T00:00:00"/>
    <s v="MUHAMMAD ZAHEER AFZAL"/>
    <s v="SUZUKI-GR150 EURO II"/>
    <n v="13675"/>
    <n v="11357"/>
    <s v="113202"/>
    <d v="2024-07-02T00:00:00"/>
    <s v="MOTORCYCLE  COMPREHENSIVE"/>
    <n v="547000"/>
    <n v="1817.12"/>
    <n v="113.57"/>
    <n v="500"/>
  </r>
  <r>
    <s v="KHI/HO/D/MO/MC COMP/P/92188/07/2024"/>
    <m/>
    <x v="6"/>
    <d v="2024-07-02T00:00:00"/>
    <d v="2025-07-02T00:00:00"/>
    <s v="M Asad"/>
    <s v="SUZUKI-GS-150"/>
    <n v="9550"/>
    <n v="7802"/>
    <s v="30091787"/>
    <d v="2024-07-02T00:00:00"/>
    <s v="MOTORCYCLE  COMPREHENSIVE"/>
    <n v="382000"/>
    <n v="1248.32"/>
    <n v="78.02"/>
    <n v="500"/>
  </r>
  <r>
    <s v="KHI/HO/D/MO/MC COMP/P/92195/07/2024"/>
    <m/>
    <x v="6"/>
    <d v="2024-07-02T00:00:00"/>
    <d v="2025-07-02T00:00:00"/>
    <s v="Nabeel Zahid"/>
    <s v="SUZUKI-GD-110S"/>
    <n v="8800"/>
    <n v="7155"/>
    <s v="145052"/>
    <d v="2024-07-02T00:00:00"/>
    <s v="MOTORCYCLE  COMPREHENSIVE"/>
    <n v="352000"/>
    <n v="1144.8"/>
    <n v="71.55"/>
    <n v="500"/>
  </r>
  <r>
    <s v="KHI/HO/D/MO/MC COMP/P/92200/07/2024"/>
    <m/>
    <x v="6"/>
    <d v="2024-07-02T00:00:00"/>
    <d v="2025-07-02T00:00:00"/>
    <s v="M Mudassar"/>
    <s v="SUZUKI-GS 150"/>
    <n v="9550"/>
    <n v="7802"/>
    <s v="30091835"/>
    <d v="2024-07-02T00:00:00"/>
    <s v="MOTORCYCLE  COMPREHENSIVE"/>
    <n v="382000"/>
    <n v="1248.32"/>
    <n v="78.02"/>
    <n v="500"/>
  </r>
  <r>
    <s v="KHI/HO/D/MO/MC COMP/P/92203/07/2024"/>
    <m/>
    <x v="1"/>
    <d v="2024-07-02T00:00:00"/>
    <d v="2025-07-02T00:00:00"/>
    <s v="MUHAMMAD MANAN"/>
    <s v="SUZUKI-GSX 125"/>
    <n v="17465"/>
    <n v="14625"/>
    <s v="23100163"/>
    <d v="2024-07-02T00:00:00"/>
    <s v="MOTORCYCLE  COMPREHENSIVE"/>
    <n v="499000"/>
    <n v="2340"/>
    <n v="146.25"/>
    <n v="500"/>
  </r>
  <r>
    <s v="KHI/HO/D/MO/MC COMP/P/92204/07/2024"/>
    <m/>
    <x v="1"/>
    <d v="2025-07-03T00:00:00"/>
    <d v="2026-07-03T00:00:00"/>
    <s v="MUHAMMAD MANAN"/>
    <s v="SUZUKI-GSX 125"/>
    <n v="17465"/>
    <n v="14625"/>
    <s v="23100163"/>
    <d v="2024-07-02T00:00:00"/>
    <s v="MOTORCYCLE  COMPREHENSIVE"/>
    <n v="499000"/>
    <n v="2340"/>
    <n v="146.25"/>
    <n v="500"/>
  </r>
  <r>
    <s v="KHI/HO/D/MO/MC COMP/P/92205/07/2024"/>
    <m/>
    <x v="0"/>
    <d v="2024-07-02T00:00:00"/>
    <d v="2025-07-02T00:00:00"/>
    <s v="SHAHZAIB"/>
    <s v="SUZUKI-GD-110S"/>
    <n v="12320"/>
    <n v="10190"/>
    <s v="144598"/>
    <d v="2024-07-02T00:00:00"/>
    <s v="MOTORCYCLE  COMPREHENSIVE"/>
    <n v="352000"/>
    <n v="1630.4"/>
    <n v="101.9"/>
    <n v="500"/>
  </r>
  <r>
    <s v="KHI/HO/D/MO/MC COMP/P/92206/07/2024"/>
    <m/>
    <x v="0"/>
    <d v="2025-07-03T00:00:00"/>
    <d v="2026-07-03T00:00:00"/>
    <s v="SHAHZAIB"/>
    <s v="SUZUKI-GD-110S"/>
    <n v="12320"/>
    <n v="10190"/>
    <s v="144598"/>
    <d v="2024-07-02T00:00:00"/>
    <s v="MOTORCYCLE  COMPREHENSIVE"/>
    <n v="352000"/>
    <n v="1630.4"/>
    <n v="101.9"/>
    <n v="500"/>
  </r>
  <r>
    <s v="KHI/HO/D/MO/MC COMP/P/92210/07/2024"/>
    <m/>
    <x v="1"/>
    <d v="2024-07-02T00:00:00"/>
    <d v="2025-07-02T00:00:00"/>
    <s v="MUBARIS AHMED SHAH"/>
    <s v="SUZUKI-GR150 EURO II"/>
    <n v="19145"/>
    <n v="16073"/>
    <s v="113120"/>
    <d v="2024-07-02T00:00:00"/>
    <s v="MOTORCYCLE  COMPREHENSIVE"/>
    <n v="547000"/>
    <n v="2571.6799999999998"/>
    <n v="160.72999999999999"/>
    <n v="500"/>
  </r>
  <r>
    <s v="KHI/HO/D/MO/MC COMP/P/92211/07/2024"/>
    <m/>
    <x v="1"/>
    <d v="2025-07-03T00:00:00"/>
    <d v="2026-07-03T00:00:00"/>
    <s v="MUBARIS AHMED SHAH"/>
    <s v="SUZUKI-GR150 EURO II"/>
    <n v="19145"/>
    <n v="16073"/>
    <s v="113120"/>
    <d v="2024-07-02T00:00:00"/>
    <s v="MOTORCYCLE  COMPREHENSIVE"/>
    <n v="547000"/>
    <n v="2571.6799999999998"/>
    <n v="160.72999999999999"/>
    <n v="500"/>
  </r>
  <r>
    <s v="KHI/HO/D/MO/MC COMP/P/92215/07/2024"/>
    <m/>
    <x v="9"/>
    <d v="2024-07-02T00:00:00"/>
    <d v="2025-07-02T00:00:00"/>
    <s v="Abdul Ghaffar"/>
    <s v="SUZUKI-GS-150"/>
    <n v="9550"/>
    <n v="7802"/>
    <s v="30091401"/>
    <d v="2024-07-02T00:00:00"/>
    <s v="MOTORCYCLE  COMPREHENSIVE"/>
    <n v="382001"/>
    <n v="1248.32"/>
    <n v="78.02"/>
    <n v="500"/>
  </r>
  <r>
    <s v="KHI/HO/D/MO/MC COMP/P/92217/07/2024"/>
    <m/>
    <x v="10"/>
    <d v="2024-07-02T00:00:00"/>
    <d v="2025-07-02T00:00:00"/>
    <s v="ASIF IQBAL"/>
    <s v="SUZUKI-GR150 EURO II"/>
    <n v="13675"/>
    <n v="11357"/>
    <s v="113208"/>
    <d v="2024-07-02T00:00:00"/>
    <s v="MOTORCYCLE  COMPREHENSIVE"/>
    <n v="547000"/>
    <n v="1817.12"/>
    <n v="113.57"/>
    <n v="500"/>
  </r>
  <r>
    <s v="KHI/HO/D/MO/MC COMP/P/92230/07/2024"/>
    <m/>
    <x v="11"/>
    <d v="2024-07-03T00:00:00"/>
    <d v="2025-07-03T00:00:00"/>
    <s v="YOUSUF KHAN"/>
    <s v="SUZUKI-GD-110S"/>
    <n v="12320"/>
    <n v="10190"/>
    <s v="145238"/>
    <d v="2024-07-03T00:00:00"/>
    <s v="MOTORCYCLE  COMPREHENSIVE"/>
    <n v="352000"/>
    <n v="1630.4"/>
    <n v="101.9"/>
    <n v="500"/>
  </r>
  <r>
    <s v="KHI/HO/D/MO/MC COMP/P/92231/07/2024"/>
    <m/>
    <x v="11"/>
    <d v="2025-07-04T00:00:00"/>
    <d v="2026-07-04T00:00:00"/>
    <s v="YOUSUF KHAN"/>
    <s v="SUZUKI-GD-110S"/>
    <n v="12320"/>
    <n v="10190"/>
    <s v="145238"/>
    <d v="2024-07-03T00:00:00"/>
    <s v="MOTORCYCLE  COMPREHENSIVE"/>
    <n v="352000"/>
    <n v="1630.4"/>
    <n v="101.9"/>
    <n v="500"/>
  </r>
  <r>
    <s v="KHI/HO/D/MO/MC COMP/P/92235/07/2024"/>
    <m/>
    <x v="1"/>
    <d v="2024-07-03T00:00:00"/>
    <d v="2025-07-03T00:00:00"/>
    <s v="MUNEER KHAN"/>
    <s v="SUZUKI-GS 150"/>
    <n v="13370"/>
    <n v="11095"/>
    <s v="30091677"/>
    <d v="2024-07-03T00:00:00"/>
    <s v="MOTORCYCLE  COMPREHENSIVE"/>
    <n v="382000"/>
    <n v="1775.2"/>
    <n v="110.95"/>
    <n v="500"/>
  </r>
  <r>
    <s v="KHI/HO/D/MO/MC COMP/P/92236/07/2024"/>
    <m/>
    <x v="1"/>
    <d v="2025-07-04T00:00:00"/>
    <d v="2026-07-04T00:00:00"/>
    <s v="MUNEER KHAN"/>
    <s v="SUZUKI-GS 150"/>
    <n v="13370"/>
    <n v="11095"/>
    <s v="30091677"/>
    <d v="2024-07-03T00:00:00"/>
    <s v="MOTORCYCLE  COMPREHENSIVE"/>
    <n v="382000"/>
    <n v="1775.2"/>
    <n v="110.95"/>
    <n v="500"/>
  </r>
  <r>
    <s v="KHI/HO/D/MO/MC COMP/P/92238/07/2024"/>
    <m/>
    <x v="1"/>
    <d v="2024-07-03T00:00:00"/>
    <d v="2025-07-03T00:00:00"/>
    <s v="MUHAMMAD BILA NASEER"/>
    <s v="SUZUKI-GS 150"/>
    <n v="13370"/>
    <n v="11095"/>
    <s v="30090978"/>
    <d v="2024-07-03T00:00:00"/>
    <s v="MOTORCYCLE  COMPREHENSIVE"/>
    <n v="382000"/>
    <n v="1775.2"/>
    <n v="110.95"/>
    <n v="500"/>
  </r>
  <r>
    <s v="KHI/HO/D/MO/MC COMP/P/92239/07/2024"/>
    <m/>
    <x v="1"/>
    <d v="2025-07-04T00:00:00"/>
    <d v="2026-07-04T00:00:00"/>
    <s v="MUHAMMAD BILA NASEER"/>
    <s v="SUZUKI-GS 150"/>
    <n v="13370"/>
    <n v="11095"/>
    <s v="30090978"/>
    <d v="2024-07-03T00:00:00"/>
    <s v="MOTORCYCLE  COMPREHENSIVE"/>
    <n v="382000"/>
    <n v="1775.2"/>
    <n v="110.95"/>
    <n v="500"/>
  </r>
  <r>
    <s v="KHI/HO/D/MO/MC COMP/P/92240/07/2024"/>
    <m/>
    <x v="4"/>
    <d v="2024-07-03T00:00:00"/>
    <d v="2025-07-03T00:00:00"/>
    <s v="H.Y. ENTERPRISES"/>
    <s v="SUZUKI-GD-110S"/>
    <n v="12320"/>
    <n v="10190"/>
    <s v="145282"/>
    <d v="2024-07-03T00:00:00"/>
    <s v="MOTORCYCLE  COMPREHENSIVE"/>
    <n v="352000"/>
    <n v="1630.4"/>
    <n v="101.9"/>
    <n v="500"/>
  </r>
  <r>
    <s v="KHI/HO/D/MO/MC COMP/P/92242/07/2024"/>
    <m/>
    <x v="1"/>
    <d v="2024-07-03T00:00:00"/>
    <d v="2025-07-03T00:00:00"/>
    <s v="LAIQUE AHMED SIDDIQUI"/>
    <s v="SUZUKI-GS 150"/>
    <n v="13370"/>
    <n v="11095"/>
    <s v="30091854"/>
    <d v="2024-07-03T00:00:00"/>
    <s v="MOTORCYCLE  COMPREHENSIVE"/>
    <n v="382000"/>
    <n v="1775.2"/>
    <n v="110.95"/>
    <n v="500"/>
  </r>
  <r>
    <s v="KHI/HO/D/MO/MC COMP/P/92243/07/2024"/>
    <m/>
    <x v="1"/>
    <d v="2024-07-03T00:00:00"/>
    <d v="2025-07-03T00:00:00"/>
    <s v="LAIQUE AHMED SIDDIQUI"/>
    <s v="SUZUKI-GS 150"/>
    <n v="13370"/>
    <n v="11095"/>
    <s v="30091854"/>
    <d v="2024-07-03T00:00:00"/>
    <s v="MOTORCYCLE  COMPREHENSIVE"/>
    <n v="382000"/>
    <n v="1775.2"/>
    <n v="110.95"/>
    <n v="500"/>
  </r>
  <r>
    <s v="KHI/HO/D/MO/MC COMP/P/92245/07/2024"/>
    <m/>
    <x v="8"/>
    <d v="2024-07-03T00:00:00"/>
    <d v="2025-07-03T00:00:00"/>
    <s v="HAFIZ MUHAMMAD ABDUL BASIT"/>
    <s v="SUZUKI-GS 150"/>
    <n v="9550"/>
    <n v="7802"/>
    <s v="30091979"/>
    <d v="2024-07-03T00:00:00"/>
    <s v="MOTORCYCLE  COMPREHENSIVE"/>
    <n v="382000"/>
    <n v="1248.32"/>
    <n v="78.02"/>
    <n v="500"/>
  </r>
  <r>
    <s v="KHI/HO/D/MO/MC COMP/P/92248/07/2024"/>
    <m/>
    <x v="8"/>
    <d v="2024-07-03T00:00:00"/>
    <d v="2025-07-03T00:00:00"/>
    <s v="MUHAMMAD SALMAN SHAHID"/>
    <s v="SUZUKI-GS 150"/>
    <n v="9550"/>
    <n v="7802"/>
    <s v="30091744"/>
    <d v="2024-07-03T00:00:00"/>
    <s v="MOTORCYCLE  COMPREHENSIVE"/>
    <n v="382000"/>
    <n v="1248.32"/>
    <n v="78.02"/>
    <n v="500"/>
  </r>
  <r>
    <s v="KHI/HO/D/MO/MC COMP/P/92249/07/2024"/>
    <m/>
    <x v="1"/>
    <d v="2024-07-03T00:00:00"/>
    <d v="2025-07-03T00:00:00"/>
    <s v="SYED TALHA MEHMOOD"/>
    <s v="SUZUKI-GSX 125"/>
    <n v="17465"/>
    <n v="14625"/>
    <s v="23100429"/>
    <d v="2024-07-03T00:00:00"/>
    <s v="MOTORCYCLE  COMPREHENSIVE"/>
    <n v="499000"/>
    <n v="2340"/>
    <n v="146.25"/>
    <n v="500"/>
  </r>
  <r>
    <s v="KHI/HO/D/MO/MC COMP/P/92250/07/2024"/>
    <m/>
    <x v="1"/>
    <d v="2025-07-04T00:00:00"/>
    <d v="2026-07-04T00:00:00"/>
    <s v="SYED TALHA MEHMOOD"/>
    <s v="SUZUKI-GSX 125"/>
    <n v="17465"/>
    <n v="14625"/>
    <s v="23100429"/>
    <d v="2024-07-03T00:00:00"/>
    <s v="MOTORCYCLE  COMPREHENSIVE"/>
    <n v="499000"/>
    <n v="2340"/>
    <n v="146.25"/>
    <n v="500"/>
  </r>
  <r>
    <s v="KHI/HO/D/MO/MC COMP/P/92256/07/2024"/>
    <m/>
    <x v="12"/>
    <d v="2024-07-03T00:00:00"/>
    <d v="2025-07-03T00:00:00"/>
    <s v="MUHAMMAD FAIZAN SIDDIQUI"/>
    <s v="SUZUKI-GD-110S"/>
    <n v="12320"/>
    <n v="10190"/>
    <s v="143806"/>
    <d v="2024-07-03T00:00:00"/>
    <s v="MOTORCYCLE  COMPREHENSIVE"/>
    <n v="352000"/>
    <n v="1630.4"/>
    <n v="101.9"/>
    <n v="500"/>
  </r>
  <r>
    <s v="KHI/HO/D/MO/MC COMP/P/92257/07/2024"/>
    <m/>
    <x v="12"/>
    <d v="2025-07-04T00:00:00"/>
    <d v="2026-07-04T00:00:00"/>
    <s v="MUHAMMAD FAIZAN SIDDIQUI"/>
    <s v="SUZUKI-GD-110S"/>
    <n v="12320"/>
    <n v="10190"/>
    <s v="143806"/>
    <d v="2024-07-03T00:00:00"/>
    <s v="MOTORCYCLE  COMPREHENSIVE"/>
    <n v="352000"/>
    <n v="1630.4"/>
    <n v="101.9"/>
    <n v="500"/>
  </r>
  <r>
    <s v="KHI/HO/D/MO/MC COMP/P/92263/07/2024"/>
    <m/>
    <x v="1"/>
    <d v="2024-07-03T00:00:00"/>
    <d v="2025-07-03T00:00:00"/>
    <s v="MUHAMMAD AYAZ JADOON"/>
    <s v="SUZUKI-GR150 EURO II"/>
    <n v="19145"/>
    <n v="16073"/>
    <s v="113153"/>
    <d v="2024-07-03T00:00:00"/>
    <s v="MOTORCYCLE  COMPREHENSIVE"/>
    <n v="547000"/>
    <n v="2571.6799999999998"/>
    <n v="160.72999999999999"/>
    <n v="500"/>
  </r>
  <r>
    <s v="KHI/HO/D/MO/MC COMP/P/92264/07/2024"/>
    <m/>
    <x v="1"/>
    <d v="2025-07-04T00:00:00"/>
    <d v="2026-07-04T00:00:00"/>
    <s v="MUHAMMAD AYAZ JADOON"/>
    <s v="SUZUKI-GR150 EURO II"/>
    <n v="19145"/>
    <n v="16073"/>
    <s v="113153"/>
    <d v="2024-07-03T00:00:00"/>
    <s v="MOTORCYCLE  COMPREHENSIVE"/>
    <n v="547000"/>
    <n v="2571.6799999999998"/>
    <n v="160.72999999999999"/>
    <n v="500"/>
  </r>
  <r>
    <s v="KHI/HO/D/MO/MC COMP/P/92269/07/2024"/>
    <m/>
    <x v="4"/>
    <d v="2024-07-03T00:00:00"/>
    <d v="2025-07-03T00:00:00"/>
    <s v="FAISAL SHAHZAD"/>
    <s v="SUZUKI-GD-110S"/>
    <n v="12320"/>
    <n v="10189"/>
    <s v="145730"/>
    <d v="2024-07-03T00:00:00"/>
    <s v="MOTORCYCLE  COMPREHENSIVE"/>
    <n v="352000"/>
    <n v="1630.24"/>
    <n v="101.89"/>
    <n v="500"/>
  </r>
  <r>
    <s v="KHI/HO/D/MO/MC COMP/P/92272/07/2024"/>
    <m/>
    <x v="13"/>
    <d v="2024-07-03T00:00:00"/>
    <d v="2025-07-03T00:00:00"/>
    <s v="Irfan Ahmed"/>
    <s v="SUZUKI-GS 150"/>
    <n v="9550"/>
    <n v="7802"/>
    <s v="30091806"/>
    <d v="2024-07-03T00:00:00"/>
    <s v="MOTORCYCLE  COMPREHENSIVE"/>
    <n v="382001"/>
    <n v="1248.32"/>
    <n v="78.02"/>
    <n v="500"/>
  </r>
  <r>
    <s v="KHI/HO/D/MO/MC COMP/P/92274/07/2024"/>
    <m/>
    <x v="13"/>
    <d v="2024-07-03T00:00:00"/>
    <d v="2025-07-03T00:00:00"/>
    <s v="Syed Tasaddiq Hussain Bukhari"/>
    <s v="SUZUKI-GS-150"/>
    <n v="9550"/>
    <n v="7802"/>
    <s v="30091697"/>
    <d v="2024-07-03T00:00:00"/>
    <s v="MOTORCYCLE  COMPREHENSIVE"/>
    <n v="382001"/>
    <n v="1248.32"/>
    <n v="78.02"/>
    <n v="500"/>
  </r>
  <r>
    <s v="KHI/HO/D/MO/MC COMP/P/92276/07/2024"/>
    <m/>
    <x v="1"/>
    <d v="2024-07-03T00:00:00"/>
    <d v="2025-07-03T00:00:00"/>
    <s v="ABDUL MOIZ"/>
    <s v="SUZUKI-GS 150"/>
    <n v="13370"/>
    <n v="11095"/>
    <s v="30091015"/>
    <d v="2024-07-03T00:00:00"/>
    <s v="MOTORCYCLE  COMPREHENSIVE"/>
    <n v="382000"/>
    <n v="1775.2"/>
    <n v="110.95"/>
    <n v="500"/>
  </r>
  <r>
    <s v="KHI/HO/D/MO/MC COMP/P/92277/07/2024"/>
    <m/>
    <x v="14"/>
    <d v="2024-07-03T00:00:00"/>
    <d v="2025-07-03T00:00:00"/>
    <s v="NISAR AHMAD"/>
    <s v="SUZUKI-GD-110S"/>
    <n v="8800"/>
    <n v="7155"/>
    <s v="144237"/>
    <d v="2024-07-03T00:00:00"/>
    <s v="MOTORCYCLE  COMPREHENSIVE"/>
    <n v="352000"/>
    <n v="1144.8"/>
    <n v="71.55"/>
    <n v="500"/>
  </r>
  <r>
    <s v="KHI/HO/D/MO/MC COMP/P/92278/07/2024"/>
    <m/>
    <x v="14"/>
    <d v="2024-07-03T00:00:00"/>
    <d v="2025-07-03T00:00:00"/>
    <s v="MUHAMMAD UMER"/>
    <s v="SUZUKI-GSX 125"/>
    <n v="12475"/>
    <n v="10324"/>
    <s v="23100455"/>
    <d v="2024-07-03T00:00:00"/>
    <s v="MOTORCYCLE  COMPREHENSIVE"/>
    <n v="499000"/>
    <n v="1651.84"/>
    <n v="103.24"/>
    <n v="500"/>
  </r>
  <r>
    <s v="KHI/HO/D/MO/MC COMP/P/92279/07/2024"/>
    <m/>
    <x v="14"/>
    <d v="2024-07-03T00:00:00"/>
    <d v="2025-07-03T00:00:00"/>
    <s v="SHAHZAD MUHAMMAD BIN AMIN"/>
    <s v="SUZUKI-GD-110S"/>
    <n v="8800"/>
    <n v="7155"/>
    <s v="144199"/>
    <d v="2024-07-03T00:00:00"/>
    <s v="MOTORCYCLE  COMPREHENSIVE"/>
    <n v="352000"/>
    <n v="1144.8"/>
    <n v="71.55"/>
    <n v="500"/>
  </r>
  <r>
    <s v="KHI/HO/D/MO/MC COMP/P/92280/07/2024"/>
    <m/>
    <x v="14"/>
    <d v="2024-07-03T00:00:00"/>
    <d v="2025-07-03T00:00:00"/>
    <s v="AMEER ALI"/>
    <s v="SUZUKI-GD-110S"/>
    <n v="8800"/>
    <n v="7155"/>
    <s v="145142"/>
    <d v="2024-07-03T00:00:00"/>
    <s v="MOTORCYCLE  COMPREHENSIVE"/>
    <n v="352000"/>
    <n v="1144.8"/>
    <n v="71.55"/>
    <n v="500"/>
  </r>
  <r>
    <s v="KHI/HO/D/MO/MC COMP/P/92281/07/2024"/>
    <m/>
    <x v="14"/>
    <d v="2024-07-03T00:00:00"/>
    <d v="2025-07-03T00:00:00"/>
    <s v="MUHAMMAD SAFI ULLAH RASHEED"/>
    <s v="SUZUKI-GS 150"/>
    <n v="9550"/>
    <n v="7802"/>
    <s v="30090966"/>
    <d v="2024-07-03T00:00:00"/>
    <s v="MOTORCYCLE  COMPREHENSIVE"/>
    <n v="382000"/>
    <n v="1248.32"/>
    <n v="78.02"/>
    <n v="500"/>
  </r>
  <r>
    <s v="KHI/HO/D/MO/MC COMP/P/92282/07/2024"/>
    <m/>
    <x v="14"/>
    <d v="2024-07-03T00:00:00"/>
    <d v="2025-07-03T00:00:00"/>
    <s v="JAMSHAID ALI"/>
    <s v="SUZUKI-GD-110S"/>
    <n v="8800"/>
    <n v="7155"/>
    <s v="144133"/>
    <d v="2024-07-03T00:00:00"/>
    <s v="MOTORCYCLE  COMPREHENSIVE"/>
    <n v="352000"/>
    <n v="1144.8"/>
    <n v="71.55"/>
    <n v="500"/>
  </r>
  <r>
    <s v="KHI/HO/D/MO/MC COMP/P/92283/07/2024"/>
    <m/>
    <x v="15"/>
    <d v="2024-07-03T00:00:00"/>
    <d v="2025-07-03T00:00:00"/>
    <s v="Muhammad Shahzaib"/>
    <s v="SUZUKI-GD-110S"/>
    <n v="8800"/>
    <n v="7155"/>
    <s v="144674"/>
    <d v="2024-07-03T00:00:00"/>
    <s v="MOTORCYCLE  COMPREHENSIVE"/>
    <n v="352001"/>
    <n v="1144.8"/>
    <n v="71.55"/>
    <n v="500"/>
  </r>
  <r>
    <s v="KHI/HO/D/MO/MC COMP/P/92285/07/2024"/>
    <m/>
    <x v="14"/>
    <d v="2024-07-03T00:00:00"/>
    <d v="2025-07-03T00:00:00"/>
    <s v="MUHAMMAD IMRAN"/>
    <s v="SUZUKI-GD-110S"/>
    <n v="8800"/>
    <n v="7155"/>
    <s v="144270"/>
    <d v="2024-07-03T00:00:00"/>
    <s v="MOTORCYCLE  COMPREHENSIVE"/>
    <n v="352000"/>
    <n v="1144.8"/>
    <n v="71.55"/>
    <n v="500"/>
  </r>
  <r>
    <s v="KHI/HO/D/MO/MC COMP/P/92286/07/2024"/>
    <m/>
    <x v="14"/>
    <d v="2024-07-03T00:00:00"/>
    <d v="2025-07-03T00:00:00"/>
    <s v="MUHAMMAD KAMRAN IQBAL"/>
    <s v="SUZUKI-GD-110S"/>
    <n v="8800"/>
    <n v="7155"/>
    <s v="144262"/>
    <d v="2024-07-03T00:00:00"/>
    <s v="MOTORCYCLE  COMPREHENSIVE"/>
    <n v="352000"/>
    <n v="1144.8"/>
    <n v="71.55"/>
    <n v="500"/>
  </r>
  <r>
    <s v="KHI/HO/D/MO/MC COMP/P/92287/07/2024"/>
    <m/>
    <x v="14"/>
    <d v="2024-07-03T00:00:00"/>
    <d v="2025-07-03T00:00:00"/>
    <s v="MUHAMMAD SULEMAN"/>
    <s v="SUZUKI-GD-110S"/>
    <n v="8800"/>
    <n v="7155"/>
    <s v="145174"/>
    <d v="2024-07-03T00:00:00"/>
    <s v="MOTORCYCLE  COMPREHENSIVE"/>
    <n v="352000"/>
    <n v="1144.8"/>
    <n v="71.55"/>
    <n v="500"/>
  </r>
  <r>
    <s v="KHI/HO/D/MO/MC COMP/P/92289/07/2024"/>
    <m/>
    <x v="14"/>
    <d v="2024-07-03T00:00:00"/>
    <d v="2025-07-03T00:00:00"/>
    <s v="TANVEER ABBAS"/>
    <s v="SUZUKI-GR150 EURO II"/>
    <n v="13675"/>
    <n v="11357"/>
    <s v="113145"/>
    <d v="2024-07-03T00:00:00"/>
    <s v="MOTORCYCLE  COMPREHENSIVE"/>
    <n v="547000"/>
    <n v="1817.12"/>
    <n v="113.57"/>
    <n v="500"/>
  </r>
  <r>
    <s v="KHI/HO/D/MO/MC COMP/P/92291/07/2024"/>
    <m/>
    <x v="2"/>
    <d v="2024-07-03T00:00:00"/>
    <d v="2025-07-03T00:00:00"/>
    <s v="MOIN AHMED"/>
    <s v="SUZUKI-GD-110S"/>
    <n v="12320"/>
    <n v="10190"/>
    <s v="145271"/>
    <d v="2024-07-03T00:00:00"/>
    <s v="MOTORCYCLE  COMPREHENSIVE"/>
    <n v="352000"/>
    <n v="1630.4"/>
    <n v="101.9"/>
    <n v="500"/>
  </r>
  <r>
    <s v="KHI/HO/D/MO/MC COMP/P/92292/07/2024"/>
    <m/>
    <x v="2"/>
    <d v="2025-07-04T00:00:00"/>
    <d v="2026-07-04T00:00:00"/>
    <s v="MOIN AHMED"/>
    <s v="SUZUKI-GD-110S"/>
    <n v="12320"/>
    <n v="10190"/>
    <s v="145271"/>
    <d v="2024-07-03T00:00:00"/>
    <s v="MOTORCYCLE  COMPREHENSIVE"/>
    <n v="352000"/>
    <n v="1630.4"/>
    <n v="101.9"/>
    <n v="500"/>
  </r>
  <r>
    <s v="KHI/HO/D/MO/MC COMP/P/92293/07/2024"/>
    <m/>
    <x v="4"/>
    <d v="2024-07-03T00:00:00"/>
    <d v="2025-07-03T00:00:00"/>
    <s v="KHALID AHMED"/>
    <s v="SUZUKI-GD-110S"/>
    <n v="12320"/>
    <n v="10190"/>
    <s v="145750"/>
    <d v="2024-07-03T00:00:00"/>
    <s v="MOTORCYCLE  COMPREHENSIVE"/>
    <n v="352000"/>
    <n v="1630.4"/>
    <n v="101.9"/>
    <n v="500"/>
  </r>
  <r>
    <s v="KHI/HO/D/MO/MC COMP/P/92294/07/2024"/>
    <m/>
    <x v="16"/>
    <d v="2024-07-03T00:00:00"/>
    <d v="2025-07-03T00:00:00"/>
    <s v="M.AHSAN ARIF"/>
    <s v="SUZUKI-GD-110S"/>
    <n v="8800"/>
    <n v="7155"/>
    <s v="145224"/>
    <d v="2024-07-03T00:00:00"/>
    <s v="MOTORCYCLE  COMPREHENSIVE"/>
    <n v="352000"/>
    <n v="1144.8"/>
    <n v="71.55"/>
    <n v="500"/>
  </r>
  <r>
    <s v="KHI/HO/D/MO/MC COMP/P/92310/07/2024"/>
    <m/>
    <x v="17"/>
    <d v="2024-07-04T00:00:00"/>
    <d v="2025-07-04T00:00:00"/>
    <s v="NOKHAIZ ALI"/>
    <s v="SUZUKI-GSX 125"/>
    <n v="12475"/>
    <n v="10323"/>
    <s v="23102462"/>
    <d v="2024-07-04T00:00:00"/>
    <s v="MOTORCYCLE  COMPREHENSIVE"/>
    <n v="499000"/>
    <n v="1651.68"/>
    <n v="103.23"/>
    <n v="500"/>
  </r>
  <r>
    <s v="KHI/HO/D/MO/MC COMP/P/92315/07/2024"/>
    <m/>
    <x v="18"/>
    <d v="2024-07-04T00:00:00"/>
    <d v="2025-07-04T00:00:00"/>
    <s v="MUHAMMAD ANWAR"/>
    <s v="SUZUKI-GD-110S"/>
    <n v="8800"/>
    <n v="7155"/>
    <s v="144065"/>
    <d v="2024-07-04T00:00:00"/>
    <s v="MOTORCYCLE  COMPREHENSIVE"/>
    <n v="352000"/>
    <n v="1144.8"/>
    <n v="71.55"/>
    <n v="500"/>
  </r>
  <r>
    <s v="KHI/HO/D/MO/MC COMP/P/92316/07/2024"/>
    <m/>
    <x v="11"/>
    <d v="2024-07-04T00:00:00"/>
    <d v="2025-07-04T00:00:00"/>
    <s v="MUHAMMAD NAZIM AHMED SIDDIQUI"/>
    <s v="SUZUKI-GD-110S"/>
    <n v="19145"/>
    <n v="16073"/>
    <s v="113156"/>
    <d v="2024-07-04T00:00:00"/>
    <s v="MOTORCYCLE  COMPREHENSIVE"/>
    <n v="547000"/>
    <n v="2571.6799999999998"/>
    <n v="160.72999999999999"/>
    <n v="500"/>
  </r>
  <r>
    <s v="KHI/HO/D/MO/MC COMP/P/92323/07/2024"/>
    <m/>
    <x v="19"/>
    <d v="2024-07-04T00:00:00"/>
    <d v="2025-07-04T00:00:00"/>
    <s v="RASHID HUSSAIN"/>
    <s v="SUZUKI-GD-110S"/>
    <n v="12320"/>
    <n v="10190"/>
    <s v="145117"/>
    <d v="2024-07-04T00:00:00"/>
    <s v="MOTORCYCLE  COMPREHENSIVE"/>
    <n v="352000"/>
    <n v="1630.4"/>
    <n v="101.9"/>
    <n v="500"/>
  </r>
  <r>
    <s v="KHI/HO/D/MO/MC COMP/P/92324/07/2024"/>
    <m/>
    <x v="19"/>
    <d v="2025-07-05T00:00:00"/>
    <d v="2026-07-05T00:00:00"/>
    <s v="RASHID HUSSAIN"/>
    <s v="SUZUKI-GD-110S"/>
    <n v="12320"/>
    <n v="10190"/>
    <s v="145117"/>
    <d v="2024-07-04T00:00:00"/>
    <s v="MOTORCYCLE  COMPREHENSIVE"/>
    <n v="352000"/>
    <n v="1630.4"/>
    <n v="101.9"/>
    <n v="500"/>
  </r>
  <r>
    <s v="KHI/HO/D/MO/MC COMP/P/92330/07/2024"/>
    <m/>
    <x v="19"/>
    <d v="2024-07-04T00:00:00"/>
    <d v="2025-07-04T00:00:00"/>
    <s v="TEHMAS KHAN TAREEN"/>
    <s v="SUZUKI-GD-110S"/>
    <n v="12320"/>
    <n v="10190"/>
    <s v="144572"/>
    <d v="2024-07-04T00:00:00"/>
    <s v="MOTORCYCLE  COMPREHENSIVE"/>
    <n v="352000"/>
    <n v="1630.4"/>
    <n v="101.9"/>
    <n v="500"/>
  </r>
  <r>
    <s v="KHI/HO/D/MO/MC COMP/P/92337/07/2024"/>
    <m/>
    <x v="17"/>
    <d v="2024-07-04T00:00:00"/>
    <d v="2025-07-04T00:00:00"/>
    <s v="RASHAD BUTT"/>
    <s v="SUZUKI-GR150 EURO II"/>
    <n v="13675"/>
    <n v="11358"/>
    <s v="113144"/>
    <d v="2024-07-04T00:00:00"/>
    <s v="MOTORCYCLE  COMPREHENSIVE"/>
    <n v="547000"/>
    <n v="1817.28"/>
    <n v="113.58"/>
    <n v="500"/>
  </r>
  <r>
    <s v="KHI/HO/D/MO/MC COMP/P/92349/07/2024"/>
    <m/>
    <x v="20"/>
    <d v="2024-07-04T00:00:00"/>
    <d v="2025-07-04T00:00:00"/>
    <s v="Muhammad Zubair"/>
    <s v="SUZUKI-GD-110S"/>
    <n v="8800"/>
    <n v="7155"/>
    <s v="145193"/>
    <d v="2024-07-04T00:00:00"/>
    <s v="MOTORCYCLE  COMPREHENSIVE"/>
    <n v="352001"/>
    <n v="1144.8"/>
    <n v="71.55"/>
    <n v="500"/>
  </r>
  <r>
    <s v="KHI/HO/D/MO/MC COMP/P/92354/07/2024"/>
    <m/>
    <x v="20"/>
    <d v="2024-07-04T00:00:00"/>
    <d v="2025-07-04T00:00:00"/>
    <s v="Muhammad Waqas Abdul Sattar"/>
    <s v="SUZUKI-GD-110S"/>
    <n v="8800"/>
    <n v="7155"/>
    <s v="144806"/>
    <d v="2024-07-04T00:00:00"/>
    <s v="MOTORCYCLE  COMPREHENSIVE"/>
    <n v="352001"/>
    <n v="1144.8"/>
    <n v="71.55"/>
    <n v="500"/>
  </r>
  <r>
    <s v="KHI/HO/D/MO/MC COMP/P/92357/07/2024"/>
    <m/>
    <x v="20"/>
    <d v="2024-07-04T00:00:00"/>
    <d v="2025-07-04T00:00:00"/>
    <s v="Mr. Wasif Nadeem"/>
    <s v="SUZUKI-GD-110S"/>
    <n v="8800"/>
    <n v="7155"/>
    <s v="145154"/>
    <d v="2024-07-04T00:00:00"/>
    <s v="MOTORCYCLE  COMPREHENSIVE"/>
    <n v="352001"/>
    <n v="1144.8"/>
    <n v="71.55"/>
    <n v="500"/>
  </r>
  <r>
    <s v="KHI/HO/D/MO/MC COMP/P/92358/07/2024"/>
    <m/>
    <x v="20"/>
    <d v="2024-07-04T00:00:00"/>
    <d v="2025-07-04T00:00:00"/>
    <s v="Usman Akhter"/>
    <s v="SUZUKI-GD-110S"/>
    <n v="8800"/>
    <n v="7155"/>
    <s v="144850"/>
    <d v="2024-07-04T00:00:00"/>
    <s v="MOTORCYCLE  COMPREHENSIVE"/>
    <n v="352001"/>
    <n v="1144.8"/>
    <n v="71.55"/>
    <n v="500"/>
  </r>
  <r>
    <s v="KHI/HO/D/MO/MC COMP/P/92360/07/2024"/>
    <m/>
    <x v="13"/>
    <d v="2024-07-04T00:00:00"/>
    <d v="2025-07-04T00:00:00"/>
    <s v="Nadeem Abdullah"/>
    <s v="SUZUKI-GD-110S"/>
    <n v="8800"/>
    <n v="7155"/>
    <s v="144830"/>
    <d v="2024-07-04T00:00:00"/>
    <s v="MOTORCYCLE  COMPREHENSIVE"/>
    <n v="352001"/>
    <n v="1144.8"/>
    <n v="71.55"/>
    <n v="500"/>
  </r>
  <r>
    <s v="KHI/HO/D/MO/MC COMP/P/92362/07/2024"/>
    <m/>
    <x v="15"/>
    <d v="2024-07-04T00:00:00"/>
    <d v="2025-07-04T00:00:00"/>
    <s v="Abdul Hannan Khokhar"/>
    <s v="SUZUKI-GS 150"/>
    <n v="9550"/>
    <n v="7802"/>
    <s v="30091564"/>
    <d v="2024-07-04T00:00:00"/>
    <s v="MOTORCYCLE  COMPREHENSIVE"/>
    <n v="382001"/>
    <n v="1248.32"/>
    <n v="78.02"/>
    <n v="500"/>
  </r>
  <r>
    <s v="KHI/HO/D/MO/MC COMP/P/92367/07/2024"/>
    <m/>
    <x v="16"/>
    <d v="2024-07-04T00:00:00"/>
    <d v="2025-07-04T00:00:00"/>
    <s v="M.AHSAN ARIF"/>
    <s v="SUZUKI-GD-110S"/>
    <n v="8800"/>
    <n v="7155"/>
    <s v="144668"/>
    <d v="2024-07-04T00:00:00"/>
    <s v="MOTORCYCLE  COMPREHENSIVE"/>
    <n v="352000"/>
    <n v="1144.8"/>
    <n v="71.55"/>
    <n v="500"/>
  </r>
  <r>
    <s v="KHI/HO/D/MO/MC COMP/P/92370/07/2024"/>
    <m/>
    <x v="16"/>
    <d v="2024-07-04T00:00:00"/>
    <d v="2025-07-04T00:00:00"/>
    <s v="UMAR ZAFAR"/>
    <s v="SUZUKI-GD-110S"/>
    <n v="8800"/>
    <n v="7155"/>
    <s v="144668"/>
    <d v="2024-07-04T00:00:00"/>
    <s v="MOTORCYCLE  COMPREHENSIVE"/>
    <n v="352000"/>
    <n v="1144.8"/>
    <n v="71.55"/>
    <n v="500"/>
  </r>
  <r>
    <s v="KHI/HO/D/MO/MC COMP/P/92375/07/2024"/>
    <m/>
    <x v="18"/>
    <d v="2024-07-04T00:00:00"/>
    <d v="2025-07-04T00:00:00"/>
    <s v="MUHAMMAD IMRAN KHALIL"/>
    <s v="SUZUKI-GR150 EURO II"/>
    <n v="13675"/>
    <n v="11358"/>
    <s v="113209"/>
    <d v="2024-07-04T00:00:00"/>
    <s v="MOTORCYCLE  COMPREHENSIVE"/>
    <n v="547000"/>
    <n v="1817.28"/>
    <n v="113.58"/>
    <n v="500"/>
  </r>
  <r>
    <s v="KHI/HO/D/MO/MC COMP/P/92377/07/2024"/>
    <m/>
    <x v="11"/>
    <d v="2024-07-04T00:00:00"/>
    <d v="2025-07-04T00:00:00"/>
    <s v="MUHAMMAD BAYAZEED"/>
    <s v="SUZUKI-GD-110S"/>
    <n v="12320"/>
    <n v="10190"/>
    <s v="145234"/>
    <d v="2024-07-04T00:00:00"/>
    <s v="MOTORCYCLE  COMPREHENSIVE"/>
    <n v="352000"/>
    <n v="1630.4"/>
    <n v="101.9"/>
    <n v="500"/>
  </r>
  <r>
    <s v="KHI/HO/D/MO/MC COMP/P/92378/07/2024"/>
    <m/>
    <x v="11"/>
    <d v="2025-07-05T00:00:00"/>
    <d v="2026-07-05T00:00:00"/>
    <s v="MUHAMMAD BAYAZEED"/>
    <s v="SUZUKI-GD-110S"/>
    <n v="12320"/>
    <n v="10190"/>
    <s v="145234"/>
    <d v="2024-07-04T00:00:00"/>
    <s v="MOTORCYCLE  COMPREHENSIVE"/>
    <n v="352000"/>
    <n v="1630.4"/>
    <n v="101.9"/>
    <n v="500"/>
  </r>
  <r>
    <s v="KHI/HO/D/MO/MC COMP/P/92390/07/2024"/>
    <m/>
    <x v="17"/>
    <d v="2024-07-05T00:00:00"/>
    <d v="2025-07-05T00:00:00"/>
    <s v="MIRZA MUHAMMAD QAISAR JAVED"/>
    <s v="SUZUKI-GD-110S"/>
    <n v="8800"/>
    <n v="7155"/>
    <s v="144782"/>
    <d v="2024-07-05T00:00:00"/>
    <s v="MOTORCYCLE  COMPREHENSIVE"/>
    <n v="352000"/>
    <n v="1144.8"/>
    <n v="71.55"/>
    <n v="500"/>
  </r>
  <r>
    <s v="KHI/HO/D/MO/MC COMP/P/92392/07/2024"/>
    <m/>
    <x v="17"/>
    <d v="2024-07-05T00:00:00"/>
    <d v="2025-07-05T00:00:00"/>
    <s v="ZULFIQAR HUSSAIN"/>
    <s v="SUZUKI-GSX 125"/>
    <n v="12475"/>
    <n v="10323"/>
    <s v="23100410"/>
    <d v="2024-07-05T00:00:00"/>
    <s v="MOTORCYCLE  COMPREHENSIVE"/>
    <n v="499000"/>
    <n v="1651.68"/>
    <n v="103.23"/>
    <n v="500"/>
  </r>
  <r>
    <s v="KHI/HO/D/MO/MC COMP/P/92399/07/2024"/>
    <m/>
    <x v="17"/>
    <d v="2024-07-05T00:00:00"/>
    <d v="2025-07-05T00:00:00"/>
    <s v="MUHAMMAD ZAFAR"/>
    <s v="SUZUKI-GS 150"/>
    <n v="9550"/>
    <n v="7802"/>
    <s v="30091348"/>
    <d v="2024-07-05T00:00:00"/>
    <s v="MOTORCYCLE  COMPREHENSIVE"/>
    <n v="382000"/>
    <n v="1248.32"/>
    <n v="78.02"/>
    <n v="500"/>
  </r>
  <r>
    <s v="KHI/HO/D/MO/MC COMP/P/92404/07/2024"/>
    <m/>
    <x v="5"/>
    <d v="2024-07-05T00:00:00"/>
    <d v="2025-07-05T00:00:00"/>
    <s v="MUHAMMAD DANIYAL"/>
    <s v="SUZUKI-GD-110S"/>
    <n v="8800"/>
    <n v="7155"/>
    <s v="145326"/>
    <d v="2024-07-05T00:00:00"/>
    <s v="MOTORCYCLE  COMPREHENSIVE"/>
    <n v="352000"/>
    <n v="1144.8"/>
    <n v="71.55"/>
    <n v="500"/>
  </r>
  <r>
    <s v="KHI/HO/D/MO/MC COMP/P/92405/07/2024"/>
    <m/>
    <x v="5"/>
    <d v="2024-07-05T00:00:00"/>
    <d v="2025-07-05T00:00:00"/>
    <s v="MUHAMMAD IMRAN"/>
    <s v="SUZUKI-GD-110S"/>
    <n v="8800"/>
    <n v="7155"/>
    <s v="145323"/>
    <d v="2024-07-05T00:00:00"/>
    <s v="MOTORCYCLE  COMPREHENSIVE"/>
    <n v="352000"/>
    <n v="1144.8"/>
    <n v="71.55"/>
    <n v="500"/>
  </r>
  <r>
    <s v="KHI/HO/D/MO/MC COMP/P/92406/07/2024"/>
    <m/>
    <x v="11"/>
    <d v="2024-07-05T00:00:00"/>
    <d v="2025-07-05T00:00:00"/>
    <s v="ZULFIQAR AHMED"/>
    <s v="SUZUKI-GD-110S"/>
    <n v="12320"/>
    <n v="10190"/>
    <s v="145239"/>
    <d v="2024-07-05T00:00:00"/>
    <s v="MOTORCYCLE  COMPREHENSIVE"/>
    <n v="352000"/>
    <n v="1630.4"/>
    <n v="101.9"/>
    <n v="500"/>
  </r>
  <r>
    <s v="KHI/HO/D/MO/MC COMP/P/92407/07/2024"/>
    <m/>
    <x v="11"/>
    <d v="2025-07-06T00:00:00"/>
    <d v="2026-07-06T00:00:00"/>
    <s v="ZULFIQAR AHMED"/>
    <s v="SUZUKI-GD-110S"/>
    <n v="12320"/>
    <n v="10190"/>
    <s v="145239"/>
    <d v="2024-07-05T00:00:00"/>
    <s v="MOTORCYCLE  COMPREHENSIVE"/>
    <n v="352000"/>
    <n v="1630.4"/>
    <n v="101.9"/>
    <n v="500"/>
  </r>
  <r>
    <s v="KHI/HO/D/MO/MC COMP/P/92408/07/2024"/>
    <m/>
    <x v="5"/>
    <d v="2024-07-05T00:00:00"/>
    <d v="2025-07-05T00:00:00"/>
    <s v="ZAHEER UD DIN AHMAD"/>
    <s v="SUZUKI-GD-110S"/>
    <n v="8800"/>
    <n v="7155"/>
    <s v="145312"/>
    <d v="2024-07-05T00:00:00"/>
    <s v="MOTORCYCLE  COMPREHENSIVE"/>
    <n v="352000"/>
    <n v="1144.8"/>
    <n v="71.55"/>
    <n v="500"/>
  </r>
  <r>
    <s v="KHI/HO/D/MO/MC COMP/P/92409/07/2024"/>
    <m/>
    <x v="5"/>
    <d v="2024-07-05T00:00:00"/>
    <d v="2025-07-05T00:00:00"/>
    <s v="ZEESHAN WAHED"/>
    <s v="SUZUKI-GD-110S"/>
    <n v="8800"/>
    <n v="7155"/>
    <s v="145315"/>
    <d v="2024-07-05T00:00:00"/>
    <s v="MOTORCYCLE  COMPREHENSIVE"/>
    <n v="352000"/>
    <n v="1144.8"/>
    <n v="71.55"/>
    <n v="500"/>
  </r>
  <r>
    <s v="KHI/HO/D/MO/MC COMP/P/92411/07/2024"/>
    <m/>
    <x v="5"/>
    <d v="2024-07-05T00:00:00"/>
    <d v="2025-07-05T00:00:00"/>
    <s v="MUHAMMAD AWAIS"/>
    <s v="SUZUKI-GD-110S"/>
    <n v="8800"/>
    <n v="7155"/>
    <s v="145310"/>
    <d v="2024-07-05T00:00:00"/>
    <s v="MOTORCYCLE  COMPREHENSIVE"/>
    <n v="352000"/>
    <n v="1144.8"/>
    <n v="71.55"/>
    <n v="500"/>
  </r>
  <r>
    <s v="KHI/HO/D/MO/MC COMP/P/92412/07/2024"/>
    <m/>
    <x v="5"/>
    <d v="2024-07-05T00:00:00"/>
    <d v="2025-07-05T00:00:00"/>
    <s v="ABDUL MOIZ"/>
    <s v="SUZUKI-GD-110S"/>
    <n v="8800"/>
    <n v="7155"/>
    <s v="145320"/>
    <d v="2024-07-05T00:00:00"/>
    <s v="MOTORCYCLE  COMPREHENSIVE"/>
    <n v="352000"/>
    <n v="1144.8"/>
    <n v="71.55"/>
    <n v="500"/>
  </r>
  <r>
    <s v="KHI/HO/D/MO/MC COMP/P/92414/07/2024"/>
    <m/>
    <x v="5"/>
    <d v="2024-07-05T00:00:00"/>
    <d v="2025-07-05T00:00:00"/>
    <s v="MUHAMMAD ABDULLAH"/>
    <s v="SUZUKI-GD-110S"/>
    <n v="8800"/>
    <n v="7155"/>
    <s v="145322"/>
    <d v="2024-07-05T00:00:00"/>
    <s v="MOTORCYCLE  COMPREHENSIVE"/>
    <n v="352000"/>
    <n v="1144.8"/>
    <n v="71.55"/>
    <n v="500"/>
  </r>
  <r>
    <s v="KHI/HO/D/MO/MC COMP/P/92421/07/2024"/>
    <m/>
    <x v="14"/>
    <d v="2024-07-05T00:00:00"/>
    <d v="2025-07-05T00:00:00"/>
    <s v="HASEEB MASOOD"/>
    <s v="SUZUKI-GD-110S"/>
    <n v="8800"/>
    <n v="7155"/>
    <s v="144618"/>
    <d v="2024-07-05T00:00:00"/>
    <s v="MOTORCYCLE  COMPREHENSIVE"/>
    <n v="352000"/>
    <n v="1144.8"/>
    <n v="71.55"/>
    <n v="500"/>
  </r>
  <r>
    <s v="KHI/HO/D/MO/MC COMP/P/92422/07/2024"/>
    <m/>
    <x v="0"/>
    <d v="2024-07-05T00:00:00"/>
    <d v="2025-07-05T00:00:00"/>
    <s v="MUHAMMAD SHAHZAD"/>
    <s v="SUZUKI-GD-110S"/>
    <n v="12320"/>
    <n v="10190"/>
    <s v="145531"/>
    <d v="2024-07-05T00:00:00"/>
    <s v="MOTORCYCLE  COMPREHENSIVE"/>
    <n v="352000"/>
    <n v="1630.4"/>
    <n v="101.9"/>
    <n v="500"/>
  </r>
  <r>
    <s v="KHI/HO/D/MO/MC COMP/P/92427/07/2024"/>
    <m/>
    <x v="9"/>
    <d v="2024-07-05T00:00:00"/>
    <d v="2025-07-05T00:00:00"/>
    <s v="Zeeshan Ejaz"/>
    <s v="SUZUKI-GR150 EURO II"/>
    <n v="13675"/>
    <n v="11358"/>
    <s v="113102"/>
    <d v="2024-07-05T00:00:00"/>
    <s v="MOTORCYCLE  COMPREHENSIVE"/>
    <n v="547001"/>
    <n v="1817.28"/>
    <n v="113.58"/>
    <n v="500"/>
  </r>
  <r>
    <s v="KHI/HO/D/MO/MC COMP/P/92429/07/2024"/>
    <m/>
    <x v="14"/>
    <d v="2024-07-05T00:00:00"/>
    <d v="2025-07-05T00:00:00"/>
    <s v="ASIF ALI"/>
    <s v="SUZUKI-GD-110S"/>
    <n v="8800"/>
    <n v="7155"/>
    <s v="144616"/>
    <d v="2024-07-05T00:00:00"/>
    <s v="MOTORCYCLE  COMPREHENSIVE"/>
    <n v="352000"/>
    <n v="1144.8"/>
    <n v="71.55"/>
    <n v="500"/>
  </r>
  <r>
    <s v="KHI/HO/D/MO/MC COMP/P/92430/07/2024"/>
    <m/>
    <x v="9"/>
    <d v="2024-07-05T00:00:00"/>
    <d v="2025-07-05T00:00:00"/>
    <s v="Muhammad Umer Hanif"/>
    <s v="SUZUKI-GR150 EURO II"/>
    <n v="13675"/>
    <n v="11358"/>
    <s v="113207"/>
    <d v="2024-07-05T00:00:00"/>
    <s v="MOTORCYCLE  COMPREHENSIVE"/>
    <n v="547001"/>
    <n v="1817.28"/>
    <n v="113.58"/>
    <n v="500"/>
  </r>
  <r>
    <s v="KHI/HO/D/MO/MC COMP/P/92432/07/2024"/>
    <m/>
    <x v="9"/>
    <d v="2024-07-05T00:00:00"/>
    <d v="2025-07-05T00:00:00"/>
    <s v="Mr. Sheikh Muddasar Qamar"/>
    <s v="SUZUKI-GD-110S"/>
    <n v="8800"/>
    <n v="7155"/>
    <s v="144349"/>
    <d v="2024-07-05T00:00:00"/>
    <s v="MOTORCYCLE  COMPREHENSIVE"/>
    <n v="352001"/>
    <n v="1144.8"/>
    <n v="71.55"/>
    <n v="500"/>
  </r>
  <r>
    <s v="KHI/HO/D/MO/MC COMP/P/92433/07/2024"/>
    <m/>
    <x v="14"/>
    <d v="2024-07-05T00:00:00"/>
    <d v="2025-07-05T00:00:00"/>
    <s v="KHURAM SHAHZAD"/>
    <s v="SUZUKI-GD-110S"/>
    <n v="8800"/>
    <n v="7155"/>
    <s v="144134"/>
    <d v="2024-07-05T00:00:00"/>
    <s v="MOTORCYCLE  COMPREHENSIVE"/>
    <n v="352000"/>
    <n v="1144.8"/>
    <n v="71.55"/>
    <n v="500"/>
  </r>
  <r>
    <s v="KHI/HO/D/MO/MC COMP/P/92434/07/2024"/>
    <m/>
    <x v="14"/>
    <d v="2024-07-05T00:00:00"/>
    <d v="2025-07-05T00:00:00"/>
    <s v="MOHSAM ALEEM"/>
    <s v="SUZUKI-GD-110S"/>
    <n v="8800"/>
    <n v="7155"/>
    <s v="144889"/>
    <d v="2024-07-05T00:00:00"/>
    <s v="MOTORCYCLE  COMPREHENSIVE"/>
    <n v="352000"/>
    <n v="1144.8"/>
    <n v="71.55"/>
    <n v="500"/>
  </r>
  <r>
    <s v="KHI/HO/D/MO/MC COMP/P/92435/07/2024"/>
    <m/>
    <x v="9"/>
    <d v="2024-07-05T00:00:00"/>
    <d v="2025-07-05T00:00:00"/>
    <s v="Mr. Syed Zeeshan"/>
    <s v="SUZUKI-GS 150"/>
    <n v="9550"/>
    <n v="7802"/>
    <s v="30091836"/>
    <d v="2024-07-05T00:00:00"/>
    <s v="MOTORCYCLE  COMPREHENSIVE"/>
    <n v="382001"/>
    <n v="1248.32"/>
    <n v="78.02"/>
    <n v="500"/>
  </r>
  <r>
    <s v="KHI/HO/D/MO/MC COMP/P/92436/07/2024"/>
    <m/>
    <x v="9"/>
    <d v="2024-07-05T00:00:00"/>
    <d v="2025-07-05T00:00:00"/>
    <s v="Muhammad Waseem Shah"/>
    <s v="SUZUKI-GD-110S"/>
    <n v="8800"/>
    <n v="7155"/>
    <s v="144885"/>
    <d v="2024-07-05T00:00:00"/>
    <s v="MOTORCYCLE  COMPREHENSIVE"/>
    <n v="352001"/>
    <n v="1144.8"/>
    <n v="71.55"/>
    <n v="500"/>
  </r>
  <r>
    <s v="KHI/HO/D/MO/MC COMP/P/92437/07/2024"/>
    <m/>
    <x v="14"/>
    <d v="2024-07-05T00:00:00"/>
    <d v="2025-07-05T00:00:00"/>
    <s v="ALTAF HUSSAIN"/>
    <s v="SUZUKI-GD-110S"/>
    <n v="8800"/>
    <n v="7155"/>
    <s v="144613"/>
    <d v="2024-07-05T00:00:00"/>
    <s v="MOTORCYCLE  COMPREHENSIVE"/>
    <n v="352000"/>
    <n v="1144.8"/>
    <n v="71.55"/>
    <n v="500"/>
  </r>
  <r>
    <s v="KHI/HO/D/MO/MC COMP/P/92438/07/2024"/>
    <m/>
    <x v="14"/>
    <d v="2024-07-05T00:00:00"/>
    <d v="2025-07-05T00:00:00"/>
    <s v="FAISAL IQBAL"/>
    <s v="SUZUKI-GSX 125"/>
    <n v="12475"/>
    <n v="10323"/>
    <s v="23100360"/>
    <d v="2024-07-05T00:00:00"/>
    <s v="MOTORCYCLE  COMPREHENSIVE"/>
    <n v="499000"/>
    <n v="1651.68"/>
    <n v="103.23"/>
    <n v="500"/>
  </r>
  <r>
    <s v="KHI/HO/D/MO/MC COMP/P/92439/07/2024"/>
    <m/>
    <x v="14"/>
    <d v="2024-07-05T00:00:00"/>
    <d v="2025-07-05T00:00:00"/>
    <s v="MUHAMMAD FAIZAN YOUNAS"/>
    <s v="SUZUKI-GS 150"/>
    <n v="9550"/>
    <n v="7802"/>
    <s v="30091705"/>
    <d v="2024-07-05T00:00:00"/>
    <s v="MOTORCYCLE  COMPREHENSIVE"/>
    <n v="382000"/>
    <n v="1248.32"/>
    <n v="78.02"/>
    <n v="500"/>
  </r>
  <r>
    <s v="KHI/HO/D/MO/MC COMP/P/92440/07/2024"/>
    <m/>
    <x v="2"/>
    <d v="2024-07-05T00:00:00"/>
    <d v="2025-07-05T00:00:00"/>
    <s v="UMAIR SHAHID"/>
    <s v="SUZUKI-GD-110S"/>
    <n v="12320"/>
    <n v="10190"/>
    <s v="145056"/>
    <d v="2024-07-05T00:00:00"/>
    <s v="MOTORCYCLE  COMPREHENSIVE"/>
    <n v="352000"/>
    <n v="1630.4"/>
    <n v="101.9"/>
    <n v="500"/>
  </r>
  <r>
    <s v="KHI/HO/D/MO/MC COMP/P/92442/07/2024"/>
    <m/>
    <x v="14"/>
    <d v="2024-07-05T00:00:00"/>
    <d v="2025-07-05T00:00:00"/>
    <s v="AMAN ULLAH"/>
    <s v="SUZUKI-GSX 125"/>
    <n v="12475"/>
    <n v="10323"/>
    <s v="23100379"/>
    <d v="2024-07-05T00:00:00"/>
    <s v="MOTORCYCLE  COMPREHENSIVE"/>
    <n v="499000"/>
    <n v="1651.68"/>
    <n v="103.23"/>
    <n v="500"/>
  </r>
  <r>
    <s v="KHI/HO/D/MO/MC COMP/P/92443/07/2024"/>
    <m/>
    <x v="14"/>
    <d v="2024-07-05T00:00:00"/>
    <d v="2025-07-05T00:00:00"/>
    <s v="HAFIZ MUHAMMAD REHAN"/>
    <s v="SUZUKI-GR150 EURO II"/>
    <n v="13675"/>
    <n v="11358"/>
    <s v="113141"/>
    <d v="2024-07-05T00:00:00"/>
    <s v="MOTORCYCLE  COMPREHENSIVE"/>
    <n v="547000"/>
    <n v="1817.28"/>
    <n v="113.58"/>
    <n v="500"/>
  </r>
  <r>
    <s v="KHI/HO/D/MO/MC COMP/P/92444/07/2024"/>
    <m/>
    <x v="2"/>
    <d v="2024-07-05T00:00:00"/>
    <d v="2025-07-05T00:00:00"/>
    <s v="HAFIZ SHAHRUKH IDREES"/>
    <s v="SUZUKI-GD-110S"/>
    <n v="12320"/>
    <n v="10190"/>
    <s v="145260"/>
    <d v="2024-07-05T00:00:00"/>
    <s v="MOTORCYCLE  COMPREHENSIVE"/>
    <n v="352000"/>
    <n v="1630.4"/>
    <n v="101.9"/>
    <n v="500"/>
  </r>
  <r>
    <s v="KHI/HO/D/MO/MC COMP/P/92445/07/2024"/>
    <m/>
    <x v="2"/>
    <d v="2025-07-06T00:00:00"/>
    <d v="2026-07-06T00:00:00"/>
    <s v="HAFIZ SHAHRUKH IDREES"/>
    <s v="SUZUKI-GD-110S"/>
    <n v="12320"/>
    <n v="10190"/>
    <s v="145260"/>
    <d v="2024-07-05T00:00:00"/>
    <s v="MOTORCYCLE  COMPREHENSIVE"/>
    <n v="352000"/>
    <n v="1630.4"/>
    <n v="101.9"/>
    <n v="500"/>
  </r>
  <r>
    <s v="KHI/HO/D/MO/MC COMP/P/92446/07/2024"/>
    <m/>
    <x v="14"/>
    <d v="2024-07-05T00:00:00"/>
    <d v="2025-07-05T00:00:00"/>
    <s v="MUHAMMAD AWAIS"/>
    <s v="SUZUKI-GD-110S"/>
    <n v="8800"/>
    <n v="7155"/>
    <s v="144274"/>
    <d v="2024-07-05T00:00:00"/>
    <s v="MOTORCYCLE  COMPREHENSIVE"/>
    <n v="352000"/>
    <n v="1144.8"/>
    <n v="71.55"/>
    <n v="500"/>
  </r>
  <r>
    <s v="KHI/HO/D/MO/MC COMP/P/92453/07/2024"/>
    <m/>
    <x v="2"/>
    <d v="2024-07-05T00:00:00"/>
    <d v="2025-07-05T00:00:00"/>
    <s v="MUHAMMAD SAAD FAROOQ"/>
    <s v="SUZUKI-GD-110S"/>
    <n v="12320"/>
    <n v="10190"/>
    <s v="145408"/>
    <d v="2024-07-05T00:00:00"/>
    <s v="MOTORCYCLE  COMPREHENSIVE"/>
    <n v="352000"/>
    <n v="1630.4"/>
    <n v="101.9"/>
    <n v="500"/>
  </r>
  <r>
    <s v="KHI/HO/D/MO/MC COMP/P/92454/07/2024"/>
    <m/>
    <x v="0"/>
    <d v="2024-07-06T00:00:00"/>
    <d v="2025-07-06T00:00:00"/>
    <s v="QAISAR SHAHZAD"/>
    <s v="SUZUKI-GS 150"/>
    <n v="13370"/>
    <n v="11095"/>
    <s v="30091798"/>
    <d v="2024-07-06T00:00:00"/>
    <s v="MOTORCYCLE  COMPREHENSIVE"/>
    <n v="382000"/>
    <n v="1775.2"/>
    <n v="110.95"/>
    <n v="500"/>
  </r>
  <r>
    <s v="KHI/HO/D/MO/MC COMP/P/92455/07/2024"/>
    <m/>
    <x v="0"/>
    <d v="2025-07-07T00:00:00"/>
    <d v="2026-07-07T00:00:00"/>
    <s v="QAISAR SHAHZAD"/>
    <s v="SUZUKI-GS 150"/>
    <n v="13370"/>
    <n v="11095"/>
    <s v="30091798"/>
    <d v="2024-07-06T00:00:00"/>
    <s v="MOTORCYCLE  COMPREHENSIVE"/>
    <n v="382000"/>
    <n v="1775.2"/>
    <n v="110.95"/>
    <n v="500"/>
  </r>
  <r>
    <s v="KHI/HO/D/MO/MC COMP/P/92458/07/2024"/>
    <m/>
    <x v="10"/>
    <d v="2024-07-06T00:00:00"/>
    <d v="2025-07-06T00:00:00"/>
    <s v="AMEER HAMZA"/>
    <s v="SUZUKI-GD-110S"/>
    <n v="8800"/>
    <n v="7155"/>
    <s v="145777"/>
    <d v="2024-07-06T00:00:00"/>
    <s v="MOTORCYCLE  COMPREHENSIVE"/>
    <n v="352000"/>
    <n v="1144.8"/>
    <n v="71.55"/>
    <n v="500"/>
  </r>
  <r>
    <s v="KHI/HO/D/MO/MC COMP/P/92460/07/2024"/>
    <m/>
    <x v="5"/>
    <d v="2024-07-06T00:00:00"/>
    <d v="2025-07-06T00:00:00"/>
    <s v="HAMZA NASEER"/>
    <s v="SUZUKI-GSX 125"/>
    <n v="12475"/>
    <n v="10323"/>
    <s v="23100475"/>
    <d v="2024-07-06T00:00:00"/>
    <s v="MOTORCYCLE  COMPREHENSIVE"/>
    <n v="499000"/>
    <n v="1651.68"/>
    <n v="103.23"/>
    <n v="500"/>
  </r>
  <r>
    <s v="KHI/HO/D/MO/MC COMP/P/92461/07/2024"/>
    <m/>
    <x v="12"/>
    <d v="2024-07-06T00:00:00"/>
    <d v="2025-07-06T00:00:00"/>
    <s v="ASHRAF ALI"/>
    <s v="SUZUKI-GD-110S"/>
    <n v="12320"/>
    <n v="10190"/>
    <s v="145099"/>
    <d v="2024-07-06T00:00:00"/>
    <s v="MOTORCYCLE  COMPREHENSIVE"/>
    <n v="352000"/>
    <n v="1630.4"/>
    <n v="101.9"/>
    <n v="500"/>
  </r>
  <r>
    <s v="KHI/HO/D/MO/MC COMP/P/92462/07/2024"/>
    <m/>
    <x v="12"/>
    <d v="2025-07-07T00:00:00"/>
    <d v="2026-07-07T00:00:00"/>
    <s v="ASHRAF ALI"/>
    <s v="SUZUKI-GD-110S"/>
    <n v="12320"/>
    <n v="10190"/>
    <s v="145099"/>
    <d v="2024-07-06T00:00:00"/>
    <s v="MOTORCYCLE  COMPREHENSIVE"/>
    <n v="352000"/>
    <n v="1630.4"/>
    <n v="101.9"/>
    <n v="500"/>
  </r>
  <r>
    <s v="KHI/HO/D/MO/MC COMP/P/92463/07/2024"/>
    <m/>
    <x v="5"/>
    <d v="2024-07-06T00:00:00"/>
    <d v="2025-07-06T00:00:00"/>
    <s v="SAQIB MAJEED"/>
    <s v="SUZUKI-GSX 125"/>
    <n v="12475"/>
    <n v="10323"/>
    <s v="23102471"/>
    <d v="2024-07-06T00:00:00"/>
    <s v="MOTORCYCLE  COMPREHENSIVE"/>
    <n v="499000"/>
    <n v="1651.68"/>
    <n v="103.23"/>
    <n v="500"/>
  </r>
  <r>
    <s v="KHI/HO/D/MO/MC COMP/P/92464/07/2024"/>
    <m/>
    <x v="5"/>
    <d v="2024-07-06T00:00:00"/>
    <d v="2025-07-06T00:00:00"/>
    <s v="MUHAMMAD SULEMAN JAVED"/>
    <s v="SUZUKI-GD-110S"/>
    <n v="8800"/>
    <n v="7155"/>
    <s v="145319"/>
    <d v="2024-07-06T00:00:00"/>
    <s v="MOTORCYCLE  COMPREHENSIVE"/>
    <n v="352000"/>
    <n v="1144.8"/>
    <n v="71.55"/>
    <n v="500"/>
  </r>
  <r>
    <s v="KHI/HO/D/MO/MC COMP/P/92465/07/2024"/>
    <m/>
    <x v="5"/>
    <d v="2024-07-06T00:00:00"/>
    <d v="2025-07-06T00:00:00"/>
    <s v="MUHAMMAD TAHIR"/>
    <s v="SUZUKI-GSX 125"/>
    <n v="12475"/>
    <n v="10323"/>
    <s v="23102492"/>
    <d v="2024-07-06T00:00:00"/>
    <s v="MOTORCYCLE  COMPREHENSIVE"/>
    <n v="499000"/>
    <n v="1651.68"/>
    <n v="103.23"/>
    <n v="500"/>
  </r>
  <r>
    <s v="KHI/HO/D/MO/MC COMP/P/92467/07/2024"/>
    <m/>
    <x v="0"/>
    <d v="2024-07-06T00:00:00"/>
    <d v="2025-07-06T00:00:00"/>
    <s v="IMRAN ALI"/>
    <s v="SUZUKI-GS 150"/>
    <n v="13370"/>
    <n v="11095"/>
    <s v="30092092"/>
    <d v="2024-07-06T00:00:00"/>
    <s v="MOTORCYCLE  COMPREHENSIVE"/>
    <n v="382000"/>
    <n v="1775.2"/>
    <n v="110.95"/>
    <n v="500"/>
  </r>
  <r>
    <s v="KHI/HO/D/MO/MC COMP/P/92468/07/2024"/>
    <m/>
    <x v="0"/>
    <d v="2025-07-07T00:00:00"/>
    <d v="2026-07-07T00:00:00"/>
    <s v="IMRAN ALI"/>
    <s v="SUZUKI-GS 150"/>
    <n v="13370"/>
    <n v="11095"/>
    <s v="30092092"/>
    <d v="2024-07-06T00:00:00"/>
    <s v="MOTORCYCLE  COMPREHENSIVE"/>
    <n v="382000"/>
    <n v="1775.2"/>
    <n v="110.95"/>
    <n v="500"/>
  </r>
  <r>
    <s v="KHI/HO/D/MO/MC COMP/P/92474/07/2024"/>
    <m/>
    <x v="16"/>
    <d v="2024-07-06T00:00:00"/>
    <d v="2025-07-06T00:00:00"/>
    <s v="MUHAMMAD ARSLAN"/>
    <s v="SUZUKI-GD-110S"/>
    <n v="8800"/>
    <n v="7155"/>
    <s v="144702"/>
    <d v="2024-07-06T00:00:00"/>
    <s v="MOTORCYCLE  COMPREHENSIVE"/>
    <n v="352000"/>
    <n v="1144.8"/>
    <n v="71.55"/>
    <n v="500"/>
  </r>
  <r>
    <s v="KHI/HO/D/MO/MC COMP/P/92475/07/2024"/>
    <m/>
    <x v="16"/>
    <d v="2024-07-06T00:00:00"/>
    <d v="2025-07-06T00:00:00"/>
    <s v="M.IRSHAD"/>
    <s v="SUZUKI-GD-110S"/>
    <n v="8800"/>
    <n v="7155"/>
    <s v="144654"/>
    <d v="2024-07-06T00:00:00"/>
    <s v="MOTORCYCLE  COMPREHENSIVE"/>
    <n v="352000"/>
    <n v="1144.8"/>
    <n v="71.55"/>
    <n v="500"/>
  </r>
  <r>
    <s v="KHI/HO/D/MO/MC COMP/P/92476/07/2024"/>
    <m/>
    <x v="16"/>
    <d v="2024-07-06T00:00:00"/>
    <d v="2025-07-06T00:00:00"/>
    <s v="MUHAMMAD KHALID"/>
    <s v="SUZUKI-GD-110S"/>
    <n v="8800"/>
    <n v="7155"/>
    <s v="144667"/>
    <d v="2024-07-06T00:00:00"/>
    <s v="MOTORCYCLE  COMPREHENSIVE"/>
    <n v="352000"/>
    <n v="1144.8"/>
    <n v="71.55"/>
    <n v="500"/>
  </r>
  <r>
    <s v="KHI/HO/D/MO/MC COMP/P/92477/07/2024"/>
    <m/>
    <x v="16"/>
    <d v="2024-07-06T00:00:00"/>
    <d v="2025-07-06T00:00:00"/>
    <s v="HAFIZ M.MUJAHID"/>
    <s v="SUZUKI-GD-110S"/>
    <n v="8800"/>
    <n v="7155"/>
    <s v="144653"/>
    <d v="2024-07-06T00:00:00"/>
    <s v="MOTORCYCLE  COMPREHENSIVE"/>
    <n v="352000"/>
    <n v="1144.8"/>
    <n v="71.55"/>
    <n v="500"/>
  </r>
  <r>
    <s v="KHI/HO/D/MO/MC COMP/P/92478/07/2024"/>
    <m/>
    <x v="16"/>
    <d v="2024-07-06T00:00:00"/>
    <d v="2025-07-06T00:00:00"/>
    <s v="NOUMAN"/>
    <s v="SUZUKI-GD-110S"/>
    <n v="8800"/>
    <n v="7155"/>
    <s v="144645"/>
    <d v="2024-07-06T00:00:00"/>
    <s v="MOTORCYCLE  COMPREHENSIVE"/>
    <n v="352000"/>
    <n v="1144.8"/>
    <n v="71.55"/>
    <n v="500"/>
  </r>
  <r>
    <s v="KHI/HO/D/MO/MC COMP/P/92479/07/2024"/>
    <m/>
    <x v="12"/>
    <d v="2024-07-06T00:00:00"/>
    <d v="2025-07-06T00:00:00"/>
    <s v="MUHAMMAD SALMAN"/>
    <s v="SUZUKI-GD-110S"/>
    <n v="12320"/>
    <n v="10190"/>
    <s v="144732"/>
    <d v="2024-07-06T00:00:00"/>
    <s v="MOTORCYCLE  COMPREHENSIVE"/>
    <n v="352000"/>
    <n v="1630.4"/>
    <n v="101.9"/>
    <n v="500"/>
  </r>
  <r>
    <s v="KHI/HO/D/MO/MC COMP/P/92480/07/2024"/>
    <m/>
    <x v="2"/>
    <d v="2024-07-06T00:00:00"/>
    <d v="2025-07-06T00:00:00"/>
    <s v="AMMAR FARIDI"/>
    <s v="SUZUKI-GS 150"/>
    <n v="13370"/>
    <n v="11095"/>
    <s v="30091688"/>
    <d v="2024-07-06T00:00:00"/>
    <s v="MOTORCYCLE  COMPREHENSIVE"/>
    <n v="382000"/>
    <n v="1775.2"/>
    <n v="110.95"/>
    <n v="500"/>
  </r>
  <r>
    <s v="KHI/HO/D/MO/MC COMP/P/92481/07/2024"/>
    <m/>
    <x v="2"/>
    <d v="2025-07-07T00:00:00"/>
    <d v="2026-07-07T00:00:00"/>
    <s v="AMMAR FARIDI"/>
    <s v="SUZUKI-GS 150"/>
    <n v="13370"/>
    <n v="11095"/>
    <s v="30091688"/>
    <d v="2024-07-06T00:00:00"/>
    <s v="MOTORCYCLE  COMPREHENSIVE"/>
    <n v="382000"/>
    <n v="1775.2"/>
    <n v="110.95"/>
    <n v="500"/>
  </r>
  <r>
    <s v="KHI/HO/D/MO/MC COMP/P/92482/07/2024"/>
    <m/>
    <x v="14"/>
    <d v="2024-07-06T00:00:00"/>
    <d v="2025-07-06T00:00:00"/>
    <s v="MUHAMMAD SHAHZAD ASLAM"/>
    <s v="SUZUKI-GSX 125"/>
    <n v="12475"/>
    <n v="10323"/>
    <s v="23100391"/>
    <d v="2024-07-06T00:00:00"/>
    <s v="MOTORCYCLE  COMPREHENSIVE"/>
    <n v="499000"/>
    <n v="1651.68"/>
    <n v="103.23"/>
    <n v="500"/>
  </r>
  <r>
    <s v="KHI/HO/D/MO/MC COMP/P/92483/07/2024"/>
    <m/>
    <x v="14"/>
    <d v="2024-07-06T00:00:00"/>
    <d v="2025-07-06T00:00:00"/>
    <s v="MUHAMMAD IRFAN MAQBOOL"/>
    <s v="SUZUKI-GD-110S"/>
    <n v="8800"/>
    <n v="7155"/>
    <s v="145145"/>
    <d v="2024-07-06T00:00:00"/>
    <s v="MOTORCYCLE  COMPREHENSIVE"/>
    <n v="352000"/>
    <n v="1144.8"/>
    <n v="71.55"/>
    <n v="500"/>
  </r>
  <r>
    <s v="KHI/HO/D/MO/MC COMP/P/92484/07/2024"/>
    <m/>
    <x v="14"/>
    <d v="2024-07-06T00:00:00"/>
    <d v="2025-07-06T00:00:00"/>
    <s v="RUSTAM ALI"/>
    <s v="SUZUKI-GD-110S"/>
    <n v="8800"/>
    <n v="7155"/>
    <s v="145127"/>
    <d v="2024-07-06T00:00:00"/>
    <s v="MOTORCYCLE  COMPREHENSIVE"/>
    <n v="352000"/>
    <n v="1144.8"/>
    <n v="71.55"/>
    <n v="500"/>
  </r>
  <r>
    <s v="KHI/HO/D/MO/MC COMP/P/92485/07/2024"/>
    <m/>
    <x v="8"/>
    <d v="2024-07-06T00:00:00"/>
    <d v="2025-07-06T00:00:00"/>
    <s v="MUHAMMAD SHAHID GHAFOOR"/>
    <s v="SUZUKI-GD-110S"/>
    <n v="8800"/>
    <n v="7155"/>
    <s v="145790"/>
    <d v="2024-07-06T00:00:00"/>
    <s v="MOTORCYCLE  COMPREHENSIVE"/>
    <n v="352000"/>
    <n v="1144.8"/>
    <n v="71.55"/>
    <n v="500"/>
  </r>
  <r>
    <s v="KHI/HO/D/MO/MC COMP/P/92486/07/2024"/>
    <m/>
    <x v="14"/>
    <d v="2024-07-06T00:00:00"/>
    <d v="2025-07-06T00:00:00"/>
    <s v="OWAIS ILYAS"/>
    <s v="SUZUKI-GSX 125"/>
    <n v="12475"/>
    <n v="10323"/>
    <s v="23100371"/>
    <d v="2024-07-06T00:00:00"/>
    <s v="MOTORCYCLE  COMPREHENSIVE"/>
    <n v="499000"/>
    <n v="1651.68"/>
    <n v="103.23"/>
    <n v="500"/>
  </r>
  <r>
    <s v="KHI/HO/D/MO/MC COMP/P/92487/07/2024"/>
    <m/>
    <x v="14"/>
    <d v="2024-07-06T00:00:00"/>
    <d v="2025-07-06T00:00:00"/>
    <s v="MOHSIN ALI"/>
    <s v="SUZUKI-GD-110S"/>
    <n v="8800"/>
    <n v="7155"/>
    <s v="144061"/>
    <d v="2024-07-06T00:00:00"/>
    <s v="MOTORCYCLE  COMPREHENSIVE"/>
    <n v="352000"/>
    <n v="1144.8"/>
    <n v="71.55"/>
    <n v="500"/>
  </r>
  <r>
    <s v="KHI/HO/D/MO/MC COMP/P/92488/07/2024"/>
    <m/>
    <x v="14"/>
    <d v="2024-07-06T00:00:00"/>
    <d v="2025-07-06T00:00:00"/>
    <s v="HAFIZ ZULQARNAIN HAIDER"/>
    <s v="SUZUKI-GD-110S"/>
    <n v="8800"/>
    <n v="7155"/>
    <s v="144608"/>
    <d v="2024-07-06T00:00:00"/>
    <s v="MOTORCYCLE  COMPREHENSIVE"/>
    <n v="352000"/>
    <n v="1144.8"/>
    <n v="71.55"/>
    <n v="500"/>
  </r>
  <r>
    <s v="KHI/HO/D/MO/MC COMP/P/92489/07/2024"/>
    <m/>
    <x v="14"/>
    <d v="2024-07-06T00:00:00"/>
    <d v="2025-07-06T00:00:00"/>
    <s v="HAMZA ALI"/>
    <s v="SUZUKI-GR150 EURO II"/>
    <n v="13675"/>
    <n v="11358"/>
    <s v="112873"/>
    <d v="2024-07-06T00:00:00"/>
    <s v="MOTORCYCLE  COMPREHENSIVE"/>
    <n v="547000"/>
    <n v="1817.28"/>
    <n v="113.58"/>
    <n v="500"/>
  </r>
  <r>
    <s v="KHI/HO/D/MO/MC COMP/P/92504/07/2024"/>
    <m/>
    <x v="21"/>
    <d v="2024-07-08T00:00:00"/>
    <d v="2025-07-08T00:00:00"/>
    <s v="SYED JARAR HUSSAIN SHAH SABZWARI"/>
    <s v="SUZUKI-GD-110S"/>
    <n v="8800"/>
    <n v="7155"/>
    <s v="144396"/>
    <d v="2024-07-08T00:00:00"/>
    <s v="MOTORCYCLE  COMPREHENSIVE"/>
    <n v="352000"/>
    <n v="1144.8"/>
    <n v="71.55"/>
    <n v="500"/>
  </r>
  <r>
    <s v="KHI/HO/D/MO/MC COMP/P/92505/07/2024"/>
    <m/>
    <x v="22"/>
    <d v="2024-07-08T00:00:00"/>
    <d v="2025-07-08T00:00:00"/>
    <s v="Muhammad Usman Saleem"/>
    <s v="SUZUKI-GS 150"/>
    <n v="9550"/>
    <n v="7802"/>
    <s v="30091824"/>
    <d v="2024-07-08T00:00:00"/>
    <s v="MOTORCYCLE  COMPREHENSIVE"/>
    <n v="382001"/>
    <n v="1248.32"/>
    <n v="78.02"/>
    <n v="500"/>
  </r>
  <r>
    <s v="KHI/HO/D/MO/MC COMP/P/92508/07/2024"/>
    <m/>
    <x v="22"/>
    <d v="2024-07-08T00:00:00"/>
    <d v="2025-07-08T00:00:00"/>
    <s v="Asim Ali"/>
    <s v="SUZUKI-GD-110S"/>
    <n v="8800"/>
    <n v="7155"/>
    <s v="144854"/>
    <d v="2024-07-08T00:00:00"/>
    <s v="MOTORCYCLE  COMPREHENSIVE"/>
    <n v="352001"/>
    <n v="1144.8"/>
    <n v="71.55"/>
    <n v="500"/>
  </r>
  <r>
    <s v="KHI/HO/D/MO/MC COMP/P/92510/07/2024"/>
    <m/>
    <x v="22"/>
    <d v="2024-07-08T00:00:00"/>
    <d v="2025-07-08T00:00:00"/>
    <s v="Mr. Husnain"/>
    <s v="SUZUKI-GSX 125"/>
    <n v="12475"/>
    <n v="10323"/>
    <s v="23100394"/>
    <d v="2024-07-08T00:00:00"/>
    <s v="MOTORCYCLE  COMPREHENSIVE"/>
    <n v="499001"/>
    <n v="1651.68"/>
    <n v="103.23"/>
    <n v="500"/>
  </r>
  <r>
    <s v="KHI/HO/D/MO/MC COMP/P/92511/07/2024"/>
    <m/>
    <x v="21"/>
    <d v="2024-07-08T00:00:00"/>
    <d v="2025-07-08T00:00:00"/>
    <s v="SHAHZADA MUTAHIR JALEEL"/>
    <s v="SUZUKI-GSX 125"/>
    <n v="12475"/>
    <n v="10323"/>
    <s v="23100463"/>
    <d v="2024-07-08T00:00:00"/>
    <s v="MOTORCYCLE  COMPREHENSIVE"/>
    <n v="499000"/>
    <n v="1651.68"/>
    <n v="103.23"/>
    <n v="500"/>
  </r>
  <r>
    <s v="KHI/HO/D/MO/MC COMP/P/92512/07/2024"/>
    <m/>
    <x v="22"/>
    <d v="2024-07-08T00:00:00"/>
    <d v="2025-07-08T00:00:00"/>
    <s v="Mohsin Ali Shahzad"/>
    <s v="SUZUKI-GS 150"/>
    <n v="9550"/>
    <n v="7802"/>
    <s v="30091827"/>
    <d v="2024-07-08T00:00:00"/>
    <s v="MOTORCYCLE  COMPREHENSIVE"/>
    <n v="382001"/>
    <n v="1248.32"/>
    <n v="78.02"/>
    <n v="500"/>
  </r>
  <r>
    <s v="KHI/HO/D/MO/MC COMP/P/92513/07/2024"/>
    <m/>
    <x v="22"/>
    <d v="2024-07-08T00:00:00"/>
    <d v="2025-07-08T00:00:00"/>
    <s v="Muhammad Arbaz Khan"/>
    <s v="SUZUKI-GD-110S"/>
    <n v="8800"/>
    <n v="7155"/>
    <s v="145110"/>
    <d v="2024-07-08T00:00:00"/>
    <s v="MOTORCYCLE  COMPREHENSIVE"/>
    <n v="352001"/>
    <n v="1144.8"/>
    <n v="71.55"/>
    <n v="500"/>
  </r>
  <r>
    <s v="KHI/HO/D/MO/MC COMP/P/92516/07/2024"/>
    <m/>
    <x v="21"/>
    <d v="2024-07-08T00:00:00"/>
    <d v="2025-07-08T00:00:00"/>
    <s v="MUHAMMAD AMIR"/>
    <s v="SUZUKI-GSX 125"/>
    <n v="12475"/>
    <n v="10323"/>
    <s v="231000363"/>
    <d v="2024-07-08T00:00:00"/>
    <s v="MOTORCYCLE  COMPREHENSIVE"/>
    <n v="499000"/>
    <n v="1651.68"/>
    <n v="103.23"/>
    <n v="500"/>
  </r>
  <r>
    <s v="KHI/HO/D/MO/MC COMP/P/92517/07/2024"/>
    <m/>
    <x v="14"/>
    <d v="2024-07-08T00:00:00"/>
    <d v="2025-07-08T00:00:00"/>
    <s v="GM GLOBAL"/>
    <s v="SUZUKI-GD-110S"/>
    <n v="8800"/>
    <n v="7155"/>
    <s v="144617"/>
    <d v="2024-07-08T00:00:00"/>
    <s v="MOTORCYCLE  COMPREHENSIVE"/>
    <n v="352000"/>
    <n v="1144.8"/>
    <n v="71.55"/>
    <n v="500"/>
  </r>
  <r>
    <s v="KHI/HO/D/MO/MC COMP/P/92518/07/2024"/>
    <m/>
    <x v="12"/>
    <d v="2024-07-08T00:00:00"/>
    <d v="2025-07-08T00:00:00"/>
    <s v="Luqman"/>
    <s v="SUZUKI-GR150 EURO II"/>
    <n v="19145"/>
    <n v="16073"/>
    <s v="113183"/>
    <d v="2024-07-08T00:00:00"/>
    <s v="MOTORCYCLE  COMPREHENSIVE"/>
    <n v="547000"/>
    <n v="2571.6799999999998"/>
    <n v="160.72999999999999"/>
    <n v="500"/>
  </r>
  <r>
    <s v="KHI/HO/D/MO/MC COMP/P/92519/07/2024"/>
    <m/>
    <x v="14"/>
    <d v="2024-07-08T00:00:00"/>
    <d v="2025-07-08T00:00:00"/>
    <s v="GM GLOBAL"/>
    <s v="SUZUKI-GD-110S"/>
    <n v="8800"/>
    <n v="7155"/>
    <s v="144602"/>
    <d v="2024-07-08T00:00:00"/>
    <s v="MOTORCYCLE  COMPREHENSIVE"/>
    <n v="352000"/>
    <n v="1144.8"/>
    <n v="71.55"/>
    <n v="500"/>
  </r>
  <r>
    <s v="KHI/HO/D/MO/MC COMP/P/92520/07/2024"/>
    <m/>
    <x v="14"/>
    <d v="2024-07-08T00:00:00"/>
    <d v="2025-07-08T00:00:00"/>
    <s v="GM GLOBAL"/>
    <s v="SUZUKI-GD-110S"/>
    <n v="8800"/>
    <n v="7155"/>
    <s v="144601"/>
    <d v="2024-07-08T00:00:00"/>
    <s v="MOTORCYCLE  COMPREHENSIVE"/>
    <n v="352000"/>
    <n v="1144.8"/>
    <n v="71.55"/>
    <n v="500"/>
  </r>
  <r>
    <s v="KHI/HO/D/MO/MC COMP/P/92522/07/2024"/>
    <m/>
    <x v="21"/>
    <d v="2024-07-08T00:00:00"/>
    <d v="2025-07-08T00:00:00"/>
    <s v="SYED ZOHAIB HAIDER"/>
    <s v="SUZUKI-GD-110S"/>
    <n v="8800"/>
    <n v="7155"/>
    <s v="144244"/>
    <d v="2024-07-08T00:00:00"/>
    <s v="MOTORCYCLE  COMPREHENSIVE"/>
    <n v="352000"/>
    <n v="1144.8"/>
    <n v="71.55"/>
    <n v="500"/>
  </r>
  <r>
    <s v="KHI/HO/D/MO/MC COMP/P/92523/07/2024"/>
    <m/>
    <x v="5"/>
    <d v="2024-07-08T00:00:00"/>
    <d v="2025-07-08T00:00:00"/>
    <s v="KHALID KHURSHID UL HASSAN"/>
    <s v="SUZUKI-GSX 125"/>
    <n v="12475"/>
    <n v="10323"/>
    <s v="23100443"/>
    <d v="2024-07-08T00:00:00"/>
    <s v="MOTORCYCLE  COMPREHENSIVE"/>
    <n v="499000"/>
    <n v="1651.68"/>
    <n v="103.23"/>
    <n v="500"/>
  </r>
  <r>
    <s v="KHI/HO/D/MO/MC COMP/P/92524/07/2024"/>
    <m/>
    <x v="7"/>
    <d v="2024-07-08T00:00:00"/>
    <d v="2025-07-08T00:00:00"/>
    <s v="S ADNAN IQBAL"/>
    <s v="SUZUKI-GD-110S"/>
    <n v="12320"/>
    <n v="10190"/>
    <s v="145527"/>
    <d v="2024-07-08T00:00:00"/>
    <s v="MOTORCYCLE  COMPREHENSIVE"/>
    <n v="352000"/>
    <n v="1630.4"/>
    <n v="101.9"/>
    <n v="500"/>
  </r>
  <r>
    <s v="KHI/HO/D/MO/MC COMP/P/92525/07/2024"/>
    <m/>
    <x v="7"/>
    <d v="2025-07-09T00:00:00"/>
    <d v="2026-07-09T00:00:00"/>
    <s v="S ADNAN IQBAL"/>
    <s v="SUZUKI-GD-110S"/>
    <n v="12320"/>
    <n v="10190"/>
    <s v="145527"/>
    <d v="2024-07-08T00:00:00"/>
    <s v="MOTORCYCLE  COMPREHENSIVE"/>
    <n v="352000"/>
    <n v="1630.4"/>
    <n v="101.9"/>
    <n v="500"/>
  </r>
  <r>
    <s v="KHI/HO/D/MO/MC COMP/P/92535/07/2024"/>
    <m/>
    <x v="7"/>
    <d v="2024-07-08T00:00:00"/>
    <d v="2025-07-08T00:00:00"/>
    <s v="FAHIM SIKANDER"/>
    <s v="SUZUKI-GD-110S"/>
    <n v="12320"/>
    <n v="10190"/>
    <s v="145526"/>
    <d v="2024-07-08T00:00:00"/>
    <s v="MOTORCYCLE  COMPREHENSIVE"/>
    <n v="352000"/>
    <n v="1630.4"/>
    <n v="101.9"/>
    <n v="500"/>
  </r>
  <r>
    <s v="KHI/HO/D/MO/MC COMP/P/92536/07/2024"/>
    <m/>
    <x v="7"/>
    <d v="2025-07-09T00:00:00"/>
    <d v="2026-07-09T00:00:00"/>
    <s v="FAHIM SIKANDER"/>
    <s v="SUZUKI-GD-110S"/>
    <n v="12320"/>
    <n v="10190"/>
    <s v="145526"/>
    <d v="2024-07-08T00:00:00"/>
    <s v="MOTORCYCLE  COMPREHENSIVE"/>
    <n v="352000"/>
    <n v="1630.4"/>
    <n v="101.9"/>
    <n v="500"/>
  </r>
  <r>
    <s v="KHI/HO/D/MO/MC COMP/P/92546/07/2024"/>
    <m/>
    <x v="0"/>
    <d v="2024-07-08T00:00:00"/>
    <d v="2025-07-08T00:00:00"/>
    <s v="SYED AMMAR ALAM"/>
    <s v="SUZUKI-GD-110S"/>
    <n v="12320"/>
    <n v="10190"/>
    <s v="145533"/>
    <d v="2024-07-08T00:00:00"/>
    <s v="MOTORCYCLE  COMPREHENSIVE"/>
    <n v="352000"/>
    <n v="1630.4"/>
    <n v="101.9"/>
    <n v="500"/>
  </r>
  <r>
    <s v="KHI/HO/D/MO/MC COMP/P/92559/07/2024"/>
    <m/>
    <x v="2"/>
    <d v="2024-07-08T00:00:00"/>
    <d v="2025-07-08T00:00:00"/>
    <s v="TAYYAB JAVAID"/>
    <s v="SUZUKI-GS 150"/>
    <n v="13370"/>
    <n v="11095"/>
    <s v="30091692"/>
    <d v="2024-07-08T00:00:00"/>
    <s v="MOTORCYCLE  COMPREHENSIVE"/>
    <n v="382000"/>
    <n v="1775.2"/>
    <n v="110.95"/>
    <n v="500"/>
  </r>
  <r>
    <s v="KHI/HO/D/MO/MC COMP/P/92564/07/2024"/>
    <m/>
    <x v="2"/>
    <d v="2024-07-08T00:00:00"/>
    <d v="2025-07-08T00:00:00"/>
    <s v="MUHAMMAD UMAR"/>
    <s v="SUZUKI-GD-110S"/>
    <n v="12320"/>
    <n v="10190"/>
    <s v="144538"/>
    <d v="2024-07-08T00:00:00"/>
    <s v="MOTORCYCLE  COMPREHENSIVE"/>
    <n v="352000"/>
    <n v="1630.4"/>
    <n v="101.9"/>
    <n v="500"/>
  </r>
  <r>
    <s v="KHI/HO/D/MO/MC COMP/P/92571/07/2024"/>
    <m/>
    <x v="11"/>
    <d v="2024-07-08T00:00:00"/>
    <d v="2025-07-08T00:00:00"/>
    <s v="MUHAMMAD USMAN"/>
    <s v="SUZUKI-GD-110S"/>
    <n v="12320"/>
    <n v="10190"/>
    <s v="144131"/>
    <d v="2024-07-08T00:00:00"/>
    <s v="MOTORCYCLE  COMPREHENSIVE"/>
    <n v="352000"/>
    <n v="1630.4"/>
    <n v="101.9"/>
    <n v="500"/>
  </r>
  <r>
    <s v="KHI/HO/D/MO/MC COMP/P/92572/07/2024"/>
    <m/>
    <x v="17"/>
    <d v="2024-07-08T00:00:00"/>
    <d v="2025-07-08T00:00:00"/>
    <s v="MUHAMMAD YASIR"/>
    <s v="SUZUKI-GS 150"/>
    <n v="9550"/>
    <n v="7802"/>
    <s v="30091758"/>
    <d v="2024-07-08T00:00:00"/>
    <s v="MOTORCYCLE  COMPREHENSIVE"/>
    <n v="382000"/>
    <n v="1248.32"/>
    <n v="78.02"/>
    <n v="500"/>
  </r>
  <r>
    <s v="KHI/HO/D/MO/MC COMP/P/92598/07/2024"/>
    <m/>
    <x v="11"/>
    <d v="2024-07-09T00:00:00"/>
    <d v="2025-07-09T00:00:00"/>
    <s v="ABDUL SAMAD"/>
    <s v="SUZUKI-GD-110S"/>
    <n v="12320"/>
    <n v="10190"/>
    <s v="144552"/>
    <d v="2024-07-09T00:00:00"/>
    <s v="MOTORCYCLE  COMPREHENSIVE"/>
    <n v="352000"/>
    <n v="1630.4"/>
    <n v="101.9"/>
    <n v="500"/>
  </r>
  <r>
    <s v="KHI/HO/D/MO/MC COMP/P/92600/07/2024"/>
    <m/>
    <x v="2"/>
    <d v="2024-07-09T00:00:00"/>
    <d v="2025-07-09T00:00:00"/>
    <s v="MUHAMMAD KASHIF IQBAL"/>
    <s v="SUZUKI-GD-110S"/>
    <n v="12320"/>
    <n v="10190"/>
    <s v="145573"/>
    <d v="2024-07-09T00:00:00"/>
    <s v="MOTORCYCLE  COMPREHENSIVE"/>
    <n v="352000"/>
    <n v="1630.4"/>
    <n v="101.9"/>
    <n v="500"/>
  </r>
  <r>
    <s v="KHI/HO/D/MO/MC COMP/P/92601/07/2024"/>
    <m/>
    <x v="8"/>
    <d v="2024-07-09T00:00:00"/>
    <d v="2025-07-09T00:00:00"/>
    <s v="MUHAMMAD TALHA RASHEED"/>
    <s v="SUZUKI-GD-110S"/>
    <n v="8800"/>
    <n v="7155"/>
    <s v="145247"/>
    <d v="2024-07-09T00:00:00"/>
    <s v="MOTORCYCLE  COMPREHENSIVE"/>
    <n v="352000"/>
    <n v="1144.8"/>
    <n v="71.55"/>
    <n v="500"/>
  </r>
  <r>
    <s v="KHI/HO/D/MO/MC COMP/P/92602/07/2024"/>
    <m/>
    <x v="11"/>
    <d v="2024-07-09T00:00:00"/>
    <d v="2025-07-09T00:00:00"/>
    <s v="ATIF ABDUL RAZZAQ"/>
    <s v="SUZUKI-GD-110S"/>
    <n v="12320"/>
    <n v="10190"/>
    <s v="145287"/>
    <d v="2024-07-09T00:00:00"/>
    <s v="MOTORCYCLE  COMPREHENSIVE"/>
    <n v="352000"/>
    <n v="1630.4"/>
    <n v="101.9"/>
    <n v="500"/>
  </r>
  <r>
    <s v="KHI/HO/D/MO/MC COMP/P/92603/07/2024"/>
    <m/>
    <x v="11"/>
    <d v="2025-07-10T00:00:00"/>
    <d v="2026-07-10T00:00:00"/>
    <s v="ATIF ABDUL RAZZAQ"/>
    <s v="SUZUKI-GD-110S"/>
    <n v="12320"/>
    <n v="10190"/>
    <s v="145287"/>
    <d v="2024-07-09T00:00:00"/>
    <s v="MOTORCYCLE  COMPREHENSIVE"/>
    <n v="352000"/>
    <n v="1630.4"/>
    <n v="101.9"/>
    <n v="500"/>
  </r>
  <r>
    <s v="KHI/HO/D/MO/MC COMP/P/92606/07/2024"/>
    <m/>
    <x v="2"/>
    <d v="2024-07-09T00:00:00"/>
    <d v="2025-07-09T00:00:00"/>
    <s v="MUHAMMAD ILYAS"/>
    <s v="SUZUKI-GS 150"/>
    <n v="13370"/>
    <n v="11095"/>
    <s v="30092083"/>
    <d v="2024-07-09T00:00:00"/>
    <s v="MOTORCYCLE  COMPREHENSIVE"/>
    <n v="382000"/>
    <n v="1775.2"/>
    <n v="110.95"/>
    <n v="500"/>
  </r>
  <r>
    <s v="KHI/HO/D/MO/MC COMP/P/92607/07/2024"/>
    <m/>
    <x v="2"/>
    <d v="2025-07-10T00:00:00"/>
    <d v="2026-07-10T00:00:00"/>
    <s v="MUHAMMAD ILYAS"/>
    <s v="SUZUKI-GS 150"/>
    <n v="13370"/>
    <n v="11095"/>
    <s v="30092083"/>
    <d v="2024-07-09T00:00:00"/>
    <s v="MOTORCYCLE  COMPREHENSIVE"/>
    <n v="382000"/>
    <n v="1775.2"/>
    <n v="110.95"/>
    <n v="500"/>
  </r>
  <r>
    <s v="KHI/HO/D/MO/MC COMP/P/92619/07/2024"/>
    <m/>
    <x v="13"/>
    <d v="2024-07-09T00:00:00"/>
    <d v="2025-07-09T00:00:00"/>
    <s v="Abdul Waheed"/>
    <s v="SUZUKI-GS 150"/>
    <n v="9550"/>
    <n v="7802"/>
    <s v="30091768"/>
    <d v="2024-07-09T00:00:00"/>
    <s v="MOTORCYCLE  COMPREHENSIVE"/>
    <n v="382001"/>
    <n v="1248.32"/>
    <n v="78.02"/>
    <n v="500"/>
  </r>
  <r>
    <s v="KHI/HO/D/MO/MC COMP/P/92621/07/2024"/>
    <m/>
    <x v="13"/>
    <d v="2024-07-09T00:00:00"/>
    <d v="2025-07-09T00:00:00"/>
    <s v="Mr. Ameer Hamza"/>
    <s v="SUZUKI-GS 150"/>
    <n v="9550"/>
    <n v="7802"/>
    <s v="30091811"/>
    <d v="2024-07-09T00:00:00"/>
    <s v="MOTORCYCLE  COMPREHENSIVE"/>
    <n v="382001"/>
    <n v="1248.32"/>
    <n v="78.02"/>
    <n v="500"/>
  </r>
  <r>
    <s v="KHI/HO/D/MO/MC COMP/P/92626/07/2024"/>
    <m/>
    <x v="13"/>
    <d v="2024-07-09T00:00:00"/>
    <d v="2025-07-09T00:00:00"/>
    <s v="Irfan Ali"/>
    <s v="SUZUKI-GS-150"/>
    <n v="9550"/>
    <n v="7802"/>
    <s v="30091823"/>
    <d v="2024-07-09T00:00:00"/>
    <s v="MOTORCYCLE  COMPREHENSIVE"/>
    <n v="382001"/>
    <n v="1248.32"/>
    <n v="78.02"/>
    <n v="500"/>
  </r>
  <r>
    <s v="KHI/HO/D/MO/MC COMP/P/92628/07/2024"/>
    <m/>
    <x v="10"/>
    <d v="2024-07-09T00:00:00"/>
    <d v="2025-07-09T00:00:00"/>
    <s v="MUHAMMAD ANEES"/>
    <s v="SUZUKI-GD-110S"/>
    <n v="8800"/>
    <n v="7155"/>
    <s v="145123"/>
    <d v="2024-07-09T00:00:00"/>
    <s v="MOTORCYCLE  COMPREHENSIVE"/>
    <n v="352000"/>
    <n v="1144.8"/>
    <n v="71.55"/>
    <n v="500"/>
  </r>
  <r>
    <s v="KHI/HO/D/MO/MC COMP/P/92630/07/2024"/>
    <m/>
    <x v="13"/>
    <d v="2024-07-09T00:00:00"/>
    <d v="2025-07-09T00:00:00"/>
    <s v="Mr. Muhammad Ali"/>
    <s v="SUZUKI-GD-110S"/>
    <n v="8800"/>
    <n v="7155"/>
    <s v="144924"/>
    <d v="2024-07-09T00:00:00"/>
    <s v="MOTORCYCLE  COMPREHENSIVE"/>
    <n v="352001"/>
    <n v="1144.8"/>
    <n v="71.55"/>
    <n v="500"/>
  </r>
  <r>
    <s v="KHI/HO/D/MO/MC COMP/P/92631/07/2024"/>
    <m/>
    <x v="10"/>
    <d v="2024-07-09T00:00:00"/>
    <d v="2025-07-09T00:00:00"/>
    <s v="HABIB ULLAH TARIQ"/>
    <s v="SUZUKI-GS 150"/>
    <n v="9550"/>
    <n v="7802"/>
    <s v="30091978"/>
    <d v="2024-07-09T00:00:00"/>
    <s v="MOTORCYCLE  COMPREHENSIVE"/>
    <n v="382000"/>
    <n v="1248.32"/>
    <n v="78.02"/>
    <n v="500"/>
  </r>
  <r>
    <s v="KHI/HO/D/MO/MC COMP/P/92633/07/2024"/>
    <m/>
    <x v="13"/>
    <d v="2024-07-09T00:00:00"/>
    <d v="2025-07-09T00:00:00"/>
    <s v="Mr. Muhammad Arif"/>
    <s v="SUZUKI-GR150 EURO II"/>
    <n v="13675"/>
    <n v="11358"/>
    <s v="113173"/>
    <d v="2024-07-09T00:00:00"/>
    <s v="MOTORCYCLE  COMPREHENSIVE"/>
    <n v="547001"/>
    <n v="1817.28"/>
    <n v="113.58"/>
    <n v="500"/>
  </r>
  <r>
    <s v="KHI/HO/D/MO/MC COMP/P/92635/07/2024"/>
    <m/>
    <x v="13"/>
    <d v="2024-07-09T00:00:00"/>
    <d v="2025-07-09T00:00:00"/>
    <s v="Khwaja Khalid Aziz"/>
    <s v="SUZUKI-GD-110S"/>
    <n v="8800"/>
    <n v="7155"/>
    <s v="144944"/>
    <d v="2024-07-09T00:00:00"/>
    <s v="MOTORCYCLE  COMPREHENSIVE"/>
    <n v="352001"/>
    <n v="1144.8"/>
    <n v="71.55"/>
    <n v="500"/>
  </r>
  <r>
    <s v="KHI/HO/D/MO/MC COMP/P/92639/07/2024"/>
    <m/>
    <x v="13"/>
    <d v="2024-07-09T00:00:00"/>
    <d v="2025-07-09T00:00:00"/>
    <s v="Syed Ahmad Raza"/>
    <s v="SUZUKI-GD-110S"/>
    <n v="8800"/>
    <n v="7155"/>
    <s v="145327"/>
    <d v="2024-07-09T00:00:00"/>
    <s v="MOTORCYCLE  COMPREHENSIVE"/>
    <n v="352001"/>
    <n v="1144.8"/>
    <n v="71.55"/>
    <n v="500"/>
  </r>
  <r>
    <s v="KHI/HO/D/MO/MC COMP/P/92641/07/2024"/>
    <m/>
    <x v="13"/>
    <d v="2024-07-09T00:00:00"/>
    <d v="2025-07-09T00:00:00"/>
    <s v="Syed Zahid Ul Hassan"/>
    <s v="SUZUKI-GD-110S"/>
    <n v="8800"/>
    <n v="7155"/>
    <s v="144974"/>
    <d v="2024-07-09T00:00:00"/>
    <s v="MOTORCYCLE  COMPREHENSIVE"/>
    <n v="352001"/>
    <n v="1144.8"/>
    <n v="71.55"/>
    <n v="500"/>
  </r>
  <r>
    <s v="KHI/HO/D/MO/MC COMP/P/92644/07/2024"/>
    <m/>
    <x v="13"/>
    <d v="2024-07-09T00:00:00"/>
    <d v="2025-07-09T00:00:00"/>
    <s v="Mr. Ali Raza"/>
    <s v="SUZUKI-GD-110S"/>
    <n v="8800"/>
    <n v="7155"/>
    <s v="144936"/>
    <d v="2024-07-09T00:00:00"/>
    <s v="MOTORCYCLE  COMPREHENSIVE"/>
    <n v="352001"/>
    <n v="1144.8"/>
    <n v="71.55"/>
    <n v="500"/>
  </r>
  <r>
    <s v="KHI/HO/D/MO/MC COMP/P/92655/07/2024"/>
    <m/>
    <x v="18"/>
    <d v="2024-07-09T00:00:00"/>
    <d v="2025-07-09T00:00:00"/>
    <s v="FAROOQ AHMAD"/>
    <s v="SUZUKI-GD-110S"/>
    <n v="8800"/>
    <n v="7155"/>
    <s v="144789"/>
    <d v="2024-07-09T00:00:00"/>
    <s v="MOTORCYCLE  COMPREHENSIVE"/>
    <n v="352000"/>
    <n v="1144.8"/>
    <n v="71.55"/>
    <n v="500"/>
  </r>
  <r>
    <s v="KHI/HO/D/MO/MC COMP/P/92656/07/2024"/>
    <m/>
    <x v="23"/>
    <d v="2024-07-09T00:00:00"/>
    <d v="2025-07-09T00:00:00"/>
    <s v="MUHAMMAD HAROON MALIK"/>
    <s v="SUZUKI-GD-110S"/>
    <n v="8800"/>
    <n v="7155"/>
    <s v="E487-144144"/>
    <d v="2024-07-09T00:00:00"/>
    <s v="MOTORCYCLE  COMPREHENSIVE"/>
    <n v="352000"/>
    <n v="1144.8"/>
    <n v="71.55"/>
    <n v="500"/>
  </r>
  <r>
    <s v="KHI/HO/D/MO/MC COMP/P/92657/07/2024"/>
    <m/>
    <x v="23"/>
    <d v="2024-07-09T00:00:00"/>
    <d v="2025-07-09T00:00:00"/>
    <s v="MUHAMMAD WAQAS"/>
    <s v="SUZUKI-GS 150"/>
    <n v="9550"/>
    <n v="7802"/>
    <s v="PKG30091709"/>
    <d v="2024-07-09T00:00:00"/>
    <s v="MOTORCYCLE  COMPREHENSIVE"/>
    <n v="382000"/>
    <n v="1248.32"/>
    <n v="78.02"/>
    <n v="500"/>
  </r>
  <r>
    <s v="KHI/HO/D/MO/MC COMP/P/92658/07/2024"/>
    <m/>
    <x v="23"/>
    <d v="2024-07-09T00:00:00"/>
    <d v="2025-07-09T00:00:00"/>
    <s v="AQIB ZAHID"/>
    <s v="SUZUKI-GS 150"/>
    <n v="9550"/>
    <n v="7802"/>
    <s v="PKG30091708"/>
    <d v="2024-07-09T00:00:00"/>
    <s v="MOTORCYCLE  COMPREHENSIVE"/>
    <n v="382000"/>
    <n v="1248.32"/>
    <n v="78.02"/>
    <n v="500"/>
  </r>
  <r>
    <s v="KHI/HO/D/MO/MC COMP/P/92659/07/2024"/>
    <m/>
    <x v="21"/>
    <d v="2024-07-09T00:00:00"/>
    <d v="2025-07-09T00:00:00"/>
    <s v="KHURRAM NABI UD DIN"/>
    <s v="SUZUKI-GD-110S"/>
    <n v="8800"/>
    <n v="7155"/>
    <s v="144879"/>
    <d v="2024-07-09T00:00:00"/>
    <s v="MOTORCYCLE  COMPREHENSIVE"/>
    <n v="352000"/>
    <n v="1144.8"/>
    <n v="71.55"/>
    <n v="500"/>
  </r>
  <r>
    <s v="KHI/HO/D/MO/MC COMP/P/92660/07/2024"/>
    <m/>
    <x v="21"/>
    <d v="2024-07-09T00:00:00"/>
    <d v="2025-07-09T00:00:00"/>
    <s v="MUHAMMAD NAQASH PERVAIZ"/>
    <s v="SUZUKI-GS 150"/>
    <n v="9550"/>
    <n v="7802"/>
    <s v="30091489"/>
    <d v="2024-07-09T00:00:00"/>
    <s v="MOTORCYCLE  COMPREHENSIVE"/>
    <n v="382000"/>
    <n v="1248.32"/>
    <n v="78.02"/>
    <n v="500"/>
  </r>
  <r>
    <s v="KHI/HO/D/MO/MC COMP/P/92661/07/2024"/>
    <m/>
    <x v="21"/>
    <d v="2024-07-09T00:00:00"/>
    <d v="2025-07-09T00:00:00"/>
    <s v="UMER ALI"/>
    <s v="SUZUKI-GS 150"/>
    <n v="9550"/>
    <n v="7802"/>
    <s v="30091825"/>
    <d v="2024-07-09T00:00:00"/>
    <s v="MOTORCYCLE  COMPREHENSIVE"/>
    <n v="382000"/>
    <n v="1248.32"/>
    <n v="78.02"/>
    <n v="500"/>
  </r>
  <r>
    <s v="KHI/HO/D/MO/MC COMP/P/92674/07/2024"/>
    <m/>
    <x v="21"/>
    <d v="2024-07-10T00:00:00"/>
    <d v="2025-07-10T00:00:00"/>
    <s v="MUHAMMAD RAMZAN SHARIF"/>
    <s v="SUZUKI-GS 150"/>
    <n v="9550"/>
    <n v="7802"/>
    <s v="30091857"/>
    <d v="2024-07-10T00:00:00"/>
    <s v="MOTORCYCLE  COMPREHENSIVE"/>
    <n v="382000"/>
    <n v="1248.32"/>
    <n v="78.02"/>
    <n v="500"/>
  </r>
  <r>
    <s v="KHI/HO/D/MO/MC COMP/P/92676/07/2024"/>
    <m/>
    <x v="21"/>
    <d v="2024-07-10T00:00:00"/>
    <d v="2025-07-10T00:00:00"/>
    <s v="ABDUL MANAN"/>
    <s v="SUZUKI-GS 150"/>
    <n v="9550"/>
    <n v="7802"/>
    <s v="30091733"/>
    <d v="2024-07-10T00:00:00"/>
    <s v="MOTORCYCLE  COMPREHENSIVE"/>
    <n v="382000"/>
    <n v="1248.32"/>
    <n v="78.02"/>
    <n v="500"/>
  </r>
  <r>
    <s v="KHI/HO/D/MO/MC COMP/P/92683/07/2024"/>
    <m/>
    <x v="2"/>
    <d v="2024-07-10T00:00:00"/>
    <d v="2025-07-10T00:00:00"/>
    <s v="ABDUL NAEEM"/>
    <s v="SUZUKI-GD-110S"/>
    <n v="12320"/>
    <n v="10190"/>
    <s v="145738"/>
    <d v="2024-07-10T00:00:00"/>
    <s v="MOTORCYCLE  COMPREHENSIVE"/>
    <n v="352000"/>
    <n v="1630.4"/>
    <n v="101.9"/>
    <n v="500"/>
  </r>
  <r>
    <s v="KHI/HO/D/MO/MC COMP/P/92687/07/2024"/>
    <m/>
    <x v="21"/>
    <d v="2024-07-10T00:00:00"/>
    <d v="2025-07-10T00:00:00"/>
    <s v="MUHAMMAD FARAZ"/>
    <s v="SUZUKI-GR150 EURO II"/>
    <n v="13675"/>
    <n v="11358"/>
    <s v="113113"/>
    <d v="2024-07-10T00:00:00"/>
    <s v="MOTORCYCLE  COMPREHENSIVE"/>
    <n v="547000"/>
    <n v="1817.28"/>
    <n v="113.58"/>
    <n v="500"/>
  </r>
  <r>
    <s v="KHI/HO/D/MO/MC COMP/P/92692/07/2024"/>
    <m/>
    <x v="21"/>
    <d v="2024-07-10T00:00:00"/>
    <d v="2025-07-10T00:00:00"/>
    <s v="TAHSIN AMJAD"/>
    <s v="SUZUKI-GSX 125"/>
    <n v="12475"/>
    <n v="10323"/>
    <s v="23102461"/>
    <d v="2024-07-10T00:00:00"/>
    <s v="MOTORCYCLE  COMPREHENSIVE"/>
    <n v="499000"/>
    <n v="1651.68"/>
    <n v="103.23"/>
    <n v="500"/>
  </r>
  <r>
    <s v="KHI/HO/D/MO/MC COMP/P/92694/07/2024"/>
    <m/>
    <x v="21"/>
    <d v="2024-07-10T00:00:00"/>
    <d v="2025-07-10T00:00:00"/>
    <s v="TANVEER AHMAD"/>
    <s v="SUZUKI-GR150 EURO II"/>
    <n v="13675"/>
    <n v="11358"/>
    <s v="113111"/>
    <d v="2024-07-10T00:00:00"/>
    <s v="MOTORCYCLE  COMPREHENSIVE"/>
    <n v="547000"/>
    <n v="1817.28"/>
    <n v="113.58"/>
    <n v="500"/>
  </r>
  <r>
    <s v="KHI/HO/D/MO/MC COMP/P/92696/07/2024"/>
    <m/>
    <x v="21"/>
    <d v="2024-07-10T00:00:00"/>
    <d v="2025-07-10T00:00:00"/>
    <s v="MUHAMMAD IMRAN"/>
    <s v="SUZUKI-GD-110S"/>
    <n v="8800"/>
    <n v="7155"/>
    <s v="143502"/>
    <d v="2024-07-10T00:00:00"/>
    <s v="MOTORCYCLE  COMPREHENSIVE"/>
    <n v="352000"/>
    <n v="1144.8"/>
    <n v="71.55"/>
    <n v="500"/>
  </r>
  <r>
    <s v="KHI/HO/D/MO/MC COMP/P/92700/07/2024"/>
    <m/>
    <x v="21"/>
    <d v="2024-07-10T00:00:00"/>
    <d v="2025-07-10T00:00:00"/>
    <s v="SYED JUNAID AZAM SHAH"/>
    <s v="SUZUKI-GSX 125"/>
    <n v="12475"/>
    <n v="10323"/>
    <s v="22106025"/>
    <d v="2024-07-10T00:00:00"/>
    <s v="MOTORCYCLE  COMPREHENSIVE"/>
    <n v="499000"/>
    <n v="1651.68"/>
    <n v="103.23"/>
    <n v="500"/>
  </r>
  <r>
    <s v="KHI/HO/D/MO/MC COMP/P/92702/07/2024"/>
    <m/>
    <x v="21"/>
    <d v="2024-07-10T00:00:00"/>
    <d v="2025-07-10T00:00:00"/>
    <s v="AMIR RAZA"/>
    <s v="SUZUKI-GS-150"/>
    <n v="9550"/>
    <n v="7802"/>
    <s v="30091541"/>
    <d v="2024-07-10T00:00:00"/>
    <s v="MOTORCYCLE  COMPREHENSIVE"/>
    <n v="382000"/>
    <n v="1248.32"/>
    <n v="78.02"/>
    <n v="500"/>
  </r>
  <r>
    <s v="KHI/HO/D/MO/MC COMP/P/92708/07/2024"/>
    <m/>
    <x v="11"/>
    <d v="2024-07-10T00:00:00"/>
    <d v="2025-07-10T00:00:00"/>
    <s v="SAMEE MUHAMMAD"/>
    <s v="SUZUKI-GD-110S"/>
    <n v="12320"/>
    <n v="10190"/>
    <s v="145439"/>
    <d v="2024-07-10T00:00:00"/>
    <s v="MOTORCYCLE  COMPREHENSIVE"/>
    <n v="352000"/>
    <n v="1630.4"/>
    <n v="101.9"/>
    <n v="500"/>
  </r>
  <r>
    <s v="KHI/HO/D/MO/MC COMP/P/92714/07/2024"/>
    <m/>
    <x v="6"/>
    <d v="2024-07-10T00:00:00"/>
    <d v="2025-07-10T00:00:00"/>
    <s v="Naveed Serwer"/>
    <s v="SUZUKI-GD-110S"/>
    <n v="8800"/>
    <n v="7155"/>
    <s v="144456"/>
    <d v="2024-07-10T00:00:00"/>
    <s v="MOTORCYCLE  COMPREHENSIVE"/>
    <n v="352000"/>
    <n v="1144.8"/>
    <n v="71.55"/>
    <n v="500"/>
  </r>
  <r>
    <s v="KHI/HO/D/MO/MC COMP/P/92717/07/2024"/>
    <m/>
    <x v="21"/>
    <d v="2024-07-10T00:00:00"/>
    <d v="2025-07-10T00:00:00"/>
    <s v="NOMAN IJAZ"/>
    <s v="SUZUKI-GS 150"/>
    <n v="9550"/>
    <n v="7802"/>
    <s v="30091859"/>
    <d v="2024-07-10T00:00:00"/>
    <s v="MOTORCYCLE  COMPREHENSIVE"/>
    <n v="382000"/>
    <n v="1248.32"/>
    <n v="78.02"/>
    <n v="500"/>
  </r>
  <r>
    <s v="KHI/HO/D/MO/MC COMP/P/92718/07/2024"/>
    <m/>
    <x v="6"/>
    <d v="2024-07-10T00:00:00"/>
    <d v="2025-07-10T00:00:00"/>
    <s v="Ahmad Raza"/>
    <s v="SUZUKI-GS 150"/>
    <n v="9550"/>
    <n v="7802"/>
    <s v="30091828"/>
    <d v="2024-07-10T00:00:00"/>
    <s v="MOTORCYCLE  COMPREHENSIVE"/>
    <n v="382000"/>
    <n v="1248.32"/>
    <n v="78.02"/>
    <n v="500"/>
  </r>
  <r>
    <s v="KHI/HO/D/MO/MC COMP/P/92726/07/2024"/>
    <m/>
    <x v="0"/>
    <d v="2024-07-10T00:00:00"/>
    <d v="2025-07-10T00:00:00"/>
    <s v="MOHIB AHMED"/>
    <s v="SUZUKI-GD-110S"/>
    <n v="12320"/>
    <n v="10190"/>
    <s v="145523"/>
    <d v="2024-07-10T00:00:00"/>
    <s v="MOTORCYCLE  COMPREHENSIVE"/>
    <n v="352000"/>
    <n v="1630.4"/>
    <n v="101.9"/>
    <n v="500"/>
  </r>
  <r>
    <s v="KHI/HO/D/MO/MC COMP/P/92727/07/2024"/>
    <m/>
    <x v="0"/>
    <d v="2025-07-11T00:00:00"/>
    <d v="2026-07-11T00:00:00"/>
    <s v="MOHIB AHMED"/>
    <s v="SUZUKI-GD-110S"/>
    <n v="12320"/>
    <n v="10190"/>
    <s v="145523"/>
    <d v="2024-07-10T00:00:00"/>
    <s v="MOTORCYCLE  COMPREHENSIVE"/>
    <n v="352000"/>
    <n v="1630.4"/>
    <n v="101.9"/>
    <n v="500"/>
  </r>
  <r>
    <s v="KHI/HO/D/MO/MC COMP/P/92729/07/2024"/>
    <m/>
    <x v="6"/>
    <d v="2024-07-10T00:00:00"/>
    <d v="2025-07-10T00:00:00"/>
    <s v="Irfan Akbar"/>
    <s v="SUZUKI-GD-110S"/>
    <n v="8800"/>
    <n v="7155"/>
    <s v="144847"/>
    <d v="2024-07-10T00:00:00"/>
    <s v="MOTORCYCLE  COMPREHENSIVE"/>
    <n v="352000"/>
    <n v="1144.8"/>
    <n v="71.55"/>
    <n v="500"/>
  </r>
  <r>
    <s v="KHI/HO/D/MO/MC COMP/P/92733/07/2024"/>
    <m/>
    <x v="6"/>
    <d v="2024-07-10T00:00:00"/>
    <d v="2025-07-10T00:00:00"/>
    <s v="Sadaqat Ali"/>
    <s v="SUZUKI-GS 150"/>
    <n v="9550"/>
    <n v="7802"/>
    <s v="30091817"/>
    <d v="2024-07-10T00:00:00"/>
    <s v="MOTORCYCLE  COMPREHENSIVE"/>
    <n v="382000"/>
    <n v="1248.32"/>
    <n v="78.02"/>
    <n v="500"/>
  </r>
  <r>
    <s v="KHI/HO/D/MO/MC COMP/P/92734/07/2024"/>
    <m/>
    <x v="19"/>
    <d v="2024-07-10T00:00:00"/>
    <d v="2025-07-10T00:00:00"/>
    <s v="SALEEM MUHAMMAD KHAN"/>
    <s v="SUZUKI-GD-110S"/>
    <n v="12320"/>
    <n v="10190"/>
    <s v="145760"/>
    <d v="2024-07-10T00:00:00"/>
    <s v="MOTORCYCLE  COMPREHENSIVE"/>
    <n v="352000"/>
    <n v="1630.4"/>
    <n v="101.9"/>
    <n v="500"/>
  </r>
  <r>
    <s v="KHI/HO/D/MO/MC COMP/P/92735/07/2024"/>
    <m/>
    <x v="19"/>
    <d v="2025-07-11T00:00:00"/>
    <d v="2026-07-11T00:00:00"/>
    <s v="SALEEM MUHAMMAD KHAN"/>
    <s v="SUZUKI-GD-110S"/>
    <n v="12320"/>
    <n v="10190"/>
    <s v="145760"/>
    <d v="2024-07-10T00:00:00"/>
    <s v="MOTORCYCLE  COMPREHENSIVE"/>
    <n v="352000"/>
    <n v="1630.4"/>
    <n v="101.9"/>
    <n v="500"/>
  </r>
  <r>
    <s v="KHI/HO/D/MO/MC COMP/P/92738/07/2024"/>
    <m/>
    <x v="4"/>
    <d v="2024-07-10T00:00:00"/>
    <d v="2025-07-10T00:00:00"/>
    <s v="ARSALAN"/>
    <s v="SUZUKI-GD-110S"/>
    <n v="12320"/>
    <n v="10190"/>
    <s v="145283"/>
    <d v="2024-07-10T00:00:00"/>
    <s v="MOTORCYCLE  COMPREHENSIVE"/>
    <n v="352000"/>
    <n v="1630.4"/>
    <n v="101.9"/>
    <n v="500"/>
  </r>
  <r>
    <s v="KHI/HO/D/MO/MC COMP/P/92742/07/2024"/>
    <m/>
    <x v="6"/>
    <d v="2024-07-10T00:00:00"/>
    <d v="2025-07-10T00:00:00"/>
    <s v="Hassan Hanif"/>
    <s v="SUZUKI-GD-110S"/>
    <n v="8800"/>
    <n v="7155"/>
    <s v="143745"/>
    <d v="2024-07-10T00:00:00"/>
    <s v="MOTORCYCLE  COMPREHENSIVE"/>
    <n v="352000"/>
    <n v="1144.8"/>
    <n v="71.55"/>
    <n v="500"/>
  </r>
  <r>
    <s v="KHI/HO/D/MO/MC COMP/P/92745/07/2024"/>
    <m/>
    <x v="0"/>
    <d v="2024-07-10T00:00:00"/>
    <d v="2025-07-10T00:00:00"/>
    <s v="MUHAMMAD KAMRAN SIDDIQUI"/>
    <s v="SUZUKI-GD-110S"/>
    <n v="12320"/>
    <n v="10190"/>
    <s v="145529"/>
    <d v="2024-07-10T00:00:00"/>
    <s v="MOTORCYCLE  COMPREHENSIVE"/>
    <n v="352000"/>
    <n v="1630.4"/>
    <n v="101.9"/>
    <n v="500"/>
  </r>
  <r>
    <s v="KHI/HO/D/MO/MC COMP/P/92762/07/2024"/>
    <m/>
    <x v="1"/>
    <d v="2024-07-10T00:00:00"/>
    <d v="2025-07-10T00:00:00"/>
    <s v="SYED HASAN TAHA"/>
    <s v="SUZUKI-GD-110S"/>
    <n v="12320"/>
    <n v="10190"/>
    <s v="144127"/>
    <d v="2024-07-10T00:00:00"/>
    <s v="MOTORCYCLE  COMPREHENSIVE"/>
    <n v="352000"/>
    <n v="1630.4"/>
    <n v="101.9"/>
    <n v="500"/>
  </r>
  <r>
    <s v="KHI/HO/D/MO/MC COMP/P/92764/07/2024"/>
    <m/>
    <x v="12"/>
    <d v="2024-07-10T00:00:00"/>
    <d v="2025-07-10T00:00:00"/>
    <s v="MUHAMMAD ZEESHAN"/>
    <s v="SUZUKI-GR150 EURO II"/>
    <n v="19145"/>
    <n v="16073"/>
    <s v="113375"/>
    <d v="2024-07-10T00:00:00"/>
    <s v="MOTORCYCLE  COMPREHENSIVE"/>
    <n v="547000"/>
    <n v="2571.6799999999998"/>
    <n v="160.72999999999999"/>
    <n v="500"/>
  </r>
  <r>
    <s v="KHI/HO/D/MO/MC COMP/P/92770/07/2024"/>
    <m/>
    <x v="12"/>
    <d v="2025-07-11T00:00:00"/>
    <d v="2026-07-11T00:00:00"/>
    <s v="MUHAMMAD ZEESHAN"/>
    <s v="SUZUKI-GR150 EURO II"/>
    <n v="19145"/>
    <n v="16073"/>
    <s v="113375"/>
    <d v="2024-07-10T00:00:00"/>
    <s v="MOTORCYCLE  COMPREHENSIVE"/>
    <n v="547000"/>
    <n v="2571.6799999999998"/>
    <n v="160.72999999999999"/>
    <n v="500"/>
  </r>
  <r>
    <s v="KHI/HO/D/MO/MC COMP/P/92773/07/2024"/>
    <m/>
    <x v="1"/>
    <d v="2025-07-11T00:00:00"/>
    <d v="2026-07-11T00:00:00"/>
    <s v="SYED HASAN TAHA"/>
    <s v="SUZUKI-GD-110S"/>
    <n v="12320"/>
    <n v="10190"/>
    <s v="144127"/>
    <d v="2024-07-10T00:00:00"/>
    <s v="MOTORCYCLE  COMPREHENSIVE"/>
    <n v="352000"/>
    <n v="1630.4"/>
    <n v="101.9"/>
    <n v="500"/>
  </r>
  <r>
    <s v="KHI/HO/D/MO/MC COMP/P/92775/07/2024"/>
    <m/>
    <x v="0"/>
    <d v="2025-07-11T00:00:00"/>
    <d v="2026-07-11T00:00:00"/>
    <s v="MUHAMMAD KAMRAN SIDDIQUI"/>
    <s v="SUZUKI-GD-110S"/>
    <n v="12320"/>
    <n v="10190"/>
    <s v="145529"/>
    <d v="2024-07-10T00:00:00"/>
    <s v="MOTORCYCLE  COMPREHENSIVE"/>
    <n v="352000"/>
    <n v="1630.4"/>
    <n v="101.9"/>
    <n v="500"/>
  </r>
  <r>
    <s v="KHI/HO/D/MO/MC COMP/P/92780/07/2024"/>
    <m/>
    <x v="2"/>
    <d v="2024-07-10T00:00:00"/>
    <d v="2025-07-10T00:00:00"/>
    <s v="MUHAMMAD ZAHID"/>
    <s v="SUZUKI-GD-110S"/>
    <n v="12320"/>
    <n v="10190"/>
    <s v="145580"/>
    <d v="2024-07-10T00:00:00"/>
    <s v="MOTORCYCLE  COMPREHENSIVE"/>
    <n v="352000"/>
    <n v="1630.4"/>
    <n v="101.9"/>
    <n v="500"/>
  </r>
  <r>
    <s v="KHI/HO/D/MO/MC COMP/P/92783/07/2024"/>
    <m/>
    <x v="18"/>
    <d v="2024-07-10T00:00:00"/>
    <d v="2025-07-10T00:00:00"/>
    <s v="WAQAS AHMED"/>
    <s v="SUZUKI-GD-110S"/>
    <n v="8800"/>
    <n v="7155"/>
    <s v="145785"/>
    <d v="2024-07-10T00:00:00"/>
    <s v="MOTORCYCLE  COMPREHENSIVE"/>
    <n v="352000"/>
    <n v="1144.8"/>
    <n v="71.55"/>
    <n v="500"/>
  </r>
  <r>
    <s v="KHI/HO/D/MO/MC COMP/P/92784/07/2024"/>
    <m/>
    <x v="1"/>
    <d v="2024-07-10T00:00:00"/>
    <d v="2025-07-10T00:00:00"/>
    <s v="IRFAN"/>
    <s v="SUZUKI-GD-110S"/>
    <n v="12320"/>
    <n v="10190"/>
    <s v="145399"/>
    <d v="2024-07-10T00:00:00"/>
    <s v="MOTORCYCLE  COMPREHENSIVE"/>
    <n v="352000"/>
    <n v="1630.4"/>
    <n v="101.9"/>
    <n v="500"/>
  </r>
  <r>
    <s v="KHI/HO/D/MO/MC COMP/P/92785/07/2024"/>
    <m/>
    <x v="1"/>
    <d v="2024-07-10T00:00:00"/>
    <d v="2025-07-10T00:00:00"/>
    <s v="SYED LAIQ ALI"/>
    <s v="SUZUKI-GD-110S"/>
    <n v="12320"/>
    <n v="10190"/>
    <s v="145277"/>
    <d v="2024-07-10T00:00:00"/>
    <s v="MOTORCYCLE  COMPREHENSIVE"/>
    <n v="352000"/>
    <n v="1630.4"/>
    <n v="101.9"/>
    <n v="500"/>
  </r>
  <r>
    <s v="KHI/HO/D/MO/MC COMP/P/92786/07/2024"/>
    <m/>
    <x v="18"/>
    <d v="2024-07-10T00:00:00"/>
    <d v="2025-07-10T00:00:00"/>
    <s v="AAFAQ AHMAD KHAN"/>
    <s v="SUZUKI-GS 150"/>
    <n v="9550"/>
    <n v="7802"/>
    <s v="30091233"/>
    <d v="2024-07-10T00:00:00"/>
    <s v="MOTORCYCLE  COMPREHENSIVE"/>
    <n v="382000"/>
    <n v="1248.32"/>
    <n v="78.02"/>
    <n v="500"/>
  </r>
  <r>
    <s v="KHI/HO/D/MO/MC COMP/P/92789/07/2024"/>
    <m/>
    <x v="18"/>
    <d v="2024-07-10T00:00:00"/>
    <d v="2025-07-10T00:00:00"/>
    <s v="MUHAMMAD ADNAN SHAHZAD"/>
    <s v="SUZUKI-GD-110S"/>
    <n v="8800"/>
    <n v="7155"/>
    <s v="145787"/>
    <d v="2024-07-10T00:00:00"/>
    <s v="MOTORCYCLE  COMPREHENSIVE"/>
    <n v="352000"/>
    <n v="1144.8"/>
    <n v="71.55"/>
    <n v="500"/>
  </r>
  <r>
    <s v="KHI/HO/D/MO/MC COMP/P/92790/07/2024"/>
    <m/>
    <x v="1"/>
    <d v="2024-07-10T00:00:00"/>
    <d v="2025-07-10T00:00:00"/>
    <s v="SHAHZAD ALI"/>
    <s v="SUZUKI-GS 150"/>
    <n v="13370"/>
    <n v="11095"/>
    <s v="30091891"/>
    <d v="2024-07-10T00:00:00"/>
    <s v="MOTORCYCLE  COMPREHENSIVE"/>
    <n v="382000"/>
    <n v="1775.2"/>
    <n v="110.95"/>
    <n v="500"/>
  </r>
  <r>
    <s v="KHI/HO/D/MO/MC COMP/P/92791/07/2024"/>
    <m/>
    <x v="1"/>
    <d v="2025-07-11T00:00:00"/>
    <d v="2026-07-11T00:00:00"/>
    <s v="SHAHZAD ALI"/>
    <s v="SUZUKI-GS 150"/>
    <n v="13370"/>
    <n v="11095"/>
    <s v="30091891"/>
    <d v="2024-07-10T00:00:00"/>
    <s v="MOTORCYCLE  COMPREHENSIVE"/>
    <n v="382000"/>
    <n v="1775.2"/>
    <n v="110.95"/>
    <n v="500"/>
  </r>
  <r>
    <s v="KHI/HO/D/MO/MC COMP/P/92792/07/2024"/>
    <m/>
    <x v="18"/>
    <d v="2024-07-10T00:00:00"/>
    <d v="2025-07-10T00:00:00"/>
    <s v="RASHID MEHMOOD"/>
    <s v="SUZUKI-GD-110S"/>
    <n v="8800"/>
    <n v="7155"/>
    <s v="144955"/>
    <d v="2024-07-10T00:00:00"/>
    <s v="MOTORCYCLE  COMPREHENSIVE"/>
    <n v="352000"/>
    <n v="1144.8"/>
    <n v="71.55"/>
    <n v="500"/>
  </r>
  <r>
    <s v="KHI/HO/D/MO/MC COMP/P/92793/07/2024"/>
    <m/>
    <x v="1"/>
    <d v="2024-07-10T00:00:00"/>
    <d v="2025-07-10T00:00:00"/>
    <s v="MUHAMMAD AHMED IQBAL SHEIKH"/>
    <s v="SUZUKI-GS 150"/>
    <n v="13370"/>
    <n v="11095"/>
    <s v="30091757"/>
    <d v="2024-07-10T00:00:00"/>
    <s v="MOTORCYCLE  COMPREHENSIVE"/>
    <n v="382000"/>
    <n v="1775.2"/>
    <n v="110.95"/>
    <n v="500"/>
  </r>
  <r>
    <s v="KHI/HO/D/MO/MC COMP/P/92794/07/2024"/>
    <m/>
    <x v="1"/>
    <d v="2025-07-11T00:00:00"/>
    <d v="2026-07-11T00:00:00"/>
    <s v="MUHAMMAD AHMED IQBAL SHEIKH"/>
    <s v="SUZUKI-GS 150"/>
    <n v="13370"/>
    <n v="11095"/>
    <s v="30091757"/>
    <d v="2024-07-10T00:00:00"/>
    <s v="MOTORCYCLE  COMPREHENSIVE"/>
    <n v="382000"/>
    <n v="1775.2"/>
    <n v="110.95"/>
    <n v="500"/>
  </r>
  <r>
    <s v="KHI/HO/D/MO/MC COMP/P/92795/07/2024"/>
    <m/>
    <x v="1"/>
    <d v="2024-07-10T00:00:00"/>
    <d v="2025-07-10T00:00:00"/>
    <s v="Muhammad Sadiq"/>
    <s v="SUZUKI-GS 150"/>
    <n v="13370"/>
    <n v="11095"/>
    <s v="30091886"/>
    <d v="2024-07-10T00:00:00"/>
    <s v="MOTORCYCLE  COMPREHENSIVE"/>
    <n v="382000"/>
    <n v="1775.2"/>
    <n v="110.95"/>
    <n v="500"/>
  </r>
  <r>
    <s v="KHI/HO/D/MO/MC COMP/P/92796/07/2024"/>
    <m/>
    <x v="1"/>
    <d v="2025-07-11T00:00:00"/>
    <d v="2026-07-11T00:00:00"/>
    <s v="Muhammad Sadiq"/>
    <s v="SUZUKI-GS 150"/>
    <n v="13370"/>
    <n v="11095"/>
    <s v="30091886"/>
    <d v="2024-07-10T00:00:00"/>
    <s v="MOTORCYCLE  COMPREHENSIVE"/>
    <n v="382000"/>
    <n v="1775.2"/>
    <n v="110.95"/>
    <n v="500"/>
  </r>
  <r>
    <s v="KHI/HO/D/MO/MC COMP/P/92811/07/2024"/>
    <m/>
    <x v="15"/>
    <d v="2024-07-11T00:00:00"/>
    <d v="2025-07-11T00:00:00"/>
    <s v="Mr. Hamza Sohail"/>
    <s v="SUZUKI-GD-110S"/>
    <n v="8800"/>
    <n v="7155"/>
    <s v="144929"/>
    <d v="2024-07-11T00:00:00"/>
    <s v="MOTORCYCLE  COMPREHENSIVE"/>
    <n v="352001"/>
    <n v="1144.8"/>
    <n v="71.55"/>
    <n v="500"/>
  </r>
  <r>
    <s v="KHI/HO/D/MO/MC COMP/P/92813/07/2024"/>
    <m/>
    <x v="15"/>
    <d v="2024-07-11T00:00:00"/>
    <d v="2025-07-11T00:00:00"/>
    <s v="Mr. Habib Ullah"/>
    <s v="SUZUKI-GD-110S"/>
    <n v="8800"/>
    <n v="7155"/>
    <s v="143903"/>
    <d v="2024-07-11T00:00:00"/>
    <s v="MOTORCYCLE  COMPREHENSIVE"/>
    <n v="352001"/>
    <n v="1144.8"/>
    <n v="71.55"/>
    <n v="500"/>
  </r>
  <r>
    <s v="KHI/HO/D/MO/MC COMP/P/92814/07/2024"/>
    <m/>
    <x v="15"/>
    <d v="2024-07-11T00:00:00"/>
    <d v="2025-07-11T00:00:00"/>
    <s v="Mr. Muhammad Amin"/>
    <s v="SUZUKI-GD-110S"/>
    <n v="8800"/>
    <n v="7155"/>
    <s v="145339"/>
    <d v="2024-07-11T00:00:00"/>
    <s v="MOTORCYCLE  COMPREHENSIVE"/>
    <n v="352001"/>
    <n v="1144.8"/>
    <n v="71.55"/>
    <n v="500"/>
  </r>
  <r>
    <s v="KHI/HO/D/MO/MC COMP/P/92816/07/2024"/>
    <m/>
    <x v="9"/>
    <d v="2024-07-11T00:00:00"/>
    <d v="2025-07-11T00:00:00"/>
    <s v="Mr. Abu Bakar Siddique"/>
    <s v="SUZUKI-GD-110S"/>
    <n v="8800"/>
    <n v="7155"/>
    <s v="143870"/>
    <d v="2024-07-11T00:00:00"/>
    <s v="MOTORCYCLE  COMPREHENSIVE"/>
    <n v="352001"/>
    <n v="1144.8"/>
    <n v="71.55"/>
    <n v="500"/>
  </r>
  <r>
    <s v="KHI/HO/D/MO/MC COMP/P/92818/07/2024"/>
    <m/>
    <x v="18"/>
    <d v="2024-07-11T00:00:00"/>
    <d v="2025-07-11T00:00:00"/>
    <s v="SHAHID AKRAM"/>
    <s v="SUZUKI-GR150 EURO II"/>
    <n v="13675"/>
    <n v="11358"/>
    <s v="113205"/>
    <d v="2024-07-11T00:00:00"/>
    <s v="MOTORCYCLE  COMPREHENSIVE"/>
    <n v="547000"/>
    <n v="1817.28"/>
    <n v="113.58"/>
    <n v="500"/>
  </r>
  <r>
    <s v="KHI/HO/D/MO/MC COMP/P/92821/07/2024"/>
    <m/>
    <x v="20"/>
    <d v="2024-07-11T00:00:00"/>
    <d v="2025-07-11T00:00:00"/>
    <s v="Mr. Waqar Hassan"/>
    <s v="SUZUKI-GD-110S"/>
    <n v="8800"/>
    <n v="7155"/>
    <s v="144467"/>
    <d v="2024-07-11T00:00:00"/>
    <s v="MOTORCYCLE  COMPREHENSIVE"/>
    <n v="352001"/>
    <n v="1144.8"/>
    <n v="71.55"/>
    <n v="500"/>
  </r>
  <r>
    <s v="KHI/HO/D/MO/MC COMP/P/92823/07/2024"/>
    <m/>
    <x v="1"/>
    <d v="2024-07-11T00:00:00"/>
    <d v="2025-07-11T00:00:00"/>
    <s v="MUHAMMAD SAMI"/>
    <s v="SUZUKI-GD-110S"/>
    <n v="12320"/>
    <n v="10190"/>
    <s v="144556"/>
    <d v="2024-07-11T00:00:00"/>
    <s v="MOTORCYCLE  COMPREHENSIVE"/>
    <n v="352000"/>
    <n v="1630.4"/>
    <n v="101.9"/>
    <n v="500"/>
  </r>
  <r>
    <s v="KHI/HO/D/MO/MC COMP/P/92824/07/2024"/>
    <m/>
    <x v="1"/>
    <d v="2025-07-12T00:00:00"/>
    <d v="2026-07-12T00:00:00"/>
    <s v="MUHAMMAD SAMI"/>
    <s v="SUZUKI-GD-110S"/>
    <n v="12320"/>
    <n v="10190"/>
    <s v="144556"/>
    <d v="2024-07-11T00:00:00"/>
    <s v="MOTORCYCLE  COMPREHENSIVE"/>
    <n v="352000"/>
    <n v="1630.4"/>
    <n v="101.9"/>
    <n v="500"/>
  </r>
  <r>
    <s v="KHI/HO/D/MO/MC COMP/P/92826/07/2024"/>
    <m/>
    <x v="4"/>
    <d v="2024-07-11T00:00:00"/>
    <d v="2025-07-11T00:00:00"/>
    <s v="DANISH"/>
    <s v="SUZUKI-GD-110S"/>
    <n v="12320"/>
    <n v="10190"/>
    <s v="145133"/>
    <d v="2024-07-11T00:00:00"/>
    <s v="MOTORCYCLE  COMPREHENSIVE"/>
    <n v="352000"/>
    <n v="1630.4"/>
    <n v="101.9"/>
    <n v="500"/>
  </r>
  <r>
    <s v="KHI/HO/D/MO/MC COMP/P/92828/07/2024"/>
    <m/>
    <x v="20"/>
    <d v="2024-07-11T00:00:00"/>
    <d v="2025-07-11T00:00:00"/>
    <s v="Muhammad Naseem Butt"/>
    <s v="SUZUKI-GD-110S"/>
    <n v="8800"/>
    <n v="7155"/>
    <s v="145191"/>
    <d v="2024-07-11T00:00:00"/>
    <s v="MOTORCYCLE  COMPREHENSIVE"/>
    <n v="352001"/>
    <n v="1144.8"/>
    <n v="71.55"/>
    <n v="500"/>
  </r>
  <r>
    <s v="KHI/HO/D/MO/MC COMP/P/92838/07/2024"/>
    <m/>
    <x v="1"/>
    <d v="2024-07-11T00:00:00"/>
    <d v="2025-07-11T00:00:00"/>
    <s v="TANVEER AHMED ENTERPRISES"/>
    <s v="SUZUKI-GR150 EURO II"/>
    <n v="19145"/>
    <n v="16073"/>
    <s v="113185"/>
    <d v="2024-07-11T00:00:00"/>
    <s v="MOTORCYCLE  COMPREHENSIVE"/>
    <n v="547000"/>
    <n v="2571.6799999999998"/>
    <n v="160.72999999999999"/>
    <n v="500"/>
  </r>
  <r>
    <s v="KHI/HO/D/MO/MC COMP/P/92841/07/2024"/>
    <m/>
    <x v="21"/>
    <d v="2024-07-11T00:00:00"/>
    <d v="2025-07-11T00:00:00"/>
    <s v="MUHAMMAD USMAN"/>
    <s v="SUZUKI-GS 150"/>
    <n v="9550"/>
    <n v="7802"/>
    <s v="30091415"/>
    <d v="2024-07-11T00:00:00"/>
    <s v="MOTORCYCLE  COMPREHENSIVE"/>
    <n v="382000"/>
    <n v="1248.32"/>
    <n v="78.02"/>
    <n v="500"/>
  </r>
  <r>
    <s v="KHI/HO/D/MO/MC COMP/P/92843/07/2024"/>
    <m/>
    <x v="9"/>
    <d v="2024-07-11T00:00:00"/>
    <d v="2025-07-11T00:00:00"/>
    <s v="Mr. Muhammad Ali"/>
    <s v="SUZUKI-GR150 EURO II"/>
    <n v="13675"/>
    <n v="11358"/>
    <s v="113206"/>
    <d v="2024-07-11T00:00:00"/>
    <s v="MOTORCYCLE  COMPREHENSIVE"/>
    <n v="547001"/>
    <n v="1817.28"/>
    <n v="113.58"/>
    <n v="500"/>
  </r>
  <r>
    <s v="KHI/HO/D/MO/MC COMP/P/92844/07/2024"/>
    <m/>
    <x v="21"/>
    <d v="2024-07-11T00:00:00"/>
    <d v="2025-07-11T00:00:00"/>
    <s v="HASSAN RAZA AHMAD"/>
    <s v="SUZUKI-GD-110S"/>
    <n v="8800"/>
    <n v="7155"/>
    <s v="144874"/>
    <d v="2024-07-11T00:00:00"/>
    <s v="MOTORCYCLE  COMPREHENSIVE"/>
    <n v="352000"/>
    <n v="1144.8"/>
    <n v="71.55"/>
    <n v="500"/>
  </r>
  <r>
    <s v="KHI/HO/D/MO/MC COMP/P/92845/07/2024"/>
    <m/>
    <x v="21"/>
    <d v="2024-07-11T00:00:00"/>
    <d v="2025-07-11T00:00:00"/>
    <s v="MUHAMMAD KASHIF KHAN"/>
    <s v="SUZUKI-GD-110S"/>
    <n v="8800"/>
    <n v="7155"/>
    <s v="144408"/>
    <d v="2024-07-11T00:00:00"/>
    <s v="MOTORCYCLE  COMPREHENSIVE"/>
    <n v="352000"/>
    <n v="1144.8"/>
    <n v="71.55"/>
    <n v="500"/>
  </r>
  <r>
    <s v="KHI/HO/D/MO/MC COMP/P/92846/07/2024"/>
    <m/>
    <x v="9"/>
    <d v="2024-07-11T00:00:00"/>
    <d v="2025-07-11T00:00:00"/>
    <s v="Mr. Muhammad Awais"/>
    <s v="SUZUKI-GS 150"/>
    <n v="9550"/>
    <n v="7802"/>
    <s v="30091838"/>
    <d v="2024-07-11T00:00:00"/>
    <s v="MOTORCYCLE  COMPREHENSIVE"/>
    <n v="382001"/>
    <n v="1248.32"/>
    <n v="78.02"/>
    <n v="500"/>
  </r>
  <r>
    <s v="KHI/HO/D/MO/MC COMP/P/92847/07/2024"/>
    <m/>
    <x v="21"/>
    <d v="2024-07-11T00:00:00"/>
    <d v="2025-07-11T00:00:00"/>
    <s v="HASHIR ZAHEER"/>
    <s v="SUZUKI-GSX 125"/>
    <n v="12475"/>
    <n v="10323"/>
    <s v="23102478"/>
    <d v="2024-07-11T00:00:00"/>
    <s v="MOTORCYCLE  COMPREHENSIVE"/>
    <n v="499000"/>
    <n v="1651.68"/>
    <n v="103.23"/>
    <n v="500"/>
  </r>
  <r>
    <s v="KHI/HO/D/MO/MC COMP/P/92850/07/2024"/>
    <m/>
    <x v="4"/>
    <d v="2024-07-11T00:00:00"/>
    <d v="2025-07-11T00:00:00"/>
    <s v="ZEESHAN ALI"/>
    <s v="SUZUKI-GD-110S"/>
    <n v="12320"/>
    <n v="10190"/>
    <s v="145824"/>
    <d v="2024-07-11T00:00:00"/>
    <s v="MOTORCYCLE  COMPREHENSIVE"/>
    <n v="352000"/>
    <n v="1630.4"/>
    <n v="101.9"/>
    <n v="500"/>
  </r>
  <r>
    <s v="KHI/HO/D/MO/MC COMP/P/92851/07/2024"/>
    <m/>
    <x v="4"/>
    <d v="2025-07-12T00:00:00"/>
    <d v="2026-07-12T00:00:00"/>
    <s v="ZEESHAN ALI"/>
    <s v="SUZUKI-GD-110S"/>
    <n v="12320"/>
    <n v="10190"/>
    <s v="145824"/>
    <d v="2024-07-11T00:00:00"/>
    <s v="MOTORCYCLE  COMPREHENSIVE"/>
    <n v="352000"/>
    <n v="1630.4"/>
    <n v="101.9"/>
    <n v="500"/>
  </r>
  <r>
    <s v="KHI/HO/D/MO/MC COMP/P/92852/07/2024"/>
    <m/>
    <x v="4"/>
    <d v="2024-07-11T00:00:00"/>
    <d v="2025-07-11T00:00:00"/>
    <s v="MAZHAR HAIDER"/>
    <s v="SUZUKI-GS 150"/>
    <n v="13370"/>
    <n v="11095"/>
    <s v="30091880"/>
    <d v="2024-07-11T00:00:00"/>
    <s v="MOTORCYCLE  COMPREHENSIVE"/>
    <n v="382000"/>
    <n v="1775.2"/>
    <n v="110.95"/>
    <n v="500"/>
  </r>
  <r>
    <s v="KHI/HO/D/MO/MC COMP/P/92857/07/2024"/>
    <m/>
    <x v="1"/>
    <d v="2024-07-11T00:00:00"/>
    <d v="2025-07-11T00:00:00"/>
    <s v="DANISH LAIQUE"/>
    <s v="SUZUKI-GS 150"/>
    <n v="13370"/>
    <n v="11095"/>
    <s v="30091911"/>
    <d v="2024-07-11T00:00:00"/>
    <s v="MOTORCYCLE  COMPREHENSIVE"/>
    <n v="382000"/>
    <n v="1775.2"/>
    <n v="110.95"/>
    <n v="500"/>
  </r>
  <r>
    <s v="KHI/HO/D/MO/MC COMP/P/92859/07/2024"/>
    <m/>
    <x v="21"/>
    <d v="2024-07-11T00:00:00"/>
    <d v="2025-07-11T00:00:00"/>
    <s v="SHEES AHMAD"/>
    <s v="SUZUKI-GSX 125"/>
    <n v="12475"/>
    <n v="10323"/>
    <s v="23100406"/>
    <d v="2024-07-11T00:00:00"/>
    <s v="MOTORCYCLE  COMPREHENSIVE"/>
    <n v="499000"/>
    <n v="1651.68"/>
    <n v="103.23"/>
    <n v="500"/>
  </r>
  <r>
    <s v="KHI/HO/D/MO/MC COMP/P/92861/07/2024"/>
    <m/>
    <x v="21"/>
    <d v="2024-07-11T00:00:00"/>
    <d v="2025-07-11T00:00:00"/>
    <s v="SOHAIB ZAFAR"/>
    <s v="SUZUKI-GS 150"/>
    <n v="9550"/>
    <n v="7802"/>
    <s v="30091749"/>
    <d v="2024-07-11T00:00:00"/>
    <s v="MOTORCYCLE  COMPREHENSIVE"/>
    <n v="382000"/>
    <n v="1248.32"/>
    <n v="78.02"/>
    <n v="500"/>
  </r>
  <r>
    <s v="KHI/HO/D/MO/MC COMP/P/92865/07/2024"/>
    <m/>
    <x v="21"/>
    <d v="2024-07-11T00:00:00"/>
    <d v="2025-07-11T00:00:00"/>
    <s v="SHAHZAD SABIR"/>
    <s v="SUZUKI-GS-150"/>
    <n v="9550"/>
    <n v="7802"/>
    <s v="30091869"/>
    <d v="2024-07-11T00:00:00"/>
    <s v="MOTORCYCLE  COMPREHENSIVE"/>
    <n v="382000"/>
    <n v="1248.32"/>
    <n v="78.02"/>
    <n v="500"/>
  </r>
  <r>
    <s v="KHI/HO/D/MO/MC COMP/P/92867/07/2024"/>
    <m/>
    <x v="4"/>
    <d v="2024-07-11T00:00:00"/>
    <d v="2025-07-11T00:00:00"/>
    <s v="MUHAMMAD SHUJAAT HUSSAIN"/>
    <s v="SUZUKI-GR150 EURO II"/>
    <n v="13615"/>
    <n v="11306"/>
    <s v="110777"/>
    <d v="2024-07-11T00:00:00"/>
    <s v="MOTORCYCLE  COMPREHENSIVE"/>
    <n v="389000"/>
    <n v="1808.96"/>
    <n v="113.06"/>
    <n v="500"/>
  </r>
  <r>
    <s v="KHI/HO/D/MO/MC COMP/P/92869/07/2024"/>
    <m/>
    <x v="21"/>
    <d v="2024-07-11T00:00:00"/>
    <d v="2025-07-11T00:00:00"/>
    <s v="Muhammad Hassan Masood"/>
    <s v="SUZUKI-GS 150"/>
    <n v="9550"/>
    <n v="7802"/>
    <s v="30091598"/>
    <d v="2024-07-11T00:00:00"/>
    <s v="MOTORCYCLE  COMPREHENSIVE"/>
    <n v="382000"/>
    <n v="1248.32"/>
    <n v="78.02"/>
    <n v="500"/>
  </r>
  <r>
    <s v="KHI/HO/D/MO/MC COMP/P/92877/07/2024"/>
    <m/>
    <x v="3"/>
    <d v="2024-07-11T00:00:00"/>
    <d v="2025-07-11T00:00:00"/>
    <s v="Faiz Muhammad"/>
    <s v="SUZUKI-GD-110S"/>
    <n v="12320"/>
    <n v="10190"/>
    <s v="145005"/>
    <d v="2024-07-11T00:00:00"/>
    <s v="MOTORCYCLE  COMPREHENSIVE"/>
    <n v="352000"/>
    <n v="1630.4"/>
    <n v="101.9"/>
    <n v="500"/>
  </r>
  <r>
    <s v="KHI/HO/D/MO/MC COMP/P/92878/07/2024"/>
    <m/>
    <x v="3"/>
    <d v="2024-07-11T00:00:00"/>
    <d v="2025-07-11T00:00:00"/>
    <s v="Muhammad Zubair Soomro"/>
    <s v="SUZUKI-GS 150"/>
    <n v="13370"/>
    <n v="11095"/>
    <s v="30091818"/>
    <d v="2024-07-11T00:00:00"/>
    <s v="MOTORCYCLE  COMPREHENSIVE"/>
    <n v="382000"/>
    <n v="1775.2"/>
    <n v="110.95"/>
    <n v="500"/>
  </r>
  <r>
    <s v="KHI/HO/D/MO/MC COMP/P/92879/07/2024"/>
    <m/>
    <x v="3"/>
    <d v="2024-07-11T00:00:00"/>
    <d v="2025-07-11T00:00:00"/>
    <s v="Muhammad Zubair"/>
    <s v="SUZUKI-GD-110S"/>
    <n v="12320"/>
    <n v="10190"/>
    <s v="144606"/>
    <d v="2024-07-11T00:00:00"/>
    <s v="MOTORCYCLE  COMPREHENSIVE"/>
    <n v="352000"/>
    <n v="1630.4"/>
    <n v="101.9"/>
    <n v="500"/>
  </r>
  <r>
    <s v="KHI/HO/D/MO/MC COMP/P/92880/07/2024"/>
    <m/>
    <x v="7"/>
    <d v="2024-07-11T00:00:00"/>
    <d v="2025-07-11T00:00:00"/>
    <s v="MASHHOOD"/>
    <s v="SUZUKI-GD-110S"/>
    <n v="12320"/>
    <n v="10190"/>
    <s v="145040"/>
    <d v="2024-07-11T00:00:00"/>
    <s v="MOTORCYCLE  COMPREHENSIVE"/>
    <n v="352000"/>
    <n v="1630.4"/>
    <n v="101.9"/>
    <n v="500"/>
  </r>
  <r>
    <s v="KHI/HO/D/MO/MC COMP/P/92881/07/2024"/>
    <m/>
    <x v="7"/>
    <d v="2025-07-12T00:00:00"/>
    <d v="2026-07-12T00:00:00"/>
    <s v="MASHHOOD"/>
    <s v="SUZUKI-GD-110S"/>
    <n v="12320"/>
    <n v="10190"/>
    <s v="145040"/>
    <d v="2024-07-11T00:00:00"/>
    <s v="MOTORCYCLE  COMPREHENSIVE"/>
    <n v="352000"/>
    <n v="1630.4"/>
    <n v="101.9"/>
    <n v="500"/>
  </r>
  <r>
    <s v="KHI/HO/D/MO/MC COMP/P/92883/07/2024"/>
    <m/>
    <x v="7"/>
    <d v="2024-07-11T00:00:00"/>
    <d v="2025-07-11T00:00:00"/>
    <s v="MOHID AMIN JANGDA"/>
    <s v="SUZUKI-GD-110S"/>
    <n v="12320"/>
    <n v="10190"/>
    <s v="144291"/>
    <d v="2024-07-11T00:00:00"/>
    <s v="MOTORCYCLE  COMPREHENSIVE"/>
    <n v="352000"/>
    <n v="1630.4"/>
    <n v="101.9"/>
    <n v="500"/>
  </r>
  <r>
    <s v="KHI/HO/D/MO/MC COMP/P/92884/07/2024"/>
    <m/>
    <x v="7"/>
    <d v="2025-07-12T00:00:00"/>
    <d v="2026-07-12T00:00:00"/>
    <s v="MOHID AMIN JANGDA"/>
    <s v="SUZUKI-GD-110S"/>
    <n v="12320"/>
    <n v="10190"/>
    <s v="144291"/>
    <d v="2024-07-11T00:00:00"/>
    <s v="MOTORCYCLE  COMPREHENSIVE"/>
    <n v="352000"/>
    <n v="1630.4"/>
    <n v="101.9"/>
    <n v="500"/>
  </r>
  <r>
    <s v="KHI/HO/D/MO/MC COMP/P/92885/07/2024"/>
    <m/>
    <x v="7"/>
    <d v="2024-07-11T00:00:00"/>
    <d v="2025-07-11T00:00:00"/>
    <s v="EMAN MAQSOOD"/>
    <s v="SUZUKI-GD-110S"/>
    <n v="12320"/>
    <n v="10190"/>
    <s v="145590"/>
    <d v="2024-07-11T00:00:00"/>
    <s v="MOTORCYCLE  COMPREHENSIVE"/>
    <n v="352000"/>
    <n v="1630.4"/>
    <n v="101.9"/>
    <n v="500"/>
  </r>
  <r>
    <s v="KHI/HO/D/MO/MC COMP/P/92886/07/2024"/>
    <m/>
    <x v="7"/>
    <d v="2024-07-11T00:00:00"/>
    <d v="2025-07-11T00:00:00"/>
    <s v="MUHAMMAD SHAHID"/>
    <s v="SUZUKI-GD-110S"/>
    <n v="12320"/>
    <n v="10190"/>
    <s v="143555"/>
    <d v="2024-07-11T00:00:00"/>
    <s v="MOTORCYCLE  COMPREHENSIVE"/>
    <n v="352000"/>
    <n v="1630.4"/>
    <n v="101.9"/>
    <n v="500"/>
  </r>
  <r>
    <s v="KHI/HO/D/MO/MC COMP/P/92887/07/2024"/>
    <m/>
    <x v="7"/>
    <d v="2025-07-12T00:00:00"/>
    <d v="2026-07-12T00:00:00"/>
    <s v="MUHAMMAD SHAHID"/>
    <s v="SUZUKI-GD-110S"/>
    <n v="12320"/>
    <n v="10190"/>
    <s v="143555"/>
    <d v="2024-07-11T00:00:00"/>
    <s v="MOTORCYCLE  COMPREHENSIVE"/>
    <n v="352000"/>
    <n v="1630.4"/>
    <n v="101.9"/>
    <n v="500"/>
  </r>
  <r>
    <s v="KHI/HO/D/MO/MC COMP/P/92888/07/2024"/>
    <m/>
    <x v="7"/>
    <d v="2024-07-11T00:00:00"/>
    <d v="2025-07-11T00:00:00"/>
    <s v="SALEEM ULLAH KHAN"/>
    <s v="SUZUKI-GD-110S"/>
    <n v="12320"/>
    <n v="10190"/>
    <s v="145539"/>
    <d v="2024-07-11T00:00:00"/>
    <s v="MOTORCYCLE  COMPREHENSIVE"/>
    <n v="352000"/>
    <n v="1630.4"/>
    <n v="101.9"/>
    <n v="500"/>
  </r>
  <r>
    <s v="KHI/HO/D/MO/MC COMP/P/92889/07/2024"/>
    <m/>
    <x v="7"/>
    <d v="2024-07-11T00:00:00"/>
    <d v="2025-07-11T00:00:00"/>
    <s v="S ASIF ALI"/>
    <s v="SUZUKI-GR150 EURO II"/>
    <n v="19145"/>
    <n v="16073"/>
    <s v="113276"/>
    <d v="2024-07-11T00:00:00"/>
    <s v="MOTORCYCLE  COMPREHENSIVE"/>
    <n v="547000"/>
    <n v="2571.6799999999998"/>
    <n v="160.72999999999999"/>
    <n v="500"/>
  </r>
  <r>
    <s v="KHI/HO/D/MO/MC COMP/P/92890/07/2024"/>
    <m/>
    <x v="7"/>
    <d v="2025-07-12T00:00:00"/>
    <d v="2026-07-12T00:00:00"/>
    <s v="S ASIF ALI"/>
    <s v="SUZUKI-GR150 EURO II"/>
    <n v="19145"/>
    <n v="16073"/>
    <s v="113276"/>
    <d v="2024-07-11T00:00:00"/>
    <s v="MOTORCYCLE  COMPREHENSIVE"/>
    <n v="547000"/>
    <n v="2571.6799999999998"/>
    <n v="160.72999999999999"/>
    <n v="500"/>
  </r>
  <r>
    <s v="KHI/HO/D/MO/MC COMP/P/92891/07/2024"/>
    <m/>
    <x v="7"/>
    <d v="2024-07-11T00:00:00"/>
    <d v="2025-07-11T00:00:00"/>
    <s v="MUHAMMAD SHOAIB"/>
    <s v="SUZUKI-GD-110S"/>
    <n v="12320"/>
    <n v="10190"/>
    <s v="140271"/>
    <d v="2024-07-11T00:00:00"/>
    <s v="MOTORCYCLE  COMPREHENSIVE"/>
    <n v="352000"/>
    <n v="1630.4"/>
    <n v="101.9"/>
    <n v="500"/>
  </r>
  <r>
    <s v="KHI/HO/D/MO/MC COMP/P/92892/07/2024"/>
    <m/>
    <x v="7"/>
    <d v="2024-07-11T00:00:00"/>
    <d v="2025-07-11T00:00:00"/>
    <s v="MUSTAFA"/>
    <s v="SUZUKI-GS 150"/>
    <n v="13370"/>
    <n v="11095"/>
    <s v="30091732"/>
    <d v="2024-07-11T00:00:00"/>
    <s v="MOTORCYCLE  COMPREHENSIVE"/>
    <n v="382000"/>
    <n v="1775.2"/>
    <n v="110.95"/>
    <n v="500"/>
  </r>
  <r>
    <s v="KHI/HO/D/MO/MC COMP/P/92893/07/2024"/>
    <m/>
    <x v="7"/>
    <d v="2025-07-12T00:00:00"/>
    <d v="2026-07-12T00:00:00"/>
    <s v="MUSTAFA"/>
    <s v="SUZUKI-GS 150"/>
    <n v="13370"/>
    <n v="11095"/>
    <s v="30091732"/>
    <d v="2024-07-11T00:00:00"/>
    <s v="MOTORCYCLE  COMPREHENSIVE"/>
    <n v="382000"/>
    <n v="1775.2"/>
    <n v="110.95"/>
    <n v="500"/>
  </r>
  <r>
    <s v="KHI/HO/D/MO/MC COMP/P/92894/07/2024"/>
    <m/>
    <x v="7"/>
    <d v="2024-07-11T00:00:00"/>
    <d v="2025-07-11T00:00:00"/>
    <s v="NAWAB ALI KHAN"/>
    <s v="SUZUKI-GD-110S"/>
    <n v="12320"/>
    <n v="10190"/>
    <s v="141481"/>
    <d v="2024-07-11T00:00:00"/>
    <s v="MOTORCYCLE  COMPREHENSIVE"/>
    <n v="352000"/>
    <n v="1630.4"/>
    <n v="101.9"/>
    <n v="500"/>
  </r>
  <r>
    <s v="KHI/HO/D/MO/MC COMP/P/92895/07/2024"/>
    <m/>
    <x v="7"/>
    <d v="2025-07-12T00:00:00"/>
    <d v="2026-07-12T00:00:00"/>
    <s v="NAWAB ALI KHAN"/>
    <s v="SUZUKI-GD-110S"/>
    <n v="12320"/>
    <n v="10190"/>
    <s v="141481"/>
    <d v="2024-07-11T00:00:00"/>
    <s v="MOTORCYCLE  COMPREHENSIVE"/>
    <n v="352000"/>
    <n v="1630.4"/>
    <n v="101.9"/>
    <n v="500"/>
  </r>
  <r>
    <s v="KHI/HO/D/MO/MC COMP/P/92896/07/2024"/>
    <m/>
    <x v="7"/>
    <d v="2024-07-11T00:00:00"/>
    <d v="2025-07-11T00:00:00"/>
    <s v="MERAJ AHMED"/>
    <s v="SUZUKI-GR150 EURO II"/>
    <n v="19145"/>
    <n v="16073"/>
    <s v="113346"/>
    <d v="2024-07-11T00:00:00"/>
    <s v="MOTORCYCLE  COMPREHENSIVE"/>
    <n v="547000"/>
    <n v="2571.6799999999998"/>
    <n v="160.72999999999999"/>
    <n v="500"/>
  </r>
  <r>
    <s v="KHI/HO/D/MO/MC COMP/P/92897/07/2024"/>
    <m/>
    <x v="7"/>
    <d v="2025-07-12T00:00:00"/>
    <d v="2026-07-12T00:00:00"/>
    <s v="MERAJ AHMED"/>
    <s v="SUZUKI-GR150 EURO II"/>
    <n v="19145"/>
    <n v="16073"/>
    <s v="113346"/>
    <d v="2024-07-11T00:00:00"/>
    <s v="MOTORCYCLE  COMPREHENSIVE"/>
    <n v="547000"/>
    <n v="2571.6799999999998"/>
    <n v="160.72999999999999"/>
    <n v="500"/>
  </r>
  <r>
    <s v="KHI/HO/D/MO/MC COMP/P/92898/07/2024"/>
    <m/>
    <x v="7"/>
    <d v="2024-07-11T00:00:00"/>
    <d v="2025-07-11T00:00:00"/>
    <s v="NAVEED AHMED"/>
    <s v="SUZUKI-GS 150"/>
    <n v="13370"/>
    <n v="11095"/>
    <s v="30091745"/>
    <d v="2024-07-11T00:00:00"/>
    <s v="MOTORCYCLE  COMPREHENSIVE"/>
    <n v="382000"/>
    <n v="1775.2"/>
    <n v="110.95"/>
    <n v="500"/>
  </r>
  <r>
    <s v="KHI/HO/D/MO/MC COMP/P/92899/07/2024"/>
    <m/>
    <x v="7"/>
    <d v="2025-07-12T00:00:00"/>
    <d v="2026-07-12T00:00:00"/>
    <s v="NAVEED AHMED"/>
    <s v="SUZUKI-GS 150"/>
    <n v="13370"/>
    <n v="11095"/>
    <s v="30091745"/>
    <d v="2024-07-11T00:00:00"/>
    <s v="MOTORCYCLE  COMPREHENSIVE"/>
    <n v="382000"/>
    <n v="1775.2"/>
    <n v="110.95"/>
    <n v="500"/>
  </r>
  <r>
    <s v="KHI/HO/D/MO/MC COMP/P/92903/07/2024"/>
    <m/>
    <x v="21"/>
    <d v="2024-07-12T00:00:00"/>
    <d v="2025-07-12T00:00:00"/>
    <s v="SYED AQEEL RAZA"/>
    <s v="SUZUKI-GR150 EURO II"/>
    <n v="13675"/>
    <n v="11358"/>
    <s v="113068"/>
    <d v="2024-07-12T00:00:00"/>
    <s v="MOTORCYCLE  COMPREHENSIVE"/>
    <n v="547000"/>
    <n v="1817.28"/>
    <n v="113.58"/>
    <n v="500"/>
  </r>
  <r>
    <s v="KHI/HO/D/MO/MC COMP/P/92905/07/2024"/>
    <m/>
    <x v="21"/>
    <d v="2024-07-12T00:00:00"/>
    <d v="2025-07-12T00:00:00"/>
    <s v="Muhammad Waseem Abbas"/>
    <s v="SUZUKI-GS 150"/>
    <n v="9550"/>
    <n v="7802"/>
    <s v="30091791"/>
    <d v="2024-07-12T00:00:00"/>
    <s v="MOTORCYCLE  COMPREHENSIVE"/>
    <n v="382000"/>
    <n v="1248.32"/>
    <n v="78.02"/>
    <n v="500"/>
  </r>
  <r>
    <s v="KHI/HO/D/MO/MC COMP/P/92907/07/2024"/>
    <m/>
    <x v="1"/>
    <d v="2024-07-12T00:00:00"/>
    <d v="2025-07-12T00:00:00"/>
    <s v="MUHAMMAD IRFAN ANDHI"/>
    <s v="SUZUKI-GR150 EURO II"/>
    <n v="19145"/>
    <n v="16073"/>
    <s v="113171"/>
    <d v="2024-07-12T00:00:00"/>
    <s v="MOTORCYCLE  COMPREHENSIVE"/>
    <n v="547000"/>
    <n v="2571.6799999999998"/>
    <n v="160.72999999999999"/>
    <n v="500"/>
  </r>
  <r>
    <s v="KHI/HO/D/MO/MC COMP/P/92908/07/2024"/>
    <m/>
    <x v="1"/>
    <d v="2025-07-13T00:00:00"/>
    <d v="2026-07-13T00:00:00"/>
    <s v="MUHAMMAD IRFAN ANDHI"/>
    <s v="SUZUKI-GR150 EURO II"/>
    <n v="19145"/>
    <n v="16073"/>
    <s v="113171"/>
    <d v="2024-07-12T00:00:00"/>
    <s v="MOTORCYCLE  COMPREHENSIVE"/>
    <n v="547000"/>
    <n v="2571.6799999999998"/>
    <n v="160.72999999999999"/>
    <n v="500"/>
  </r>
  <r>
    <s v="KHI/HO/D/MO/MC COMP/P/92911/07/2024"/>
    <m/>
    <x v="1"/>
    <d v="2024-07-12T00:00:00"/>
    <d v="2025-07-12T00:00:00"/>
    <s v="MUHAMMAD AYUB SHEKHANI"/>
    <s v="SUZUKI-GR150 EURO II"/>
    <n v="19145"/>
    <n v="16073"/>
    <s v="113216"/>
    <d v="2024-07-12T00:00:00"/>
    <s v="MOTORCYCLE  COMPREHENSIVE"/>
    <n v="547000"/>
    <n v="2571.6799999999998"/>
    <n v="160.72999999999999"/>
    <n v="500"/>
  </r>
  <r>
    <s v="KHI/HO/D/MO/MC COMP/P/92912/07/2024"/>
    <m/>
    <x v="1"/>
    <d v="2025-07-13T00:00:00"/>
    <d v="2026-07-13T00:00:00"/>
    <s v="MUHAMMAD AYUB SHEKHANI"/>
    <s v="SUZUKI-GR150 EURO II"/>
    <n v="19145"/>
    <n v="16073"/>
    <s v="113216"/>
    <d v="2024-07-12T00:00:00"/>
    <s v="MOTORCYCLE  COMPREHENSIVE"/>
    <n v="547000"/>
    <n v="2571.6799999999998"/>
    <n v="160.72999999999999"/>
    <n v="500"/>
  </r>
  <r>
    <s v="KHI/HO/D/MO/MC COMP/P/92916/07/2024"/>
    <m/>
    <x v="21"/>
    <d v="2024-07-12T00:00:00"/>
    <d v="2025-07-12T00:00:00"/>
    <s v="Muhammad Bilal"/>
    <s v="SUZUKI-GSX 125"/>
    <n v="12475"/>
    <n v="10323"/>
    <s v="23100390"/>
    <d v="2024-07-12T00:00:00"/>
    <s v="MOTORCYCLE  COMPREHENSIVE"/>
    <n v="499000"/>
    <n v="1651.68"/>
    <n v="103.23"/>
    <n v="500"/>
  </r>
  <r>
    <s v="KHI/HO/D/MO/MC COMP/P/92917/07/2024"/>
    <m/>
    <x v="1"/>
    <d v="2024-07-12T00:00:00"/>
    <d v="2025-07-12T00:00:00"/>
    <s v="ABDULLAH"/>
    <s v="SUZUKI-GS 150"/>
    <n v="13370"/>
    <n v="11095"/>
    <s v="30091605"/>
    <d v="2024-07-12T00:00:00"/>
    <s v="MOTORCYCLE  COMPREHENSIVE"/>
    <n v="382000"/>
    <n v="1775.2"/>
    <n v="110.95"/>
    <n v="500"/>
  </r>
  <r>
    <s v="KHI/HO/D/MO/MC COMP/P/92918/07/2024"/>
    <m/>
    <x v="18"/>
    <d v="2024-07-12T00:00:00"/>
    <d v="2025-07-12T00:00:00"/>
    <s v="USAMA AMEEN"/>
    <s v="SUZUKI-GD-110S"/>
    <n v="8800"/>
    <n v="7155"/>
    <s v="144083"/>
    <d v="2024-07-12T00:00:00"/>
    <s v="MOTORCYCLE  COMPREHENSIVE"/>
    <n v="352000"/>
    <n v="1144.8"/>
    <n v="71.55"/>
    <n v="500"/>
  </r>
  <r>
    <s v="KHI/HO/D/MO/MC COMP/P/92919/07/2024"/>
    <m/>
    <x v="21"/>
    <d v="2024-07-12T00:00:00"/>
    <d v="2025-07-12T00:00:00"/>
    <s v="Khalid Aslam"/>
    <s v="SUZUKI-GD-110S"/>
    <n v="8800"/>
    <n v="7155"/>
    <s v="144243"/>
    <d v="2024-07-12T00:00:00"/>
    <s v="MOTORCYCLE  COMPREHENSIVE"/>
    <n v="352000"/>
    <n v="1144.8"/>
    <n v="71.55"/>
    <n v="500"/>
  </r>
  <r>
    <s v="KHI/HO/D/MO/MC COMP/P/92920/07/2024"/>
    <m/>
    <x v="1"/>
    <d v="2024-07-12T00:00:00"/>
    <d v="2025-07-12T00:00:00"/>
    <s v="MUHAMMAD ZEESHAN AKRAM"/>
    <s v="SUZUKI-GS 150"/>
    <n v="13370"/>
    <n v="11095"/>
    <s v="30091760"/>
    <d v="2024-07-12T00:00:00"/>
    <s v="MOTORCYCLE  COMPREHENSIVE"/>
    <n v="382000"/>
    <n v="1775.2"/>
    <n v="110.95"/>
    <n v="500"/>
  </r>
  <r>
    <s v="KHI/HO/D/MO/MC COMP/P/92921/07/2024"/>
    <m/>
    <x v="1"/>
    <d v="2025-07-13T00:00:00"/>
    <d v="2026-07-13T00:00:00"/>
    <s v="MUHAMMAD ZEESHAN AKRAM"/>
    <s v="SUZUKI-GS 150"/>
    <n v="13370"/>
    <n v="11095"/>
    <s v="30091760"/>
    <d v="2024-07-12T00:00:00"/>
    <s v="MOTORCYCLE  COMPREHENSIVE"/>
    <n v="382000"/>
    <n v="1775.2"/>
    <n v="110.95"/>
    <n v="500"/>
  </r>
  <r>
    <s v="KHI/HO/D/MO/MC COMP/P/92923/07/2024"/>
    <m/>
    <x v="21"/>
    <d v="2024-07-12T00:00:00"/>
    <d v="2025-07-12T00:00:00"/>
    <s v="Sarim Nadeem"/>
    <s v="SUZUKI-GSX 125"/>
    <n v="12475"/>
    <n v="10323"/>
    <s v="23100452"/>
    <d v="2024-07-12T00:00:00"/>
    <s v="MOTORCYCLE  COMPREHENSIVE"/>
    <n v="499000"/>
    <n v="1651.68"/>
    <n v="103.23"/>
    <n v="500"/>
  </r>
  <r>
    <s v="KHI/HO/D/MO/MC COMP/P/92925/07/2024"/>
    <m/>
    <x v="4"/>
    <d v="2024-07-12T00:00:00"/>
    <d v="2025-07-12T00:00:00"/>
    <s v="YASIR JAMAL"/>
    <s v="SUZUKI-GD-110S"/>
    <n v="12320"/>
    <n v="10190"/>
    <s v="145504"/>
    <d v="2024-07-12T00:00:00"/>
    <s v="MOTORCYCLE  COMPREHENSIVE"/>
    <n v="352000"/>
    <n v="1630.4"/>
    <n v="101.9"/>
    <n v="500"/>
  </r>
  <r>
    <s v="KHI/HO/D/MO/MC COMP/P/92926/07/2024"/>
    <m/>
    <x v="4"/>
    <d v="2025-07-13T00:00:00"/>
    <d v="2026-07-13T00:00:00"/>
    <s v="YASIR JAMAL"/>
    <s v="SUZUKI-GD-110S"/>
    <n v="12320"/>
    <n v="10190"/>
    <s v="145504"/>
    <d v="2024-07-12T00:00:00"/>
    <s v="MOTORCYCLE  COMPREHENSIVE"/>
    <n v="352000"/>
    <n v="1630.4"/>
    <n v="101.9"/>
    <n v="500"/>
  </r>
  <r>
    <s v="KHI/HO/D/MO/MC COMP/P/92929/07/2024"/>
    <m/>
    <x v="5"/>
    <d v="2024-07-12T00:00:00"/>
    <d v="2025-07-12T00:00:00"/>
    <s v="MUHAMMAD NAWAZ"/>
    <s v="SUZUKI-GD-110S"/>
    <n v="8800"/>
    <n v="7155"/>
    <s v="145510"/>
    <d v="2024-07-12T00:00:00"/>
    <s v="MOTORCYCLE  COMPREHENSIVE"/>
    <n v="352000"/>
    <n v="1144.8"/>
    <n v="71.55"/>
    <n v="500"/>
  </r>
  <r>
    <s v="KHI/HO/D/MO/MC COMP/P/92930/07/2024"/>
    <m/>
    <x v="1"/>
    <d v="2024-07-12T00:00:00"/>
    <d v="2025-07-12T00:00:00"/>
    <s v="SYED ALI JAN SHAH NAQVI"/>
    <s v="SUZUKI-GS 150"/>
    <n v="13370"/>
    <n v="11095"/>
    <s v="30091947"/>
    <d v="2024-07-12T00:00:00"/>
    <s v="MOTORCYCLE  COMPREHENSIVE"/>
    <n v="382000"/>
    <n v="1775.2"/>
    <n v="110.95"/>
    <n v="500"/>
  </r>
  <r>
    <s v="KHI/HO/D/MO/MC COMP/P/92931/07/2024"/>
    <m/>
    <x v="1"/>
    <d v="2025-07-13T00:00:00"/>
    <d v="2026-07-13T00:00:00"/>
    <s v="SYED ALI JAN SHAH NAQVI"/>
    <s v="SUZUKI-GS 150"/>
    <n v="13370"/>
    <n v="11095"/>
    <s v="30091947"/>
    <d v="2024-07-12T00:00:00"/>
    <s v="MOTORCYCLE  COMPREHENSIVE"/>
    <n v="382000"/>
    <n v="1775.2"/>
    <n v="110.95"/>
    <n v="500"/>
  </r>
  <r>
    <s v="KHI/HO/D/MO/MC COMP/P/92932/07/2024"/>
    <m/>
    <x v="4"/>
    <d v="2024-07-12T00:00:00"/>
    <d v="2025-07-12T00:00:00"/>
    <s v="MUHAMMAD SUFIYAN MANSOORI"/>
    <s v="SUZUKI-GD-110S"/>
    <n v="12320"/>
    <n v="10190"/>
    <s v="145429"/>
    <d v="2024-07-12T00:00:00"/>
    <s v="MOTORCYCLE  COMPREHENSIVE"/>
    <n v="352000"/>
    <n v="1630.4"/>
    <n v="101.9"/>
    <n v="500"/>
  </r>
  <r>
    <s v="KHI/HO/D/MO/MC COMP/P/92933/07/2024"/>
    <m/>
    <x v="4"/>
    <d v="2025-07-13T00:00:00"/>
    <d v="2026-07-13T00:00:00"/>
    <s v="MUHAMMAD SUFIYAN MANSOORI"/>
    <s v="SUZUKI-GD-110S"/>
    <n v="12320"/>
    <n v="10190"/>
    <s v="145429"/>
    <d v="2024-07-12T00:00:00"/>
    <s v="MOTORCYCLE  COMPREHENSIVE"/>
    <n v="352000"/>
    <n v="1630.4"/>
    <n v="101.9"/>
    <n v="500"/>
  </r>
  <r>
    <s v="KHI/HO/D/MO/MC COMP/P/92934/07/2024"/>
    <m/>
    <x v="1"/>
    <d v="2024-07-12T00:00:00"/>
    <d v="2025-07-12T00:00:00"/>
    <s v="ABID SALEEM AGHA"/>
    <s v="SUZUKI-GR150 EURO II"/>
    <n v="19145"/>
    <n v="16073"/>
    <s v="113181"/>
    <d v="2024-07-12T00:00:00"/>
    <s v="MOTORCYCLE  COMPREHENSIVE"/>
    <n v="547000"/>
    <n v="2571.6799999999998"/>
    <n v="160.72999999999999"/>
    <n v="500"/>
  </r>
  <r>
    <s v="KHI/HO/D/MO/MC COMP/P/92935/07/2024"/>
    <m/>
    <x v="1"/>
    <d v="2025-07-13T00:00:00"/>
    <d v="2026-07-13T00:00:00"/>
    <s v="ABID SALEEM AGHA"/>
    <s v="SUZUKI-GR150 EURO II"/>
    <n v="19145"/>
    <n v="16073"/>
    <s v="113181"/>
    <d v="2024-07-12T00:00:00"/>
    <s v="MOTORCYCLE  COMPREHENSIVE"/>
    <n v="547000"/>
    <n v="2571.6799999999998"/>
    <n v="160.72999999999999"/>
    <n v="500"/>
  </r>
  <r>
    <s v="KHI/HO/D/MO/MC COMP/P/92936/07/2024"/>
    <m/>
    <x v="18"/>
    <d v="2024-07-12T00:00:00"/>
    <d v="2025-07-12T00:00:00"/>
    <s v="MUHAMMAD JAMAL"/>
    <s v="SUZUKI-SUZUKI 110"/>
    <n v="8800"/>
    <n v="7155"/>
    <s v="144080"/>
    <d v="2024-07-12T00:00:00"/>
    <s v="MOTORCYCLE  COMPREHENSIVE"/>
    <n v="352000"/>
    <n v="1144.8"/>
    <n v="71.55"/>
    <n v="500"/>
  </r>
  <r>
    <s v="KHI/HO/D/MO/MC COMP/P/92937/07/2024"/>
    <m/>
    <x v="1"/>
    <d v="2024-07-12T00:00:00"/>
    <d v="2025-07-12T00:00:00"/>
    <s v="UMAIR ANSARI"/>
    <s v="SUZUKI-GD-110S"/>
    <n v="12320"/>
    <n v="10190"/>
    <s v="144701"/>
    <d v="2024-07-12T00:00:00"/>
    <s v="MOTORCYCLE  COMPREHENSIVE"/>
    <n v="352000"/>
    <n v="1630.4"/>
    <n v="101.9"/>
    <n v="500"/>
  </r>
  <r>
    <s v="KHI/HO/D/MO/MC COMP/P/92938/07/2024"/>
    <m/>
    <x v="1"/>
    <d v="2025-07-13T00:00:00"/>
    <d v="2026-07-13T00:00:00"/>
    <s v="UMAIR ANSARI"/>
    <s v="SUZUKI-GD-110S"/>
    <n v="12320"/>
    <n v="10190"/>
    <s v="144701"/>
    <d v="2024-07-12T00:00:00"/>
    <s v="MOTORCYCLE  COMPREHENSIVE"/>
    <n v="352000"/>
    <n v="1630.4"/>
    <n v="101.9"/>
    <n v="500"/>
  </r>
  <r>
    <s v="KHI/HO/D/MO/MC COMP/P/92939/07/2024"/>
    <m/>
    <x v="4"/>
    <d v="2024-07-12T00:00:00"/>
    <d v="2025-07-12T00:00:00"/>
    <s v="HASSAN AHMED"/>
    <s v="SUZUKI-GD-110S"/>
    <n v="12320"/>
    <n v="10190"/>
    <s v="144967"/>
    <d v="2024-07-12T00:00:00"/>
    <s v="MOTORCYCLE  COMPREHENSIVE"/>
    <n v="352000"/>
    <n v="1630.4"/>
    <n v="101.9"/>
    <n v="500"/>
  </r>
  <r>
    <s v="KHI/HO/D/MO/MC COMP/P/92940/07/2024"/>
    <m/>
    <x v="1"/>
    <d v="2024-07-12T00:00:00"/>
    <d v="2025-07-12T00:00:00"/>
    <s v="AMIR MUNAWAR"/>
    <s v="SUZUKI-GSX 125"/>
    <n v="17465"/>
    <n v="14625"/>
    <s v="23100370"/>
    <d v="2024-07-12T00:00:00"/>
    <s v="MOTORCYCLE  COMPREHENSIVE"/>
    <n v="499000"/>
    <n v="2340"/>
    <n v="146.25"/>
    <n v="500"/>
  </r>
  <r>
    <s v="KHI/HO/D/MO/MC COMP/P/92941/07/2024"/>
    <m/>
    <x v="1"/>
    <d v="2025-07-13T00:00:00"/>
    <d v="2026-07-13T00:00:00"/>
    <s v="AMIR MUNAWAR"/>
    <s v="SUZUKI-GSX 125"/>
    <n v="17465"/>
    <n v="14625"/>
    <s v="23100370"/>
    <d v="2024-07-12T00:00:00"/>
    <s v="MOTORCYCLE  COMPREHENSIVE"/>
    <n v="499000"/>
    <n v="2340"/>
    <n v="146.25"/>
    <n v="500"/>
  </r>
  <r>
    <s v="KHI/HO/D/MO/MC COMP/P/92942/07/2024"/>
    <m/>
    <x v="10"/>
    <d v="2024-07-12T00:00:00"/>
    <d v="2025-07-12T00:00:00"/>
    <s v="SYED EJAZ HUSSAIN SHAH"/>
    <s v="SUZUKI-GSX 125"/>
    <n v="12475"/>
    <n v="10323"/>
    <s v="23100326"/>
    <d v="2024-07-12T00:00:00"/>
    <s v="MOTORCYCLE  COMPREHENSIVE"/>
    <n v="499000"/>
    <n v="1651.68"/>
    <n v="103.23"/>
    <n v="500"/>
  </r>
  <r>
    <s v="KHI/HO/D/MO/MC COMP/P/92943/07/2024"/>
    <m/>
    <x v="1"/>
    <d v="2024-07-12T00:00:00"/>
    <d v="2025-07-12T00:00:00"/>
    <s v="JAWWAD AHMED USMANI"/>
    <s v="SUZUKI-GS-150"/>
    <n v="13370"/>
    <n v="11095"/>
    <s v="30091858"/>
    <d v="2024-07-12T00:00:00"/>
    <s v="MOTORCYCLE  COMPREHENSIVE"/>
    <n v="382000"/>
    <n v="1775.2"/>
    <n v="110.95"/>
    <n v="500"/>
  </r>
  <r>
    <s v="KHI/HO/D/MO/MC COMP/P/92944/07/2024"/>
    <m/>
    <x v="1"/>
    <d v="2025-07-13T00:00:00"/>
    <d v="2026-07-13T00:00:00"/>
    <s v="JAWWAD AHMED USMANI"/>
    <s v="SUZUKI-GS-150"/>
    <n v="13370"/>
    <n v="11095"/>
    <s v="30091858"/>
    <d v="2024-07-12T00:00:00"/>
    <s v="MOTORCYCLE  COMPREHENSIVE"/>
    <n v="382000"/>
    <n v="1775.2"/>
    <n v="110.95"/>
    <n v="500"/>
  </r>
  <r>
    <s v="KHI/HO/D/MO/MC COMP/P/92946/07/2024"/>
    <m/>
    <x v="10"/>
    <d v="2024-07-12T00:00:00"/>
    <d v="2025-07-12T00:00:00"/>
    <s v="MUHAMMAD HAROON"/>
    <s v="SUZUKI-GD-110S"/>
    <n v="8800"/>
    <n v="7155"/>
    <s v="145115"/>
    <d v="2024-07-12T00:00:00"/>
    <s v="MOTORCYCLE  COMPREHENSIVE"/>
    <n v="352000"/>
    <n v="1144.8"/>
    <n v="71.55"/>
    <n v="500"/>
  </r>
  <r>
    <s v="KHI/HO/D/MO/MC COMP/P/92949/07/2024"/>
    <m/>
    <x v="4"/>
    <d v="2024-07-12T00:00:00"/>
    <d v="2025-07-12T00:00:00"/>
    <s v="ATHER AKBAR"/>
    <s v="SUZUKI-GD-110S"/>
    <n v="12320"/>
    <n v="10190"/>
    <s v="144770"/>
    <d v="2024-07-12T00:00:00"/>
    <s v="MOTORCYCLE  COMPREHENSIVE"/>
    <n v="352000"/>
    <n v="1630.4"/>
    <n v="101.9"/>
    <n v="500"/>
  </r>
  <r>
    <s v="KHI/HO/D/MO/MC COMP/P/92950/07/2024"/>
    <m/>
    <x v="4"/>
    <d v="2025-07-13T00:00:00"/>
    <d v="2026-07-13T00:00:00"/>
    <s v="ATHER AKBAR"/>
    <s v="SUZUKI-GD-110S"/>
    <n v="12320"/>
    <n v="10190"/>
    <s v="144770"/>
    <d v="2024-07-12T00:00:00"/>
    <s v="MOTORCYCLE  COMPREHENSIVE"/>
    <n v="352000"/>
    <n v="1630.4"/>
    <n v="101.9"/>
    <n v="500"/>
  </r>
  <r>
    <s v="KHI/HO/D/MO/MC COMP/P/92953/07/2024"/>
    <m/>
    <x v="11"/>
    <d v="2024-07-12T00:00:00"/>
    <d v="2025-07-12T00:00:00"/>
    <s v="MUHAMMAD SUFYAN"/>
    <s v="SUZUKI-GD-110S"/>
    <n v="12320"/>
    <n v="10190"/>
    <s v="145558"/>
    <d v="2024-07-12T00:00:00"/>
    <s v="MOTORCYCLE  COMPREHENSIVE"/>
    <n v="352000"/>
    <n v="1630.4"/>
    <n v="101.9"/>
    <n v="500"/>
  </r>
  <r>
    <s v="KHI/HO/D/MO/MC COMP/P/92954/07/2024"/>
    <m/>
    <x v="11"/>
    <d v="2025-07-13T00:00:00"/>
    <d v="2026-07-13T00:00:00"/>
    <s v="MUHAMMAD SUFYAN"/>
    <s v="SUZUKI-GD-110S"/>
    <n v="12320"/>
    <n v="10190"/>
    <s v="145558"/>
    <d v="2024-07-12T00:00:00"/>
    <s v="MOTORCYCLE  COMPREHENSIVE"/>
    <n v="352000"/>
    <n v="1630.4"/>
    <n v="101.9"/>
    <n v="500"/>
  </r>
  <r>
    <s v="KHI/HO/D/MO/MC COMP/P/92957/07/2024"/>
    <m/>
    <x v="1"/>
    <d v="2024-07-12T00:00:00"/>
    <d v="2025-07-12T00:00:00"/>
    <s v="FARZAN AHMED"/>
    <s v="SUZUKI-GS 150"/>
    <n v="13370"/>
    <n v="11095"/>
    <s v="30091667"/>
    <d v="2024-07-12T00:00:00"/>
    <s v="MOTORCYCLE  COMPREHENSIVE"/>
    <n v="382000"/>
    <n v="1775.2"/>
    <n v="110.95"/>
    <n v="500"/>
  </r>
  <r>
    <s v="KHI/HO/D/MO/MC COMP/P/92958/07/2024"/>
    <m/>
    <x v="1"/>
    <d v="2025-07-13T00:00:00"/>
    <d v="2026-07-13T00:00:00"/>
    <s v="FARZAN AHMED"/>
    <s v="SUZUKI-GS 150"/>
    <n v="13370"/>
    <n v="11095"/>
    <s v="30091667"/>
    <d v="2024-07-12T00:00:00"/>
    <s v="MOTORCYCLE  COMPREHENSIVE"/>
    <n v="382000"/>
    <n v="1775.2"/>
    <n v="110.95"/>
    <n v="500"/>
  </r>
  <r>
    <s v="KHI/HO/D/MO/MC COMP/P/92961/07/2024"/>
    <m/>
    <x v="4"/>
    <d v="2024-07-12T00:00:00"/>
    <d v="2025-07-12T00:00:00"/>
    <s v="ASAD SAUD"/>
    <s v="SUZUKI-GS 150"/>
    <n v="13370"/>
    <n v="11095"/>
    <s v="30091972"/>
    <d v="2024-07-12T00:00:00"/>
    <s v="MOTORCYCLE  COMPREHENSIVE"/>
    <n v="382000"/>
    <n v="1775.2"/>
    <n v="110.95"/>
    <n v="500"/>
  </r>
  <r>
    <s v="KHI/HO/D/MO/MC COMP/P/92962/07/2024"/>
    <m/>
    <x v="2"/>
    <d v="2024-07-12T00:00:00"/>
    <d v="2025-07-12T00:00:00"/>
    <s v="ASGHAR HUSSAIN"/>
    <s v="SUZUKI-GD-110S"/>
    <n v="12320"/>
    <n v="10190"/>
    <s v="145728"/>
    <d v="2024-07-12T00:00:00"/>
    <s v="MOTORCYCLE  COMPREHENSIVE"/>
    <n v="352000"/>
    <n v="1630.4"/>
    <n v="101.9"/>
    <n v="500"/>
  </r>
  <r>
    <s v="KHI/HO/D/MO/MC COMP/P/92964/07/2024"/>
    <m/>
    <x v="17"/>
    <d v="2024-07-12T00:00:00"/>
    <d v="2025-07-12T00:00:00"/>
    <s v="ASIF SUHAIL"/>
    <s v="SUZUKI-GD-110S"/>
    <n v="8800"/>
    <n v="7155"/>
    <s v="143866"/>
    <d v="2024-07-12T00:00:00"/>
    <s v="MOTORCYCLE  COMPREHENSIVE"/>
    <n v="352000"/>
    <n v="1144.8"/>
    <n v="71.55"/>
    <n v="500"/>
  </r>
  <r>
    <s v="KHI/HO/D/MO/MC COMP/P/92968/07/2024"/>
    <m/>
    <x v="6"/>
    <d v="2024-07-12T00:00:00"/>
    <d v="2025-07-12T00:00:00"/>
    <s v="Muhammad Aslam"/>
    <s v="SUZUKI-GS 150"/>
    <n v="9550"/>
    <n v="7802"/>
    <s v="30091885"/>
    <d v="2024-07-12T00:00:00"/>
    <s v="MOTORCYCLE  COMPREHENSIVE"/>
    <n v="382000"/>
    <n v="1248.32"/>
    <n v="78.02"/>
    <n v="500"/>
  </r>
  <r>
    <s v="KHI/HO/D/MO/MC COMP/P/92970/07/2024"/>
    <m/>
    <x v="1"/>
    <d v="2024-07-12T00:00:00"/>
    <d v="2025-07-12T00:00:00"/>
    <s v="SYED IRTIZA HUSSAIN ZAIDI"/>
    <s v="SUZUKI-GS 150"/>
    <n v="13370"/>
    <n v="11095"/>
    <s v="30091855"/>
    <d v="2024-07-12T00:00:00"/>
    <s v="MOTORCYCLE  COMPREHENSIVE"/>
    <n v="382000"/>
    <n v="1775.2"/>
    <n v="110.95"/>
    <n v="500"/>
  </r>
  <r>
    <s v="KHI/HO/D/MO/MC COMP/P/92971/07/2024"/>
    <m/>
    <x v="1"/>
    <d v="2025-07-13T00:00:00"/>
    <d v="2026-07-13T00:00:00"/>
    <s v="SYED IRTIZA HUSSAIN ZAIDI"/>
    <s v="SUZUKI-GS 150"/>
    <n v="13370"/>
    <n v="11095"/>
    <s v="30091855"/>
    <d v="2024-07-12T00:00:00"/>
    <s v="MOTORCYCLE  COMPREHENSIVE"/>
    <n v="382000"/>
    <n v="1775.2"/>
    <n v="110.95"/>
    <n v="500"/>
  </r>
  <r>
    <s v="KHI/HO/D/MO/MC COMP/P/92972/07/2024"/>
    <m/>
    <x v="24"/>
    <d v="2024-07-12T00:00:00"/>
    <d v="2025-07-12T00:00:00"/>
    <s v="REHAN MEHBOOB ALAM"/>
    <s v="SUZUKI-GD-110S"/>
    <n v="8800"/>
    <n v="7155"/>
    <s v="145403"/>
    <d v="2024-07-12T00:00:00"/>
    <s v="MOTORCYCLE  COMPREHENSIVE"/>
    <n v="352000"/>
    <n v="1144.8"/>
    <n v="71.55"/>
    <n v="500"/>
  </r>
  <r>
    <s v="KHI/HO/D/MO/MC COMP/P/92973/07/2024"/>
    <m/>
    <x v="18"/>
    <d v="2024-07-12T00:00:00"/>
    <d v="2025-07-12T00:00:00"/>
    <s v="MUHAMMAD FAISAL KHAN"/>
    <s v="SUZUKI-GS 150"/>
    <n v="9550"/>
    <n v="7802"/>
    <s v="30091228"/>
    <d v="2024-07-12T00:00:00"/>
    <s v="MOTORCYCLE  COMPREHENSIVE"/>
    <n v="382000"/>
    <n v="1248.32"/>
    <n v="78.02"/>
    <n v="500"/>
  </r>
  <r>
    <s v="KHI/HO/D/MO/MC COMP/P/92975/07/2024"/>
    <m/>
    <x v="6"/>
    <d v="2024-07-12T00:00:00"/>
    <d v="2025-07-12T00:00:00"/>
    <s v="M Hanif Raza"/>
    <s v="SUZUKI-GS 150"/>
    <n v="9550"/>
    <n v="7802"/>
    <s v="30091902"/>
    <d v="2024-07-12T00:00:00"/>
    <s v="MOTORCYCLE  COMPREHENSIVE"/>
    <n v="382000"/>
    <n v="1248.32"/>
    <n v="78.02"/>
    <n v="500"/>
  </r>
  <r>
    <s v="KHI/HO/D/MO/MC COMP/P/92976/07/2024"/>
    <m/>
    <x v="1"/>
    <d v="2024-07-12T00:00:00"/>
    <d v="2025-07-12T00:00:00"/>
    <s v="IMRAN SABIR KHAN"/>
    <s v="SUZUKI-GR150 EURO II"/>
    <n v="19145"/>
    <n v="16073"/>
    <s v="113177"/>
    <d v="2024-07-12T00:00:00"/>
    <s v="MOTORCYCLE  COMPREHENSIVE"/>
    <n v="547000"/>
    <n v="2571.6799999999998"/>
    <n v="160.72999999999999"/>
    <n v="500"/>
  </r>
  <r>
    <s v="KHI/HO/D/MO/MC COMP/P/92977/07/2024"/>
    <m/>
    <x v="1"/>
    <d v="2025-07-13T00:00:00"/>
    <d v="2026-07-13T00:00:00"/>
    <s v="IMRAN SABIR KHAN"/>
    <s v="SUZUKI-GR150 EURO II"/>
    <n v="19145"/>
    <n v="16073"/>
    <s v="113177"/>
    <d v="2024-07-12T00:00:00"/>
    <s v="MOTORCYCLE  COMPREHENSIVE"/>
    <n v="547000"/>
    <n v="2571.6799999999998"/>
    <n v="160.72999999999999"/>
    <n v="500"/>
  </r>
  <r>
    <s v="KHI/HO/D/MO/MC COMP/P/92981/07/2024"/>
    <m/>
    <x v="1"/>
    <d v="2024-07-12T00:00:00"/>
    <d v="2025-07-12T00:00:00"/>
    <s v="MUHAMMAD ARSALAN KHAN"/>
    <s v="SUZUKI-GS 150"/>
    <n v="13370"/>
    <n v="11095"/>
    <s v="30091851"/>
    <d v="2024-07-12T00:00:00"/>
    <s v="MOTORCYCLE  COMPREHENSIVE"/>
    <n v="382000"/>
    <n v="1775.2"/>
    <n v="110.95"/>
    <n v="500"/>
  </r>
  <r>
    <s v="KHI/HO/D/MO/MC COMP/P/92982/07/2024"/>
    <m/>
    <x v="6"/>
    <d v="2024-07-12T00:00:00"/>
    <d v="2025-07-12T00:00:00"/>
    <s v="Shahid Maqbool"/>
    <s v="SUZUKI-GD-110S"/>
    <n v="8800"/>
    <n v="7155"/>
    <s v="143756"/>
    <d v="2024-07-12T00:00:00"/>
    <s v="MOTORCYCLE  COMPREHENSIVE"/>
    <n v="352000"/>
    <n v="1144.8"/>
    <n v="71.55"/>
    <n v="500"/>
  </r>
  <r>
    <s v="KHI/HO/D/MO/MC COMP/P/92984/07/2024"/>
    <m/>
    <x v="24"/>
    <d v="2024-07-12T00:00:00"/>
    <d v="2025-07-12T00:00:00"/>
    <s v="MUHAMMAD ZARAR KHAN"/>
    <s v="SUZUKI-GD-110S"/>
    <n v="8800"/>
    <n v="7155"/>
    <s v="144833"/>
    <d v="2024-07-12T00:00:00"/>
    <s v="MOTORCYCLE  COMPREHENSIVE"/>
    <n v="352000"/>
    <n v="1144.8"/>
    <n v="71.55"/>
    <n v="500"/>
  </r>
  <r>
    <s v="KHI/HO/D/MO/MC COMP/P/92986/07/2024"/>
    <m/>
    <x v="2"/>
    <d v="2024-07-12T00:00:00"/>
    <d v="2025-07-12T00:00:00"/>
    <s v="MUHAMMAD ASLAM"/>
    <s v="SUZUKI-GR150 EURO II"/>
    <n v="19145"/>
    <n v="16073"/>
    <s v="113220"/>
    <d v="2024-07-12T00:00:00"/>
    <s v="MOTORCYCLE  COMPREHENSIVE"/>
    <n v="547000"/>
    <n v="2571.6799999999998"/>
    <n v="160.72999999999999"/>
    <n v="500"/>
  </r>
  <r>
    <s v="KHI/HO/D/MO/MC COMP/P/92987/07/2024"/>
    <m/>
    <x v="21"/>
    <d v="2024-07-12T00:00:00"/>
    <d v="2025-07-12T00:00:00"/>
    <s v="HAMMAD SHAHID"/>
    <s v="SUZUKI-GD-110S"/>
    <n v="8800"/>
    <n v="7155"/>
    <s v="144412"/>
    <d v="2024-07-12T00:00:00"/>
    <s v="MOTORCYCLE  COMPREHENSIVE"/>
    <n v="352000"/>
    <n v="1144.8"/>
    <n v="71.55"/>
    <n v="500"/>
  </r>
  <r>
    <s v="KHI/HO/D/MO/MC COMP/P/92988/07/2024"/>
    <m/>
    <x v="17"/>
    <d v="2024-07-12T00:00:00"/>
    <d v="2025-07-12T00:00:00"/>
    <s v="HAKIM ALI"/>
    <s v="SUZUKI-GS 150"/>
    <n v="9550"/>
    <n v="7802"/>
    <s v="30091847"/>
    <d v="2024-07-12T00:00:00"/>
    <s v="MOTORCYCLE  COMPREHENSIVE"/>
    <n v="382000"/>
    <n v="1248.32"/>
    <n v="78.02"/>
    <n v="500"/>
  </r>
  <r>
    <s v="KHI/HO/D/MO/MC COMP/P/92989/07/2024"/>
    <m/>
    <x v="21"/>
    <d v="2024-07-12T00:00:00"/>
    <d v="2025-07-12T00:00:00"/>
    <s v="SAJJAD QURESHI"/>
    <s v="SUZUKI-GSX 125"/>
    <n v="12475"/>
    <n v="10323"/>
    <s v="23100383"/>
    <d v="2024-07-12T00:00:00"/>
    <s v="MOTORCYCLE  COMPREHENSIVE"/>
    <n v="499000"/>
    <n v="1651.68"/>
    <n v="103.23"/>
    <n v="500"/>
  </r>
  <r>
    <s v="KHI/HO/D/MO/MC COMP/P/92990/07/2024"/>
    <m/>
    <x v="21"/>
    <d v="2024-07-12T00:00:00"/>
    <d v="2025-07-12T00:00:00"/>
    <s v="ARSLAN SAEED"/>
    <s v="SUZUKI-GS-150"/>
    <n v="9550"/>
    <n v="7802"/>
    <s v="30091352"/>
    <d v="2024-07-12T00:00:00"/>
    <s v="MOTORCYCLE  COMPREHENSIVE"/>
    <n v="382000"/>
    <n v="1248.32"/>
    <n v="78.02"/>
    <n v="500"/>
  </r>
  <r>
    <s v="KHI/HO/D/MO/MC COMP/P/92991/07/2024"/>
    <m/>
    <x v="21"/>
    <d v="2024-07-12T00:00:00"/>
    <d v="2025-07-12T00:00:00"/>
    <s v="ATIF ALI"/>
    <s v="SUZUKI-GD-110S"/>
    <n v="8800"/>
    <n v="7155"/>
    <s v="144872"/>
    <d v="2024-07-12T00:00:00"/>
    <s v="MOTORCYCLE  COMPREHENSIVE"/>
    <n v="352000"/>
    <n v="1144.8"/>
    <n v="71.55"/>
    <n v="500"/>
  </r>
  <r>
    <s v="KHI/HO/D/MO/MC COMP/P/92993/07/2024"/>
    <m/>
    <x v="21"/>
    <d v="2024-07-12T00:00:00"/>
    <d v="2025-07-12T00:00:00"/>
    <s v="BABAR KHAN"/>
    <s v="SUZUKI-GS 150"/>
    <n v="9550"/>
    <n v="7802"/>
    <s v="30091736"/>
    <d v="2024-07-12T00:00:00"/>
    <s v="MOTORCYCLE  COMPREHENSIVE"/>
    <n v="382000"/>
    <n v="1248.32"/>
    <n v="78.02"/>
    <n v="500"/>
  </r>
  <r>
    <s v="KHI/HO/D/MO/MC COMP/P/92994/07/2024"/>
    <m/>
    <x v="6"/>
    <d v="2024-07-12T00:00:00"/>
    <d v="2025-07-12T00:00:00"/>
    <s v="Gulzar Ahmad"/>
    <s v="SUZUKI-GS 150"/>
    <n v="9550"/>
    <n v="7802"/>
    <s v="30091790"/>
    <d v="2024-07-12T00:00:00"/>
    <s v="MOTORCYCLE  COMPREHENSIVE"/>
    <n v="382000"/>
    <n v="1248.32"/>
    <n v="78.02"/>
    <n v="500"/>
  </r>
  <r>
    <s v="KHI/HO/D/MO/MC COMP/P/92995/07/2024"/>
    <m/>
    <x v="21"/>
    <d v="2024-07-12T00:00:00"/>
    <d v="2025-07-12T00:00:00"/>
    <s v="HABEEL ASHRAF"/>
    <s v="SUZUKI-GS 150"/>
    <n v="9550"/>
    <n v="7802"/>
    <s v="30091741"/>
    <d v="2024-07-12T00:00:00"/>
    <s v="MOTORCYCLE  COMPREHENSIVE"/>
    <n v="382000"/>
    <n v="1248.32"/>
    <n v="78.02"/>
    <n v="500"/>
  </r>
  <r>
    <s v="KHI/HO/D/MO/MC COMP/P/92996/07/2024"/>
    <m/>
    <x v="21"/>
    <d v="2024-07-12T00:00:00"/>
    <d v="2025-07-12T00:00:00"/>
    <s v="MOEEZ AKRAM"/>
    <s v="SUZUKI-GR150 EURO II"/>
    <n v="13675"/>
    <n v="11358"/>
    <s v="113136"/>
    <d v="2024-07-12T00:00:00"/>
    <s v="MOTORCYCLE  COMPREHENSIVE"/>
    <n v="547000"/>
    <n v="1817.28"/>
    <n v="113.58"/>
    <n v="500"/>
  </r>
  <r>
    <s v="KHI/HO/D/MO/MC COMP/P/92997/07/2024"/>
    <m/>
    <x v="17"/>
    <d v="2024-07-12T00:00:00"/>
    <d v="2025-07-12T00:00:00"/>
    <s v="SUFYAN LATIF S/O M.LATIF"/>
    <s v="SUZUKI-GS 150"/>
    <n v="9550"/>
    <n v="7802"/>
    <s v="30091375"/>
    <d v="2024-07-12T00:00:00"/>
    <s v="MOTORCYCLE  COMPREHENSIVE"/>
    <n v="382000"/>
    <n v="1248.32"/>
    <n v="78.02"/>
    <n v="500"/>
  </r>
  <r>
    <s v="KHI/HO/D/MO/MC COMP/P/92998/07/2024"/>
    <m/>
    <x v="1"/>
    <d v="2024-07-12T00:00:00"/>
    <d v="2025-07-12T00:00:00"/>
    <s v="SHOUKAT IQBAL"/>
    <s v="SUZUKI-GD-110S"/>
    <n v="12320"/>
    <n v="10190"/>
    <s v="145252"/>
    <d v="2024-07-12T00:00:00"/>
    <s v="MOTORCYCLE  COMPREHENSIVE"/>
    <n v="352000"/>
    <n v="1630.4"/>
    <n v="101.9"/>
    <n v="500"/>
  </r>
  <r>
    <s v="KHI/HO/D/MO/MC COMP/P/93000/07/2024"/>
    <m/>
    <x v="4"/>
    <d v="2024-07-12T00:00:00"/>
    <d v="2025-07-12T00:00:00"/>
    <s v="JAWED MAKDA"/>
    <s v="SUZUKI-GSX 125"/>
    <n v="17465"/>
    <n v="14625"/>
    <s v="23100362"/>
    <d v="2024-07-12T00:00:00"/>
    <s v="MOTORCYCLE  COMPREHENSIVE"/>
    <n v="499000"/>
    <n v="2340"/>
    <n v="146.25"/>
    <n v="500"/>
  </r>
  <r>
    <s v="KHI/HO/D/MO/MC COMP/P/93001/07/2024"/>
    <m/>
    <x v="4"/>
    <d v="2025-07-13T00:00:00"/>
    <d v="2026-07-13T00:00:00"/>
    <s v="JAWED MAKDA"/>
    <s v="SUZUKI-GSX 125"/>
    <n v="17465"/>
    <n v="14625"/>
    <s v="23100362"/>
    <d v="2024-07-12T00:00:00"/>
    <s v="MOTORCYCLE  COMPREHENSIVE"/>
    <n v="499000"/>
    <n v="2340"/>
    <n v="146.25"/>
    <n v="500"/>
  </r>
  <r>
    <s v="KHI/HO/D/MO/MC COMP/P/93004/07/2024"/>
    <m/>
    <x v="1"/>
    <d v="2024-07-12T00:00:00"/>
    <d v="2025-07-12T00:00:00"/>
    <s v="MUHAMMAD SUMAID NAEEM"/>
    <s v="SUZUKI-GD-110S"/>
    <n v="12320"/>
    <n v="10190"/>
    <s v="145577"/>
    <d v="2024-07-12T00:00:00"/>
    <s v="MOTORCYCLE  COMPREHENSIVE"/>
    <n v="352000"/>
    <n v="1630.4"/>
    <n v="101.9"/>
    <n v="500"/>
  </r>
  <r>
    <s v="KHI/HO/D/MO/MC COMP/P/93005/07/2024"/>
    <m/>
    <x v="11"/>
    <d v="2024-07-12T00:00:00"/>
    <d v="2025-07-12T00:00:00"/>
    <s v="MUHAMMAD TAHA AHMED KHAN"/>
    <s v="SUZUKI-GS 150"/>
    <n v="13370"/>
    <n v="11095"/>
    <s v="30091932"/>
    <d v="2024-07-12T00:00:00"/>
    <s v="MOTORCYCLE  COMPREHENSIVE"/>
    <n v="382000"/>
    <n v="1775.2"/>
    <n v="110.95"/>
    <n v="500"/>
  </r>
  <r>
    <s v="KHI/HO/D/MO/MC COMP/P/93006/07/2024"/>
    <m/>
    <x v="11"/>
    <d v="2025-07-13T00:00:00"/>
    <d v="2026-07-13T00:00:00"/>
    <s v="MUHAMMAD TAHA AHMED KHAN"/>
    <s v="SUZUKI-GS 150"/>
    <n v="13370"/>
    <n v="11095"/>
    <s v="30091932"/>
    <d v="2024-07-12T00:00:00"/>
    <s v="MOTORCYCLE  COMPREHENSIVE"/>
    <n v="382000"/>
    <n v="1775.2"/>
    <n v="110.95"/>
    <n v="500"/>
  </r>
  <r>
    <s v="KHI/HO/D/MO/MC COMP/P/93007/07/2024"/>
    <m/>
    <x v="17"/>
    <d v="2024-07-12T00:00:00"/>
    <d v="2025-07-12T00:00:00"/>
    <s v="SYED MUSA RAZA S/O SYED MASUD HASSAN"/>
    <s v="SUZUKI-GS 150"/>
    <n v="9550"/>
    <n v="7802"/>
    <s v="30091882"/>
    <d v="2024-07-12T00:00:00"/>
    <s v="MOTORCYCLE  COMPREHENSIVE"/>
    <n v="382000"/>
    <n v="1248.32"/>
    <n v="78.02"/>
    <n v="500"/>
  </r>
  <r>
    <s v="KHI/HO/D/MO/MC COMP/P/93008/07/2024"/>
    <m/>
    <x v="11"/>
    <d v="2024-07-12T00:00:00"/>
    <d v="2025-07-12T00:00:00"/>
    <s v="WAJAHAT AHMED KHAN"/>
    <s v="SUZUKI-GS 150"/>
    <n v="13370"/>
    <n v="11095"/>
    <s v="30091743"/>
    <d v="2024-07-12T00:00:00"/>
    <s v="MOTORCYCLE  COMPREHENSIVE"/>
    <n v="382000"/>
    <n v="1775.2"/>
    <n v="110.95"/>
    <n v="500"/>
  </r>
  <r>
    <s v="KHI/HO/D/MO/MC COMP/P/93009/07/2024"/>
    <m/>
    <x v="11"/>
    <d v="2025-07-13T00:00:00"/>
    <d v="2026-07-13T00:00:00"/>
    <s v="WAJAHAT AHMED KHAN"/>
    <s v="SUZUKI-GS 150"/>
    <n v="13370"/>
    <n v="11095"/>
    <s v="30091743"/>
    <d v="2024-07-12T00:00:00"/>
    <s v="MOTORCYCLE  COMPREHENSIVE"/>
    <n v="382000"/>
    <n v="1775.2"/>
    <n v="110.95"/>
    <n v="500"/>
  </r>
  <r>
    <s v="KHI/HO/D/MO/MC COMP/P/93010/07/2024"/>
    <m/>
    <x v="1"/>
    <d v="2024-07-12T00:00:00"/>
    <d v="2025-07-12T00:00:00"/>
    <s v="ANEEQ JAMAL"/>
    <s v="SUZUKI-GR150 EURO II"/>
    <n v="19145"/>
    <n v="16073"/>
    <s v="113255"/>
    <d v="2024-07-12T00:00:00"/>
    <s v="MOTORCYCLE  COMPREHENSIVE"/>
    <n v="547000"/>
    <n v="2571.6799999999998"/>
    <n v="160.72999999999999"/>
    <n v="500"/>
  </r>
  <r>
    <s v="KHI/HO/D/MO/MC COMP/P/93011/07/2024"/>
    <m/>
    <x v="1"/>
    <d v="2025-07-13T00:00:00"/>
    <d v="2026-07-13T00:00:00"/>
    <s v="ANEEQ JAMAL"/>
    <s v="SUZUKI-GR150 EURO II"/>
    <n v="19145"/>
    <n v="16073"/>
    <s v="113255"/>
    <d v="2024-07-12T00:00:00"/>
    <s v="MOTORCYCLE  COMPREHENSIVE"/>
    <n v="547000"/>
    <n v="2571.6799999999998"/>
    <n v="160.72999999999999"/>
    <n v="500"/>
  </r>
  <r>
    <s v="KHI/HO/D/MO/MC COMP/P/93013/07/2024"/>
    <m/>
    <x v="1"/>
    <d v="2024-07-12T00:00:00"/>
    <d v="2025-07-12T00:00:00"/>
    <s v="GLOBAL QUALITY FOODS (PVT.) LTD."/>
    <s v="SUZUKI-GD-110S"/>
    <n v="12320"/>
    <n v="10190"/>
    <s v="145380"/>
    <d v="2024-07-12T00:00:00"/>
    <s v="MOTORCYCLE  COMPREHENSIVE"/>
    <n v="352000"/>
    <n v="1630.4"/>
    <n v="101.9"/>
    <n v="500"/>
  </r>
  <r>
    <s v="KHI/HO/D/MO/MC COMP/P/93014/07/2024"/>
    <m/>
    <x v="1"/>
    <d v="2025-07-13T00:00:00"/>
    <d v="2026-07-13T00:00:00"/>
    <s v="GLOBAL QUALITY FOODS (PVT.) LTD."/>
    <s v="SUZUKI-GD-110S"/>
    <n v="12320"/>
    <n v="10190"/>
    <s v="145380"/>
    <d v="2024-07-12T00:00:00"/>
    <s v="MOTORCYCLE  COMPREHENSIVE"/>
    <n v="352000"/>
    <n v="1630.4"/>
    <n v="101.9"/>
    <n v="500"/>
  </r>
  <r>
    <s v="KHI/HO/D/MO/MC COMP/P/93019/07/2024"/>
    <m/>
    <x v="2"/>
    <d v="2024-07-13T00:00:00"/>
    <d v="2025-07-13T00:00:00"/>
    <s v="JAFAR SAEED"/>
    <s v="SUZUKI-GS 150"/>
    <n v="13370"/>
    <n v="11095"/>
    <s v="30092169"/>
    <d v="2024-07-13T00:00:00"/>
    <s v="MOTORCYCLE  COMPREHENSIVE"/>
    <n v="382000"/>
    <n v="1775.2"/>
    <n v="110.95"/>
    <n v="500"/>
  </r>
  <r>
    <s v="KHI/HO/D/MO/MC COMP/P/93020/07/2024"/>
    <m/>
    <x v="2"/>
    <d v="2025-07-14T00:00:00"/>
    <d v="2026-07-14T00:00:00"/>
    <s v="JAFAR SAEED"/>
    <s v="SUZUKI-GS 150"/>
    <n v="13370"/>
    <n v="11095"/>
    <s v="30092169"/>
    <d v="2024-07-13T00:00:00"/>
    <s v="MOTORCYCLE  COMPREHENSIVE"/>
    <n v="382000"/>
    <n v="1775.2"/>
    <n v="110.95"/>
    <n v="500"/>
  </r>
  <r>
    <s v="KHI/HO/D/MO/MC COMP/P/93021/07/2024"/>
    <m/>
    <x v="10"/>
    <d v="2024-07-13T00:00:00"/>
    <d v="2025-07-13T00:00:00"/>
    <s v="MUHAMMAD AQEEL JAFAR"/>
    <s v="SUZUKI-GS 150"/>
    <n v="9550"/>
    <n v="7802"/>
    <s v="30092028"/>
    <d v="2024-07-13T00:00:00"/>
    <s v="MOTORCYCLE  COMPREHENSIVE"/>
    <n v="382000"/>
    <n v="1248.32"/>
    <n v="78.02"/>
    <n v="500"/>
  </r>
  <r>
    <s v="KHI/HO/D/MO/MC COMP/P/93022/07/2024"/>
    <m/>
    <x v="21"/>
    <d v="2024-07-13T00:00:00"/>
    <d v="2025-07-13T00:00:00"/>
    <s v="MUHAMMAD ABUBAKAR"/>
    <s v="SUZUKI-GD-110S"/>
    <n v="8800"/>
    <n v="7155"/>
    <s v="144410"/>
    <d v="2024-07-13T00:00:00"/>
    <s v="MOTORCYCLE  COMPREHENSIVE"/>
    <n v="352000"/>
    <n v="1144.8"/>
    <n v="71.55"/>
    <n v="500"/>
  </r>
  <r>
    <s v="KHI/HO/D/MO/MC COMP/P/93023/07/2024"/>
    <m/>
    <x v="21"/>
    <d v="2024-07-13T00:00:00"/>
    <d v="2025-07-13T00:00:00"/>
    <s v="SAIM ANWAR"/>
    <s v="SUZUKI-GD-110S"/>
    <n v="8800"/>
    <n v="7155"/>
    <s v="144407"/>
    <d v="2024-07-13T00:00:00"/>
    <s v="MOTORCYCLE  COMPREHENSIVE"/>
    <n v="352000"/>
    <n v="1144.8"/>
    <n v="71.55"/>
    <n v="500"/>
  </r>
  <r>
    <s v="KHI/HO/D/MO/MC COMP/P/93024/07/2024"/>
    <m/>
    <x v="21"/>
    <d v="2024-07-13T00:00:00"/>
    <d v="2025-07-13T00:00:00"/>
    <s v="MUHAMMAD NADEEM"/>
    <s v="SUZUKI-GD-110S"/>
    <n v="8800"/>
    <n v="7155"/>
    <s v="144118"/>
    <d v="2024-07-13T00:00:00"/>
    <s v="MOTORCYCLE  COMPREHENSIVE"/>
    <n v="352000"/>
    <n v="1144.8"/>
    <n v="71.55"/>
    <n v="500"/>
  </r>
  <r>
    <s v="KHI/HO/D/MO/MC COMP/P/93025/07/2024"/>
    <m/>
    <x v="21"/>
    <d v="2024-07-13T00:00:00"/>
    <d v="2025-07-13T00:00:00"/>
    <s v="IMRAN BADAR"/>
    <s v="SUZUKI-GD-110S"/>
    <n v="8800"/>
    <n v="7155"/>
    <s v="145046"/>
    <d v="2024-07-13T00:00:00"/>
    <s v="MOTORCYCLE  COMPREHENSIVE"/>
    <n v="352000"/>
    <n v="1144.8"/>
    <n v="71.55"/>
    <n v="500"/>
  </r>
  <r>
    <s v="KHI/HO/D/MO/MC COMP/P/93026/07/2024"/>
    <m/>
    <x v="21"/>
    <d v="2024-07-13T00:00:00"/>
    <d v="2025-07-13T00:00:00"/>
    <s v="MIAN AFZAL"/>
    <s v="SUZUKI-GD-110S"/>
    <n v="8800"/>
    <n v="7155"/>
    <s v="145051"/>
    <d v="2024-07-13T00:00:00"/>
    <s v="MOTORCYCLE  COMPREHENSIVE"/>
    <n v="352000"/>
    <n v="1144.8"/>
    <n v="71.55"/>
    <n v="500"/>
  </r>
  <r>
    <s v="KHI/HO/D/MO/MC COMP/P/93027/07/2024"/>
    <m/>
    <x v="1"/>
    <d v="2024-07-13T00:00:00"/>
    <d v="2025-07-13T00:00:00"/>
    <s v="MUHAMMAD SANAN BIN SHAHID"/>
    <s v="SUZUKI-GSX 125"/>
    <n v="17465"/>
    <n v="14625"/>
    <s v="22106432"/>
    <d v="2024-07-13T00:00:00"/>
    <s v="MOTORCYCLE  COMPREHENSIVE"/>
    <n v="499000"/>
    <n v="2340"/>
    <n v="146.25"/>
    <n v="500"/>
  </r>
  <r>
    <s v="KHI/HO/D/MO/MC COMP/P/93028/07/2024"/>
    <m/>
    <x v="1"/>
    <d v="2025-07-14T00:00:00"/>
    <d v="2026-07-14T00:00:00"/>
    <s v="MUHAMMAD SANAN BIN SHAHID"/>
    <s v="SUZUKI-GSX 125"/>
    <n v="17465"/>
    <n v="14625"/>
    <s v="22106432"/>
    <d v="2024-07-13T00:00:00"/>
    <s v="MOTORCYCLE  COMPREHENSIVE"/>
    <n v="499000"/>
    <n v="2340"/>
    <n v="146.25"/>
    <n v="500"/>
  </r>
  <r>
    <s v="KHI/HO/D/MO/MC COMP/P/93029/07/2024"/>
    <m/>
    <x v="21"/>
    <d v="2024-07-13T00:00:00"/>
    <d v="2025-07-13T00:00:00"/>
    <s v="MEHDI RAZA"/>
    <s v="SUZUKI-GD-110S"/>
    <n v="8800"/>
    <n v="7155"/>
    <s v="144413"/>
    <d v="2024-07-13T00:00:00"/>
    <s v="MOTORCYCLE  COMPREHENSIVE"/>
    <n v="352000"/>
    <n v="1144.8"/>
    <n v="71.55"/>
    <n v="500"/>
  </r>
  <r>
    <s v="KHI/HO/D/MO/MC COMP/P/93031/07/2024"/>
    <m/>
    <x v="1"/>
    <d v="2024-07-13T00:00:00"/>
    <d v="2025-07-13T00:00:00"/>
    <s v="FAISAL AHMAD"/>
    <s v="SUZUKI-GD-110S"/>
    <n v="12320"/>
    <n v="10190"/>
    <s v="144530"/>
    <d v="2024-07-13T00:00:00"/>
    <s v="MOTORCYCLE  COMPREHENSIVE"/>
    <n v="352000"/>
    <n v="1630.4"/>
    <n v="101.9"/>
    <n v="500"/>
  </r>
  <r>
    <s v="KHI/HO/D/MO/MC COMP/P/93032/07/2024"/>
    <m/>
    <x v="1"/>
    <d v="2025-07-14T00:00:00"/>
    <d v="2026-07-14T00:00:00"/>
    <s v="FAISAL AHMAD"/>
    <s v="SUZUKI-GD-110S"/>
    <n v="12320"/>
    <n v="10190"/>
    <s v="144530"/>
    <d v="2024-07-13T00:00:00"/>
    <s v="MOTORCYCLE  COMPREHENSIVE"/>
    <n v="352000"/>
    <n v="1630.4"/>
    <n v="101.9"/>
    <n v="500"/>
  </r>
  <r>
    <s v="KHI/HO/D/MO/MC COMP/P/93033/07/2024"/>
    <m/>
    <x v="1"/>
    <d v="2024-07-13T00:00:00"/>
    <d v="2025-07-13T00:00:00"/>
    <s v="USMAN GHANI"/>
    <s v="SUZUKI-GD-110S"/>
    <n v="12320"/>
    <n v="10190"/>
    <s v="144192"/>
    <d v="2024-07-13T00:00:00"/>
    <s v="MOTORCYCLE  COMPREHENSIVE"/>
    <n v="352000"/>
    <n v="1630.4"/>
    <n v="101.9"/>
    <n v="500"/>
  </r>
  <r>
    <s v="KHI/HO/D/MO/MC COMP/P/93034/07/2024"/>
    <m/>
    <x v="1"/>
    <d v="2025-07-14T00:00:00"/>
    <d v="2026-07-14T00:00:00"/>
    <s v="USMAN GHANI"/>
    <s v="SUZUKI-GD-110S"/>
    <n v="12320"/>
    <n v="10190"/>
    <s v="144192"/>
    <d v="2024-07-13T00:00:00"/>
    <s v="MOTORCYCLE  COMPREHENSIVE"/>
    <n v="352000"/>
    <n v="1630.4"/>
    <n v="101.9"/>
    <n v="500"/>
  </r>
  <r>
    <s v="KHI/HO/D/MO/MC COMP/P/93038/07/2024"/>
    <m/>
    <x v="1"/>
    <d v="2024-07-13T00:00:00"/>
    <d v="2025-07-13T00:00:00"/>
    <s v="MUHAMMAD KASHAN"/>
    <s v="SUZUKI-GS 150"/>
    <n v="13370"/>
    <n v="11095"/>
    <s v="30091971"/>
    <d v="2024-07-13T00:00:00"/>
    <s v="MOTORCYCLE  COMPREHENSIVE"/>
    <n v="382000"/>
    <n v="1775.2"/>
    <n v="110.95"/>
    <n v="500"/>
  </r>
  <r>
    <s v="KHI/HO/D/MO/MC COMP/P/93039/07/2024"/>
    <m/>
    <x v="1"/>
    <d v="2025-07-14T00:00:00"/>
    <d v="2026-07-14T00:00:00"/>
    <s v="MUHAMMAD KASHAN"/>
    <s v="SUZUKI-GS 150"/>
    <n v="13370"/>
    <n v="11095"/>
    <s v="30091971"/>
    <d v="2024-07-13T00:00:00"/>
    <s v="MOTORCYCLE  COMPREHENSIVE"/>
    <n v="382000"/>
    <n v="1775.2"/>
    <n v="110.95"/>
    <n v="500"/>
  </r>
  <r>
    <s v="KHI/HO/D/MO/MC COMP/P/93041/07/2024"/>
    <m/>
    <x v="6"/>
    <d v="2024-07-13T00:00:00"/>
    <d v="2025-07-13T00:00:00"/>
    <s v="M Asghar Javed"/>
    <s v="SUZUKI-GD-110S"/>
    <n v="8800"/>
    <n v="7155"/>
    <s v="145264"/>
    <d v="2024-07-13T00:00:00"/>
    <s v="MOTORCYCLE  COMPREHENSIVE"/>
    <n v="352000"/>
    <n v="1144.8"/>
    <n v="71.55"/>
    <n v="500"/>
  </r>
  <r>
    <s v="KHI/HO/D/MO/MC COMP/P/93043/07/2024"/>
    <m/>
    <x v="16"/>
    <d v="2024-07-13T00:00:00"/>
    <d v="2025-07-13T00:00:00"/>
    <s v="MUHAMMAD WAQAS"/>
    <s v="SUZUKI-GD-110S"/>
    <n v="8800"/>
    <n v="7155"/>
    <s v="144649"/>
    <d v="2024-07-13T00:00:00"/>
    <s v="MOTORCYCLE  COMPREHENSIVE"/>
    <n v="352000"/>
    <n v="1144.8"/>
    <n v="71.55"/>
    <n v="500"/>
  </r>
  <r>
    <s v="KHI/HO/D/MO/MC COMP/P/93044/07/2024"/>
    <m/>
    <x v="1"/>
    <d v="2024-07-13T00:00:00"/>
    <d v="2025-07-13T00:00:00"/>
    <s v="FAIZAN AHMED"/>
    <s v="SUZUKI-GS 150"/>
    <n v="13370"/>
    <n v="11095"/>
    <s v="30091888"/>
    <d v="2024-07-13T00:00:00"/>
    <s v="MOTORCYCLE  COMPREHENSIVE"/>
    <n v="382000"/>
    <n v="1775.2"/>
    <n v="110.95"/>
    <n v="500"/>
  </r>
  <r>
    <s v="KHI/HO/D/MO/MC COMP/P/93045/07/2024"/>
    <m/>
    <x v="1"/>
    <d v="2025-07-14T00:00:00"/>
    <d v="2026-07-14T00:00:00"/>
    <s v="FAIZAN AHMED"/>
    <s v="SUZUKI-GS 150"/>
    <n v="13370"/>
    <n v="11095"/>
    <s v="30091888"/>
    <d v="2024-07-13T00:00:00"/>
    <s v="MOTORCYCLE  COMPREHENSIVE"/>
    <n v="382000"/>
    <n v="1775.2"/>
    <n v="110.95"/>
    <n v="500"/>
  </r>
  <r>
    <s v="KHI/HO/D/MO/MC COMP/P/93046/07/2024"/>
    <m/>
    <x v="16"/>
    <d v="2024-07-13T00:00:00"/>
    <d v="2025-07-13T00:00:00"/>
    <s v="ZAHID SAHIB CHEEMA"/>
    <s v="SUZUKI-GD-110S"/>
    <n v="8800"/>
    <n v="7155"/>
    <s v="144662"/>
    <d v="2024-07-13T00:00:00"/>
    <s v="MOTORCYCLE  COMPREHENSIVE"/>
    <n v="352000"/>
    <n v="1144.8"/>
    <n v="71.55"/>
    <n v="500"/>
  </r>
  <r>
    <s v="KHI/HO/D/MO/MC COMP/P/93050/07/2024"/>
    <m/>
    <x v="4"/>
    <d v="2024-07-13T00:00:00"/>
    <d v="2025-07-13T00:00:00"/>
    <s v="ABDUL RAUF BUTT"/>
    <s v="SUZUKI-GSX 125"/>
    <n v="17465"/>
    <n v="14625"/>
    <s v="23100442"/>
    <d v="2024-07-13T00:00:00"/>
    <s v="MOTORCYCLE  COMPREHENSIVE"/>
    <n v="499000"/>
    <n v="2340"/>
    <n v="146.25"/>
    <n v="500"/>
  </r>
  <r>
    <s v="KHI/HO/D/MO/MC COMP/P/93051/07/2024"/>
    <m/>
    <x v="4"/>
    <d v="2025-07-14T00:00:00"/>
    <d v="2026-07-14T00:00:00"/>
    <s v="ABDUL RAUF BUTT"/>
    <s v="SUZUKI-GSX 125"/>
    <n v="17465"/>
    <n v="14625"/>
    <s v="23100442"/>
    <d v="2024-07-13T00:00:00"/>
    <s v="MOTORCYCLE  COMPREHENSIVE"/>
    <n v="499000"/>
    <n v="2340"/>
    <n v="146.25"/>
    <n v="500"/>
  </r>
  <r>
    <s v="KHI/HO/D/MO/MC COMP/P/93053/07/2024"/>
    <m/>
    <x v="18"/>
    <d v="2024-07-13T00:00:00"/>
    <d v="2025-07-13T00:00:00"/>
    <s v="HAFIZ MUHAMMAD ADNAN"/>
    <s v="SUZUKI-GD-110S"/>
    <n v="8800"/>
    <n v="7155"/>
    <s v="145786"/>
    <d v="2024-07-13T00:00:00"/>
    <s v="MOTORCYCLE  COMPREHENSIVE"/>
    <n v="352000"/>
    <n v="1144.8"/>
    <n v="71.55"/>
    <n v="500"/>
  </r>
  <r>
    <s v="KHI/HO/D/MO/MC COMP/P/93054/07/2024"/>
    <m/>
    <x v="4"/>
    <d v="2024-07-13T00:00:00"/>
    <d v="2025-07-13T00:00:00"/>
    <s v="RAJESH"/>
    <s v="SUZUKI-GS-150"/>
    <n v="13370"/>
    <n v="11095"/>
    <s v="30091973"/>
    <d v="2024-07-13T00:00:00"/>
    <s v="MOTORCYCLE  COMPREHENSIVE"/>
    <n v="382000"/>
    <n v="1775.2"/>
    <n v="110.95"/>
    <n v="500"/>
  </r>
  <r>
    <s v="KHI/HO/D/MO/MC COMP/P/93055/07/2024"/>
    <m/>
    <x v="4"/>
    <d v="2025-07-14T00:00:00"/>
    <d v="2026-07-14T00:00:00"/>
    <s v="RAJESH"/>
    <s v="SUZUKI-GS-150"/>
    <n v="13370"/>
    <n v="11095"/>
    <s v="30091973"/>
    <d v="2024-07-13T00:00:00"/>
    <s v="MOTORCYCLE  COMPREHENSIVE"/>
    <n v="382000"/>
    <n v="1775.2"/>
    <n v="110.95"/>
    <n v="500"/>
  </r>
  <r>
    <s v="KHI/HO/D/MO/MC COMP/P/93056/07/2024"/>
    <m/>
    <x v="1"/>
    <d v="2024-07-13T00:00:00"/>
    <d v="2025-07-13T00:00:00"/>
    <s v="MUHAMMAD NOMAN MOHSIN"/>
    <s v="SUZUKI-GSX 125"/>
    <n v="17465"/>
    <n v="14625"/>
    <s v="23100438"/>
    <d v="2024-07-13T00:00:00"/>
    <s v="MOTORCYCLE  COMPREHENSIVE"/>
    <n v="499000"/>
    <n v="2340"/>
    <n v="146.25"/>
    <n v="500"/>
  </r>
  <r>
    <s v="KHI/HO/D/MO/MC COMP/P/93057/07/2024"/>
    <m/>
    <x v="1"/>
    <d v="2025-07-14T00:00:00"/>
    <d v="2026-07-14T00:00:00"/>
    <s v="MUHAMMAD NOMAN MOHSIN"/>
    <s v="SUZUKI-GSX 125"/>
    <n v="17465"/>
    <n v="14625"/>
    <s v="23100438"/>
    <d v="2024-07-13T00:00:00"/>
    <s v="MOTORCYCLE  COMPREHENSIVE"/>
    <n v="499000"/>
    <n v="2340"/>
    <n v="146.25"/>
    <n v="500"/>
  </r>
  <r>
    <s v="KHI/HO/D/MO/MC COMP/P/93058/07/2024"/>
    <m/>
    <x v="4"/>
    <d v="2024-07-13T00:00:00"/>
    <d v="2025-07-13T00:00:00"/>
    <s v="MIRZA ADEEL ANWAR"/>
    <s v="SUZUKI-GD-110S"/>
    <n v="12320"/>
    <n v="10190"/>
    <s v="145490"/>
    <d v="2024-07-13T00:00:00"/>
    <s v="MOTORCYCLE  COMPREHENSIVE"/>
    <n v="352000"/>
    <n v="1630.4"/>
    <n v="101.9"/>
    <n v="500"/>
  </r>
  <r>
    <s v="KHI/HO/D/MO/MC COMP/P/93059/07/2024"/>
    <m/>
    <x v="4"/>
    <d v="2025-07-14T00:00:00"/>
    <d v="2026-07-14T00:00:00"/>
    <s v="MIRZA ADEEL ANWAR"/>
    <s v="SUZUKI-GD-110S"/>
    <n v="12320"/>
    <n v="10190"/>
    <s v="145490"/>
    <d v="2024-07-13T00:00:00"/>
    <s v="MOTORCYCLE  COMPREHENSIVE"/>
    <n v="352000"/>
    <n v="1630.4"/>
    <n v="101.9"/>
    <n v="500"/>
  </r>
  <r>
    <s v="KHI/HO/D/MO/MC COMP/P/93060/07/2024"/>
    <m/>
    <x v="1"/>
    <d v="2024-07-13T00:00:00"/>
    <d v="2025-07-13T00:00:00"/>
    <s v="ABID SARFARAZ"/>
    <s v="SUZUKI-GR150 EURO II"/>
    <n v="19145"/>
    <n v="16073"/>
    <s v="113245"/>
    <d v="2024-07-13T00:00:00"/>
    <s v="MOTORCYCLE  COMPREHENSIVE"/>
    <n v="547000"/>
    <n v="2571.6799999999998"/>
    <n v="160.72999999999999"/>
    <n v="500"/>
  </r>
  <r>
    <s v="KHI/HO/D/MO/MC COMP/P/93061/07/2024"/>
    <m/>
    <x v="1"/>
    <d v="2025-07-14T00:00:00"/>
    <d v="2026-07-14T00:00:00"/>
    <s v="ABID SARFARAZ"/>
    <s v="SUZUKI-GR150 EURO II"/>
    <n v="19145"/>
    <n v="16073"/>
    <s v="113245"/>
    <d v="2024-07-13T00:00:00"/>
    <s v="MOTORCYCLE  COMPREHENSIVE"/>
    <n v="547000"/>
    <n v="2571.6799999999998"/>
    <n v="160.72999999999999"/>
    <n v="500"/>
  </r>
  <r>
    <s v="KHI/HO/D/MO/MC COMP/P/93062/07/2024"/>
    <m/>
    <x v="11"/>
    <d v="2024-07-13T00:00:00"/>
    <d v="2025-07-13T00:00:00"/>
    <s v="HAMMAD EJAZ"/>
    <s v="SUZUKI-GD-110S"/>
    <n v="12320"/>
    <n v="10190"/>
    <s v="145521"/>
    <d v="2024-07-13T00:00:00"/>
    <s v="MOTORCYCLE  COMPREHENSIVE"/>
    <n v="352000"/>
    <n v="1630.4"/>
    <n v="101.9"/>
    <n v="500"/>
  </r>
  <r>
    <s v="KHI/HO/D/MO/MC COMP/P/93064/07/2024"/>
    <m/>
    <x v="1"/>
    <d v="2024-07-13T00:00:00"/>
    <d v="2025-07-13T00:00:00"/>
    <s v="REHAN MATEN"/>
    <s v="SUZUKI-GR150 EURO II"/>
    <n v="19145"/>
    <n v="16073"/>
    <s v="113251"/>
    <d v="2024-07-13T00:00:00"/>
    <s v="MOTORCYCLE  COMPREHENSIVE"/>
    <n v="547000"/>
    <n v="2571.6799999999998"/>
    <n v="160.72999999999999"/>
    <n v="500"/>
  </r>
  <r>
    <s v="KHI/HO/D/MO/MC COMP/P/93065/07/2024"/>
    <m/>
    <x v="1"/>
    <d v="2025-07-14T00:00:00"/>
    <d v="2026-07-14T00:00:00"/>
    <s v="REHAN MATEN"/>
    <s v="SUZUKI-GR150 EURO II"/>
    <n v="19145"/>
    <n v="16073"/>
    <s v="113251"/>
    <d v="2024-07-13T00:00:00"/>
    <s v="MOTORCYCLE  COMPREHENSIVE"/>
    <n v="547000"/>
    <n v="2571.6799999999998"/>
    <n v="160.72999999999999"/>
    <n v="500"/>
  </r>
  <r>
    <s v="KHI/HO/D/MO/MC COMP/P/93066/07/2024"/>
    <m/>
    <x v="19"/>
    <d v="2024-07-13T00:00:00"/>
    <d v="2025-07-13T00:00:00"/>
    <s v="MALIK MUHAMMAD BILAL"/>
    <s v="SUZUKI-GD-110S"/>
    <n v="12320"/>
    <n v="10190"/>
    <s v="144564"/>
    <d v="2024-07-13T00:00:00"/>
    <s v="MOTORCYCLE  COMPREHENSIVE"/>
    <n v="352000"/>
    <n v="1630.4"/>
    <n v="101.9"/>
    <n v="500"/>
  </r>
  <r>
    <s v="KHI/HO/D/MO/MC COMP/P/93067/07/2024"/>
    <m/>
    <x v="19"/>
    <d v="2025-07-14T00:00:00"/>
    <d v="2026-07-14T00:00:00"/>
    <s v="MALIK MUHAMMAD BILAL"/>
    <s v="SUZUKI-GD-110S"/>
    <n v="12320"/>
    <n v="10190"/>
    <s v="144564"/>
    <d v="2024-07-13T00:00:00"/>
    <s v="MOTORCYCLE  COMPREHENSIVE"/>
    <n v="352000"/>
    <n v="1630.4"/>
    <n v="101.9"/>
    <n v="500"/>
  </r>
  <r>
    <s v="KHI/HO/D/MO/MC COMP/P/93069/07/2024"/>
    <m/>
    <x v="16"/>
    <d v="2024-07-13T00:00:00"/>
    <d v="2025-07-13T00:00:00"/>
    <s v="USMAN AHMAD MALIK"/>
    <s v="SUZUKI-GD-110S"/>
    <n v="8800"/>
    <n v="7155"/>
    <s v="143526"/>
    <d v="2024-07-13T00:00:00"/>
    <s v="MOTORCYCLE  COMPREHENSIVE"/>
    <n v="352000"/>
    <n v="1144.8"/>
    <n v="71.55"/>
    <n v="500"/>
  </r>
  <r>
    <s v="KHI/HO/D/MO/MC COMP/P/93070/07/2024"/>
    <m/>
    <x v="16"/>
    <d v="2024-07-13T00:00:00"/>
    <d v="2025-07-13T00:00:00"/>
    <s v="NAVEED LIAQAT"/>
    <s v="SUZUKI-GD-110S"/>
    <n v="8800"/>
    <n v="7155"/>
    <s v="144650"/>
    <d v="2024-07-13T00:00:00"/>
    <s v="MOTORCYCLE  COMPREHENSIVE"/>
    <n v="352000"/>
    <n v="1144.8"/>
    <n v="71.55"/>
    <n v="500"/>
  </r>
  <r>
    <s v="KHI/HO/D/MO/MC COMP/P/93071/07/2024"/>
    <m/>
    <x v="16"/>
    <d v="2024-07-13T00:00:00"/>
    <d v="2025-07-13T00:00:00"/>
    <s v="TAHIR USMAN"/>
    <s v="SUZUKI-GD-110S"/>
    <n v="8800"/>
    <n v="7155"/>
    <s v="144708"/>
    <d v="2024-07-13T00:00:00"/>
    <s v="MOTORCYCLE  COMPREHENSIVE"/>
    <n v="352000"/>
    <n v="1144.8"/>
    <n v="71.55"/>
    <n v="500"/>
  </r>
  <r>
    <s v="KHI/HO/D/MO/MC COMP/P/93072/07/2024"/>
    <m/>
    <x v="19"/>
    <d v="2024-07-13T00:00:00"/>
    <d v="2025-07-13T00:00:00"/>
    <s v="MUHAMMAD YOUSUF"/>
    <s v="SUZUKI-GD-110S"/>
    <n v="12320"/>
    <n v="10190"/>
    <s v="145477"/>
    <d v="2024-07-13T00:00:00"/>
    <s v="MOTORCYCLE  COMPREHENSIVE"/>
    <n v="352000"/>
    <n v="1630.4"/>
    <n v="101.9"/>
    <n v="500"/>
  </r>
  <r>
    <s v="KHI/HO/D/MO/MC COMP/P/93073/07/2024"/>
    <m/>
    <x v="19"/>
    <d v="2025-07-14T00:00:00"/>
    <d v="2026-07-14T00:00:00"/>
    <s v="MUHAMMAD YOUSUF"/>
    <s v="SUZUKI-GD-110S"/>
    <n v="12320"/>
    <n v="10190"/>
    <s v="145477"/>
    <d v="2024-07-13T00:00:00"/>
    <s v="MOTORCYCLE  COMPREHENSIVE"/>
    <n v="352000"/>
    <n v="1630.4"/>
    <n v="101.9"/>
    <n v="500"/>
  </r>
  <r>
    <s v="KHI/HO/D/MO/MC COMP/P/93074/07/2024"/>
    <m/>
    <x v="2"/>
    <d v="2024-07-13T00:00:00"/>
    <d v="2025-07-13T00:00:00"/>
    <s v="MOHSIN ASIM"/>
    <s v="SUZUKI-GD-110S"/>
    <n v="12320"/>
    <n v="10190"/>
    <s v="145407"/>
    <d v="2024-07-13T00:00:00"/>
    <s v="MOTORCYCLE  COMPREHENSIVE"/>
    <n v="352000"/>
    <n v="1630.4"/>
    <n v="101.9"/>
    <n v="500"/>
  </r>
  <r>
    <s v="KHI/HO/D/MO/MC COMP/P/93075/07/2024"/>
    <m/>
    <x v="1"/>
    <d v="2024-07-13T00:00:00"/>
    <d v="2025-07-13T00:00:00"/>
    <s v="MUHAMMAD SHOAIB ZUBAIR"/>
    <s v="SUZUKI-GD-110S"/>
    <n v="12320"/>
    <n v="10190"/>
    <s v="145347"/>
    <d v="2024-07-13T00:00:00"/>
    <s v="MOTORCYCLE  COMPREHENSIVE"/>
    <n v="352000"/>
    <n v="1630.4"/>
    <n v="101.9"/>
    <n v="500"/>
  </r>
  <r>
    <s v="KHI/HO/D/MO/MC COMP/P/93076/07/2024"/>
    <m/>
    <x v="1"/>
    <d v="2025-07-14T00:00:00"/>
    <d v="2026-07-14T00:00:00"/>
    <s v="MUHAMMAD SHOAIB ZUBAIR"/>
    <s v="SUZUKI-GD-110S"/>
    <n v="12320"/>
    <n v="10190"/>
    <s v="145347"/>
    <d v="2024-07-13T00:00:00"/>
    <s v="MOTORCYCLE  COMPREHENSIVE"/>
    <n v="352000"/>
    <n v="1630.4"/>
    <n v="101.9"/>
    <n v="500"/>
  </r>
  <r>
    <s v="KHI/HO/D/MO/MC COMP/P/93077/07/2024"/>
    <m/>
    <x v="1"/>
    <d v="2024-07-13T00:00:00"/>
    <d v="2025-07-13T00:00:00"/>
    <s v="MUHAMMAD AFNAN"/>
    <s v="SUZUKI-GD-110S"/>
    <n v="12320"/>
    <n v="10190"/>
    <s v="145273"/>
    <d v="2024-07-13T00:00:00"/>
    <s v="MOTORCYCLE  COMPREHENSIVE"/>
    <n v="352000"/>
    <n v="1630.4"/>
    <n v="101.9"/>
    <n v="500"/>
  </r>
  <r>
    <s v="KHI/HO/D/MO/MC COMP/P/93078/07/2024"/>
    <m/>
    <x v="1"/>
    <d v="2025-07-14T00:00:00"/>
    <d v="2026-07-14T00:00:00"/>
    <s v="MUHAMMAD AFNAN"/>
    <s v="SUZUKI-GD-110S"/>
    <n v="12320"/>
    <n v="10190"/>
    <s v="145273"/>
    <d v="2024-07-13T00:00:00"/>
    <s v="MOTORCYCLE  COMPREHENSIVE"/>
    <n v="352000"/>
    <n v="1630.4"/>
    <n v="101.9"/>
    <n v="500"/>
  </r>
  <r>
    <s v="KHI/HO/D/MO/MC COMP/P/93079/07/2024"/>
    <m/>
    <x v="2"/>
    <d v="2024-07-13T00:00:00"/>
    <d v="2025-07-13T00:00:00"/>
    <s v="TAHA ARSHAD KHAN"/>
    <s v="SUZUKI-GD-110S"/>
    <n v="12320"/>
    <n v="10190"/>
    <s v="145578"/>
    <d v="2024-07-13T00:00:00"/>
    <s v="MOTORCYCLE  COMPREHENSIVE"/>
    <n v="352000"/>
    <n v="1630.4"/>
    <n v="101.9"/>
    <n v="500"/>
  </r>
  <r>
    <s v="KHI/HO/D/MO/MC COMP/P/93080/07/2024"/>
    <m/>
    <x v="2"/>
    <d v="2025-07-14T00:00:00"/>
    <d v="2026-07-14T00:00:00"/>
    <s v="TAHA ARSHAD KHAN"/>
    <s v="SUZUKI-GD-110S"/>
    <n v="12320"/>
    <n v="10190"/>
    <s v="145578"/>
    <d v="2024-07-13T00:00:00"/>
    <s v="MOTORCYCLE  COMPREHENSIVE"/>
    <n v="352000"/>
    <n v="1630.4"/>
    <n v="101.9"/>
    <n v="500"/>
  </r>
  <r>
    <s v="KHI/HO/D/MO/MC COMP/P/93081/07/2024"/>
    <m/>
    <x v="16"/>
    <d v="2024-07-13T00:00:00"/>
    <d v="2025-07-13T00:00:00"/>
    <s v="M.MAQSOOD"/>
    <s v="SUZUKI-GD-110S"/>
    <n v="8800"/>
    <n v="7155"/>
    <s v="145212"/>
    <d v="2024-07-13T00:00:00"/>
    <s v="MOTORCYCLE  COMPREHENSIVE"/>
    <n v="352000"/>
    <n v="1144.8"/>
    <n v="71.55"/>
    <n v="500"/>
  </r>
  <r>
    <s v="KHI/HO/D/MO/MC COMP/P/93082/07/2024"/>
    <m/>
    <x v="4"/>
    <d v="2024-07-13T00:00:00"/>
    <d v="2025-07-13T00:00:00"/>
    <s v="TALHA RAJPUT"/>
    <s v="SUZUKI-GD-110S"/>
    <n v="12320"/>
    <n v="10190"/>
    <s v="145774"/>
    <d v="2024-07-13T00:00:00"/>
    <s v="MOTORCYCLE  COMPREHENSIVE"/>
    <n v="352000"/>
    <n v="1630.4"/>
    <n v="101.9"/>
    <n v="500"/>
  </r>
  <r>
    <s v="KHI/HO/D/MO/MC COMP/P/93083/07/2024"/>
    <m/>
    <x v="16"/>
    <d v="2024-07-13T00:00:00"/>
    <d v="2025-07-13T00:00:00"/>
    <s v="AMIR SOHAIL"/>
    <s v="SUZUKI-GD-110S"/>
    <n v="8800"/>
    <n v="7155"/>
    <s v="145150"/>
    <d v="2024-07-13T00:00:00"/>
    <s v="MOTORCYCLE  COMPREHENSIVE"/>
    <n v="352000"/>
    <n v="1144.8"/>
    <n v="71.55"/>
    <n v="500"/>
  </r>
  <r>
    <s v="KHI/HO/D/MO/MC COMP/P/93084/07/2024"/>
    <m/>
    <x v="16"/>
    <d v="2024-07-13T00:00:00"/>
    <d v="2025-07-13T00:00:00"/>
    <s v="FARHAN"/>
    <s v="SUZUKI-GD-110S"/>
    <n v="8800"/>
    <n v="7155"/>
    <s v="144935"/>
    <d v="2024-07-13T00:00:00"/>
    <s v="MOTORCYCLE  COMPREHENSIVE"/>
    <n v="352000"/>
    <n v="1144.8"/>
    <n v="71.55"/>
    <n v="500"/>
  </r>
  <r>
    <s v="KHI/HO/D/MO/MC COMP/P/93085/07/2024"/>
    <m/>
    <x v="1"/>
    <d v="2024-07-13T00:00:00"/>
    <d v="2025-07-13T00:00:00"/>
    <s v="SYED MUHAMMAD UMAIR"/>
    <s v="SUZUKI-GD-110S"/>
    <n v="12320"/>
    <n v="10190"/>
    <s v="145249"/>
    <d v="2024-07-13T00:00:00"/>
    <s v="MOTORCYCLE  COMPREHENSIVE"/>
    <n v="352000"/>
    <n v="1630.4"/>
    <n v="101.9"/>
    <n v="500"/>
  </r>
  <r>
    <s v="KHI/HO/D/MO/MC COMP/P/93086/07/2024"/>
    <m/>
    <x v="1"/>
    <d v="2025-07-14T00:00:00"/>
    <d v="2026-07-14T00:00:00"/>
    <s v="SYED MUHAMMAD UMAIR"/>
    <s v="SUZUKI-GD-110S"/>
    <n v="12320"/>
    <n v="10190"/>
    <s v="145249"/>
    <d v="2024-07-13T00:00:00"/>
    <s v="MOTORCYCLE  COMPREHENSIVE"/>
    <n v="352000"/>
    <n v="1630.4"/>
    <n v="101.9"/>
    <n v="500"/>
  </r>
  <r>
    <s v="KHI/HO/D/MO/MC COMP/P/93087/07/2024"/>
    <m/>
    <x v="16"/>
    <d v="2024-07-13T00:00:00"/>
    <d v="2025-07-13T00:00:00"/>
    <s v="M.AKBAR"/>
    <s v="SUZUKI-GD-110S"/>
    <n v="8800"/>
    <n v="7155"/>
    <s v="144934"/>
    <d v="2024-07-13T00:00:00"/>
    <s v="MOTORCYCLE  COMPREHENSIVE"/>
    <n v="352000"/>
    <n v="1144.8"/>
    <n v="71.55"/>
    <n v="500"/>
  </r>
  <r>
    <s v="KHI/HO/D/MO/MC COMP/P/93088/07/2024"/>
    <m/>
    <x v="16"/>
    <d v="2024-07-13T00:00:00"/>
    <d v="2025-07-13T00:00:00"/>
    <s v="WALEED MUNAWAR"/>
    <s v="SUZUKI-GD-110S"/>
    <n v="8800"/>
    <n v="7155"/>
    <s v="144938"/>
    <d v="2024-07-13T00:00:00"/>
    <s v="MOTORCYCLE  COMPREHENSIVE"/>
    <n v="352000"/>
    <n v="1144.8"/>
    <n v="71.55"/>
    <n v="500"/>
  </r>
  <r>
    <s v="KHI/HO/D/MO/MC COMP/P/93089/07/2024"/>
    <m/>
    <x v="16"/>
    <d v="2024-07-13T00:00:00"/>
    <d v="2025-07-13T00:00:00"/>
    <s v="HAMZA MALIK"/>
    <s v="SUZUKI-GD-110S"/>
    <n v="8800"/>
    <n v="7155"/>
    <s v="145219"/>
    <d v="2024-07-13T00:00:00"/>
    <s v="MOTORCYCLE  COMPREHENSIVE"/>
    <n v="352000"/>
    <n v="1144.8"/>
    <n v="71.55"/>
    <n v="500"/>
  </r>
  <r>
    <s v="KHI/HO/D/MO/MC COMP/P/93090/07/2024"/>
    <m/>
    <x v="4"/>
    <d v="2024-07-13T00:00:00"/>
    <d v="2025-07-13T00:00:00"/>
    <s v="MUHAMMAD ADNAN ASLAM"/>
    <s v="SUZUKI-GD-110S"/>
    <n v="12320"/>
    <n v="10190"/>
    <s v="145820"/>
    <d v="2024-07-13T00:00:00"/>
    <s v="MOTORCYCLE  COMPREHENSIVE"/>
    <n v="352000"/>
    <n v="1630.4"/>
    <n v="101.9"/>
    <n v="500"/>
  </r>
  <r>
    <s v="KHI/HO/D/MO/MC COMP/P/93091/07/2024"/>
    <m/>
    <x v="1"/>
    <d v="2024-07-13T00:00:00"/>
    <d v="2025-07-13T00:00:00"/>
    <s v="JAHANZER ALI KHAN"/>
    <s v="SUZUKI-GS 150"/>
    <n v="13370"/>
    <n v="11095"/>
    <s v="30091892"/>
    <d v="2024-07-13T00:00:00"/>
    <s v="MOTORCYCLE  COMPREHENSIVE"/>
    <n v="382000"/>
    <n v="1775.2"/>
    <n v="110.95"/>
    <n v="500"/>
  </r>
  <r>
    <s v="KHI/HO/D/MO/MC COMP/P/93092/07/2024"/>
    <m/>
    <x v="1"/>
    <d v="2025-07-14T00:00:00"/>
    <d v="2026-07-14T00:00:00"/>
    <s v="JAHANZER ALI KHAN"/>
    <s v="SUZUKI-GS 150"/>
    <n v="13370"/>
    <n v="11095"/>
    <s v="30091892"/>
    <d v="2024-07-13T00:00:00"/>
    <s v="MOTORCYCLE  COMPREHENSIVE"/>
    <n v="382000"/>
    <n v="1775.2"/>
    <n v="110.95"/>
    <n v="500"/>
  </r>
  <r>
    <s v="KHI/HO/D/MO/MC COMP/P/93093/07/2024"/>
    <m/>
    <x v="1"/>
    <d v="2024-07-13T00:00:00"/>
    <d v="2025-07-13T00:00:00"/>
    <s v="MUHAMMAD HUSSAIN"/>
    <s v="SUZUKI-GD-110S"/>
    <n v="12320"/>
    <n v="10190"/>
    <s v="145668"/>
    <d v="2024-07-13T00:00:00"/>
    <s v="MOTORCYCLE  COMPREHENSIVE"/>
    <n v="352000"/>
    <n v="1630.4"/>
    <n v="101.9"/>
    <n v="500"/>
  </r>
  <r>
    <s v="KHI/HO/D/MO/MC COMP/P/93094/07/2024"/>
    <m/>
    <x v="1"/>
    <d v="2025-07-14T00:00:00"/>
    <d v="2026-07-14T00:00:00"/>
    <s v="MUHAMMAD HUSSAIN"/>
    <s v="SUZUKI-GD-110S"/>
    <n v="12320"/>
    <n v="10190"/>
    <s v="145668"/>
    <d v="2024-07-13T00:00:00"/>
    <s v="MOTORCYCLE  COMPREHENSIVE"/>
    <n v="352000"/>
    <n v="1630.4"/>
    <n v="101.9"/>
    <n v="500"/>
  </r>
  <r>
    <s v="KHI/HO/D/MO/MC COMP/P/93096/07/2024"/>
    <m/>
    <x v="1"/>
    <d v="2024-07-13T00:00:00"/>
    <d v="2025-07-13T00:00:00"/>
    <s v="ARSALAN HAFEEZ"/>
    <s v="SUZUKI-GS 150"/>
    <n v="13370"/>
    <n v="11095"/>
    <s v="30091785"/>
    <d v="2024-07-13T00:00:00"/>
    <s v="MOTORCYCLE  COMPREHENSIVE"/>
    <n v="382000"/>
    <n v="1775.2"/>
    <n v="110.95"/>
    <n v="500"/>
  </r>
  <r>
    <s v="KHI/HO/D/MO/MC COMP/P/93097/07/2024"/>
    <m/>
    <x v="10"/>
    <d v="2024-07-13T00:00:00"/>
    <d v="2025-07-13T00:00:00"/>
    <s v="HAMZA CHAUDHARY"/>
    <s v="SUZUKI-GS 150"/>
    <n v="9550"/>
    <n v="7802"/>
    <s v="30092035"/>
    <d v="2024-07-13T00:00:00"/>
    <s v="MOTORCYCLE  COMPREHENSIVE"/>
    <n v="382000"/>
    <n v="1248.32"/>
    <n v="78.02"/>
    <n v="500"/>
  </r>
  <r>
    <s v="KHI/HO/D/MO/MC COMP/P/93098/07/2024"/>
    <m/>
    <x v="1"/>
    <d v="2024-07-13T00:00:00"/>
    <d v="2025-07-13T00:00:00"/>
    <s v="HASSAN AHMED SHAIKH"/>
    <s v="SUZUKI-GR150 EURO II"/>
    <n v="19145"/>
    <n v="16073"/>
    <s v="113285"/>
    <d v="2024-07-13T00:00:00"/>
    <s v="MOTORCYCLE  COMPREHENSIVE"/>
    <n v="547000"/>
    <n v="2571.6799999999998"/>
    <n v="160.72999999999999"/>
    <n v="500"/>
  </r>
  <r>
    <s v="KHI/HO/D/MO/MC COMP/P/93099/07/2024"/>
    <m/>
    <x v="1"/>
    <d v="2025-07-14T00:00:00"/>
    <d v="2026-07-14T00:00:00"/>
    <s v="HASSAN AHMED SHAIKH"/>
    <s v="SUZUKI-GR150 EURO II"/>
    <n v="19145"/>
    <n v="16073"/>
    <s v="113285"/>
    <d v="2024-07-13T00:00:00"/>
    <s v="MOTORCYCLE  COMPREHENSIVE"/>
    <n v="547000"/>
    <n v="2571.6799999999998"/>
    <n v="160.72999999999999"/>
    <n v="500"/>
  </r>
  <r>
    <s v="KHI/HO/D/MO/MC COMP/P/93100/07/2024"/>
    <m/>
    <x v="7"/>
    <d v="2024-07-13T00:00:00"/>
    <d v="2025-07-13T00:00:00"/>
    <s v="ALI BALOCH"/>
    <s v="SUZUKI-GS 150"/>
    <n v="13370"/>
    <n v="11095"/>
    <s v="30091210"/>
    <d v="2024-07-13T00:00:00"/>
    <s v="MOTORCYCLE  COMPREHENSIVE"/>
    <n v="382000"/>
    <n v="1775.2"/>
    <n v="110.95"/>
    <n v="500"/>
  </r>
  <r>
    <s v="KHI/HO/D/MO/MC COMP/P/93101/07/2024"/>
    <m/>
    <x v="7"/>
    <d v="2024-07-13T00:00:00"/>
    <d v="2025-07-13T00:00:00"/>
    <s v="WAQAS AHMED"/>
    <s v="SUZUKI-GD-110S"/>
    <n v="12320"/>
    <n v="10190"/>
    <s v="145597"/>
    <d v="2024-07-13T00:00:00"/>
    <s v="MOTORCYCLE  COMPREHENSIVE"/>
    <n v="352000"/>
    <n v="1630.4"/>
    <n v="101.9"/>
    <n v="500"/>
  </r>
  <r>
    <s v="KHI/HO/D/MO/MC COMP/P/93102/07/2024"/>
    <m/>
    <x v="7"/>
    <d v="2024-07-13T00:00:00"/>
    <d v="2025-07-13T00:00:00"/>
    <s v="MADNI RAZA"/>
    <s v="SUZUKI-GD-110S"/>
    <n v="12320"/>
    <n v="10190"/>
    <s v="145584"/>
    <d v="2024-07-13T00:00:00"/>
    <s v="MOTORCYCLE  COMPREHENSIVE"/>
    <n v="352000"/>
    <n v="1630.4"/>
    <n v="101.9"/>
    <n v="500"/>
  </r>
  <r>
    <s v="KHI/HO/D/MO/MC COMP/P/93103/07/2024"/>
    <m/>
    <x v="7"/>
    <d v="2025-07-14T00:00:00"/>
    <d v="2026-07-14T00:00:00"/>
    <s v="MADNI RAZA"/>
    <s v="SUZUKI-GD-110S"/>
    <n v="12320"/>
    <n v="10190"/>
    <s v="145584"/>
    <d v="2024-07-13T00:00:00"/>
    <s v="MOTORCYCLE  COMPREHENSIVE"/>
    <n v="352000"/>
    <n v="1630.4"/>
    <n v="101.9"/>
    <n v="500"/>
  </r>
  <r>
    <s v="KHI/HO/D/MO/MC COMP/P/93104/07/2024"/>
    <m/>
    <x v="7"/>
    <d v="2024-07-13T00:00:00"/>
    <d v="2025-07-13T00:00:00"/>
    <s v="GHIAS AHMED"/>
    <s v="SUZUKI-GS 150"/>
    <n v="13370"/>
    <n v="11095"/>
    <s v="30092170"/>
    <d v="2024-07-13T00:00:00"/>
    <s v="MOTORCYCLE  COMPREHENSIVE"/>
    <n v="382000"/>
    <n v="1775.2"/>
    <n v="110.95"/>
    <n v="500"/>
  </r>
  <r>
    <s v="KHI/HO/D/MO/MC COMP/P/93105/07/2024"/>
    <m/>
    <x v="7"/>
    <d v="2025-07-14T00:00:00"/>
    <d v="2026-07-14T00:00:00"/>
    <s v="GHIAS AHMED"/>
    <s v="SUZUKI-GS 150"/>
    <n v="13370"/>
    <n v="11095"/>
    <s v="30092170"/>
    <d v="2024-07-13T00:00:00"/>
    <s v="MOTORCYCLE  COMPREHENSIVE"/>
    <n v="382000"/>
    <n v="1775.2"/>
    <n v="110.95"/>
    <n v="500"/>
  </r>
  <r>
    <s v="KHI/HO/D/MO/MC COMP/P/93118/07/2024"/>
    <m/>
    <x v="2"/>
    <d v="2024-07-15T00:00:00"/>
    <d v="2025-07-15T00:00:00"/>
    <s v="SYED RASHID ALI"/>
    <s v="SUZUKI-GD-110S"/>
    <n v="12320"/>
    <n v="10190"/>
    <s v="145572"/>
    <d v="2024-07-15T00:00:00"/>
    <s v="MOTORCYCLE  COMPREHENSIVE"/>
    <n v="352000"/>
    <n v="1630.4"/>
    <n v="101.9"/>
    <n v="500"/>
  </r>
  <r>
    <s v="KHI/HO/D/MO/MC COMP/P/93124/07/2024"/>
    <m/>
    <x v="16"/>
    <d v="2024-07-15T00:00:00"/>
    <d v="2025-07-15T00:00:00"/>
    <s v="DILAWAR HUSSAIN"/>
    <s v="SUZUKI-GD-110S"/>
    <n v="8800"/>
    <n v="7155"/>
    <s v="145217"/>
    <d v="2024-07-15T00:00:00"/>
    <s v="MOTORCYCLE  COMPREHENSIVE"/>
    <n v="352000"/>
    <n v="1144.8"/>
    <n v="71.55"/>
    <n v="500"/>
  </r>
  <r>
    <s v="KHI/HO/D/MO/MC COMP/P/93125/07/2024"/>
    <m/>
    <x v="4"/>
    <d v="2024-07-15T00:00:00"/>
    <d v="2025-07-15T00:00:00"/>
    <s v="HASEEB"/>
    <s v="SUZUKI-GD-110S"/>
    <n v="12320"/>
    <n v="10190"/>
    <s v="144567"/>
    <d v="2024-07-15T00:00:00"/>
    <s v="MOTORCYCLE  COMPREHENSIVE"/>
    <n v="352000"/>
    <n v="1630.4"/>
    <n v="101.9"/>
    <n v="500"/>
  </r>
  <r>
    <s v="KHI/HO/D/MO/MC COMP/P/93132/07/2024"/>
    <m/>
    <x v="5"/>
    <d v="2024-07-15T00:00:00"/>
    <d v="2025-07-15T00:00:00"/>
    <s v="HAFIZ RAMEEZ REHMAN"/>
    <s v="SUZUKI-GD-110S"/>
    <n v="8800"/>
    <n v="7155"/>
    <s v="145632"/>
    <d v="2024-07-15T00:00:00"/>
    <s v="MOTORCYCLE  COMPREHENSIVE"/>
    <n v="352000"/>
    <n v="1144.8"/>
    <n v="71.55"/>
    <n v="500"/>
  </r>
  <r>
    <s v="KHI/HO/D/MO/MC COMP/P/93134/07/2024"/>
    <m/>
    <x v="22"/>
    <d v="2024-07-15T00:00:00"/>
    <d v="2025-07-15T00:00:00"/>
    <s v="NAVEED AKBAR"/>
    <s v="SUZUKI-GS 150"/>
    <n v="9550"/>
    <n v="7802"/>
    <s v="30091937"/>
    <d v="2024-07-15T00:00:00"/>
    <s v="MOTORCYCLE  COMPREHENSIVE"/>
    <n v="382000"/>
    <n v="1248.32"/>
    <n v="78.02"/>
    <n v="500"/>
  </r>
  <r>
    <s v="KHI/HO/D/MO/MC COMP/P/93136/07/2024"/>
    <m/>
    <x v="22"/>
    <d v="2024-07-15T00:00:00"/>
    <d v="2025-07-15T00:00:00"/>
    <s v="HASSAN ASGHAR"/>
    <s v="SUZUKI-GD-110S"/>
    <n v="8800"/>
    <n v="7155"/>
    <s v="145070"/>
    <d v="2024-07-15T00:00:00"/>
    <s v="MOTORCYCLE  COMPREHENSIVE"/>
    <n v="352000"/>
    <n v="1144.8"/>
    <n v="71.55"/>
    <n v="500"/>
  </r>
  <r>
    <s v="KHI/HO/D/MO/MC COMP/P/93140/07/2024"/>
    <m/>
    <x v="20"/>
    <d v="2024-07-15T00:00:00"/>
    <d v="2025-07-15T00:00:00"/>
    <s v="SHAHID NADEEM"/>
    <s v="SUZUKI-GR150 EURO II"/>
    <n v="13675"/>
    <n v="11358"/>
    <s v="113257"/>
    <d v="2024-07-15T00:00:00"/>
    <s v="MOTORCYCLE  COMPREHENSIVE"/>
    <n v="547000"/>
    <n v="1817.28"/>
    <n v="113.58"/>
    <n v="500"/>
  </r>
  <r>
    <s v="KHI/HO/D/MO/MC COMP/P/93142/07/2024"/>
    <m/>
    <x v="20"/>
    <d v="2024-07-15T00:00:00"/>
    <d v="2025-07-15T00:00:00"/>
    <s v="HAMZA ARSHAD"/>
    <s v="SUZUKI-GS 150"/>
    <n v="9550"/>
    <n v="7802"/>
    <s v="30091924"/>
    <d v="2024-07-15T00:00:00"/>
    <s v="MOTORCYCLE  COMPREHENSIVE"/>
    <n v="382000"/>
    <n v="1248.32"/>
    <n v="78.02"/>
    <n v="500"/>
  </r>
  <r>
    <s v="KHI/HO/D/MO/MC COMP/P/93146/07/2024"/>
    <m/>
    <x v="20"/>
    <d v="2024-07-15T00:00:00"/>
    <d v="2025-07-15T00:00:00"/>
    <s v="ANUS NAZIR"/>
    <s v="SUZUKI-GS-150"/>
    <n v="9550"/>
    <n v="7802"/>
    <s v="30091896"/>
    <d v="2024-07-15T00:00:00"/>
    <s v="MOTORCYCLE  COMPREHENSIVE"/>
    <n v="382000"/>
    <n v="1248.32"/>
    <n v="78.02"/>
    <n v="500"/>
  </r>
  <r>
    <s v="KHI/HO/D/MO/MC COMP/P/93147/07/2024"/>
    <m/>
    <x v="20"/>
    <d v="2024-07-15T00:00:00"/>
    <d v="2025-07-15T00:00:00"/>
    <s v="MUBEEN RAEES"/>
    <s v="SUZUKI-GD-110S"/>
    <n v="8800"/>
    <n v="7155"/>
    <s v="145163"/>
    <d v="2024-07-15T00:00:00"/>
    <s v="MOTORCYCLE  COMPREHENSIVE"/>
    <n v="352000"/>
    <n v="1144.8"/>
    <n v="71.55"/>
    <n v="500"/>
  </r>
  <r>
    <s v="KHI/HO/D/MO/MC COMP/P/93148/07/2024"/>
    <m/>
    <x v="5"/>
    <d v="2024-07-15T00:00:00"/>
    <d v="2025-07-15T00:00:00"/>
    <s v="TAHIR MANZOOR BUTT"/>
    <s v="SUZUKI-GD-110S"/>
    <n v="8800"/>
    <n v="7155"/>
    <s v="145609"/>
    <d v="2024-07-15T00:00:00"/>
    <s v="MOTORCYCLE  COMPREHENSIVE"/>
    <n v="352000"/>
    <n v="1144.8"/>
    <n v="71.55"/>
    <n v="500"/>
  </r>
  <r>
    <s v="KHI/HO/D/MO/MC COMP/P/93149/07/2024"/>
    <m/>
    <x v="20"/>
    <d v="2024-07-15T00:00:00"/>
    <d v="2025-07-15T00:00:00"/>
    <s v="ZOHAIB UMAR"/>
    <s v="SUZUKI-GD-110S"/>
    <n v="8800"/>
    <n v="7155"/>
    <s v="144447"/>
    <d v="2024-07-15T00:00:00"/>
    <s v="MOTORCYCLE  COMPREHENSIVE"/>
    <n v="352000"/>
    <n v="1144.8"/>
    <n v="71.55"/>
    <n v="500"/>
  </r>
  <r>
    <s v="KHI/HO/D/MO/MC COMP/P/93151/07/2024"/>
    <m/>
    <x v="4"/>
    <d v="2024-07-15T00:00:00"/>
    <d v="2025-07-15T00:00:00"/>
    <s v="ABDUL HASEEB"/>
    <s v="SUZUKI-GS-150"/>
    <n v="13370"/>
    <n v="11095"/>
    <s v="30091974"/>
    <d v="2024-07-15T00:00:00"/>
    <s v="MOTORCYCLE  COMPREHENSIVE"/>
    <n v="382000"/>
    <n v="1775.2"/>
    <n v="110.95"/>
    <n v="500"/>
  </r>
  <r>
    <s v="KHI/HO/D/MO/MC COMP/P/93152/07/2024"/>
    <m/>
    <x v="20"/>
    <d v="2024-07-15T00:00:00"/>
    <d v="2025-07-15T00:00:00"/>
    <s v="TANZEEL HUSSAIN"/>
    <s v="SUZUKI-GSX 125"/>
    <n v="12475"/>
    <n v="10323"/>
    <s v="23100401"/>
    <d v="2024-07-15T00:00:00"/>
    <s v="MOTORCYCLE  COMPREHENSIVE"/>
    <n v="499000"/>
    <n v="1651.68"/>
    <n v="103.23"/>
    <n v="500"/>
  </r>
  <r>
    <s v="KHI/HO/D/MO/MC COMP/P/93156/07/2024"/>
    <m/>
    <x v="5"/>
    <d v="2024-07-15T00:00:00"/>
    <d v="2025-07-15T00:00:00"/>
    <s v="ASHFAQ ALI"/>
    <s v="SUZUKI-GD-110S"/>
    <n v="8800"/>
    <n v="7155"/>
    <s v="145596"/>
    <d v="2024-07-15T00:00:00"/>
    <s v="MOTORCYCLE  COMPREHENSIVE"/>
    <n v="352000"/>
    <n v="1144.8"/>
    <n v="71.55"/>
    <n v="500"/>
  </r>
  <r>
    <s v="KHI/HO/D/MO/MC COMP/P/93160/07/2024"/>
    <m/>
    <x v="15"/>
    <d v="2024-07-15T00:00:00"/>
    <d v="2025-07-15T00:00:00"/>
    <s v="MUHAMMAD ABDULLAH"/>
    <s v="SUZUKI-GS 150"/>
    <n v="9550"/>
    <n v="7802"/>
    <s v="30091764"/>
    <d v="2024-07-15T00:00:00"/>
    <s v="MOTORCYCLE  COMPREHENSIVE"/>
    <n v="382000"/>
    <n v="1248.32"/>
    <n v="78.02"/>
    <n v="500"/>
  </r>
  <r>
    <s v="KHI/HO/D/MO/MC COMP/P/93161/07/2024"/>
    <m/>
    <x v="5"/>
    <d v="2024-07-15T00:00:00"/>
    <d v="2025-07-15T00:00:00"/>
    <s v="ZUBAIR KHAWAR"/>
    <s v="SUZUKI-GD-110S"/>
    <n v="8800"/>
    <n v="7155"/>
    <s v="145649"/>
    <d v="2024-07-15T00:00:00"/>
    <s v="MOTORCYCLE  COMPREHENSIVE"/>
    <n v="352000"/>
    <n v="1144.8"/>
    <n v="71.55"/>
    <n v="500"/>
  </r>
  <r>
    <s v="KHI/HO/D/MO/MC COMP/P/93163/07/2024"/>
    <m/>
    <x v="15"/>
    <d v="2024-07-15T00:00:00"/>
    <d v="2025-07-15T00:00:00"/>
    <s v="SULMAN LIAQUAT"/>
    <s v="SUZUKI-GD-110S"/>
    <n v="8800"/>
    <n v="7155"/>
    <s v="145327"/>
    <d v="2024-07-15T00:00:00"/>
    <s v="MOTORCYCLE  COMPREHENSIVE"/>
    <n v="352000"/>
    <n v="1144.8"/>
    <n v="71.55"/>
    <n v="500"/>
  </r>
  <r>
    <s v="KHI/HO/D/MO/MC COMP/P/93164/07/2024"/>
    <m/>
    <x v="15"/>
    <d v="2024-07-15T00:00:00"/>
    <d v="2025-07-15T00:00:00"/>
    <s v="ABDULLAH"/>
    <s v="SUZUKI-GD-110S"/>
    <n v="8800"/>
    <n v="7155"/>
    <s v="145330"/>
    <d v="2024-07-15T00:00:00"/>
    <s v="MOTORCYCLE  COMPREHENSIVE"/>
    <n v="352000"/>
    <n v="1144.8"/>
    <n v="71.55"/>
    <n v="500"/>
  </r>
  <r>
    <s v="KHI/HO/D/MO/MC COMP/P/93166/07/2024"/>
    <m/>
    <x v="0"/>
    <d v="2024-07-15T00:00:00"/>
    <d v="2025-07-15T00:00:00"/>
    <s v="MUHAMMAD AMIR"/>
    <s v="SUZUKI-GD-110S"/>
    <n v="12320"/>
    <n v="10190"/>
    <s v="145729"/>
    <d v="2024-07-15T00:00:00"/>
    <s v="MOTORCYCLE  COMPREHENSIVE"/>
    <n v="352000"/>
    <n v="1630.4"/>
    <n v="101.9"/>
    <n v="500"/>
  </r>
  <r>
    <s v="KHI/HO/D/MO/MC COMP/P/93168/07/2024"/>
    <m/>
    <x v="16"/>
    <d v="2024-07-15T00:00:00"/>
    <d v="2025-07-15T00:00:00"/>
    <s v="MEHBOOB ALI"/>
    <s v="SUZUKI-GD-110S"/>
    <n v="8800"/>
    <n v="7155"/>
    <s v="145220"/>
    <d v="2024-07-15T00:00:00"/>
    <s v="MOTORCYCLE  COMPREHENSIVE"/>
    <n v="352000"/>
    <n v="1144.8"/>
    <n v="71.55"/>
    <n v="500"/>
  </r>
  <r>
    <s v="KHI/HO/D/MO/MC COMP/P/93170/07/2024"/>
    <m/>
    <x v="6"/>
    <d v="2024-07-15T00:00:00"/>
    <d v="2025-07-15T00:00:00"/>
    <s v="Hafiz M Rizwan"/>
    <s v="SUZUKI-GD-110S"/>
    <n v="8800"/>
    <n v="7155"/>
    <s v="145286"/>
    <d v="2024-07-15T00:00:00"/>
    <s v="MOTORCYCLE  COMPREHENSIVE"/>
    <n v="352000"/>
    <n v="1144.8"/>
    <n v="71.55"/>
    <n v="500"/>
  </r>
  <r>
    <s v="KHI/HO/D/MO/MC COMP/P/93171/07/2024"/>
    <m/>
    <x v="16"/>
    <d v="2024-07-15T00:00:00"/>
    <d v="2025-07-15T00:00:00"/>
    <s v="ZESHAN"/>
    <s v="SUZUKI-GD-110S"/>
    <n v="8800"/>
    <n v="7155"/>
    <s v="145297"/>
    <d v="2024-07-15T00:00:00"/>
    <s v="MOTORCYCLE  COMPREHENSIVE"/>
    <n v="352000"/>
    <n v="1144.8"/>
    <n v="71.55"/>
    <n v="500"/>
  </r>
  <r>
    <s v="KHI/HO/D/MO/MC COMP/P/93172/07/2024"/>
    <m/>
    <x v="5"/>
    <d v="2024-07-15T00:00:00"/>
    <d v="2025-07-15T00:00:00"/>
    <s v="SHAHZADA KHURRAM JAVED"/>
    <s v="SUZUKI-GD-110S"/>
    <n v="8800"/>
    <n v="7155"/>
    <s v="145543"/>
    <d v="2024-07-15T00:00:00"/>
    <s v="MOTORCYCLE  COMPREHENSIVE"/>
    <n v="352000"/>
    <n v="1144.8"/>
    <n v="71.55"/>
    <n v="500"/>
  </r>
  <r>
    <s v="KHI/HO/D/MO/MC COMP/P/93173/07/2024"/>
    <m/>
    <x v="6"/>
    <d v="2024-07-15T00:00:00"/>
    <d v="2025-07-15T00:00:00"/>
    <s v="Muhammad Shehzad"/>
    <s v="SUZUKI-GD-110S"/>
    <n v="8800"/>
    <n v="7155"/>
    <s v="145470"/>
    <d v="2024-07-15T00:00:00"/>
    <s v="MOTORCYCLE  COMPREHENSIVE"/>
    <n v="352000"/>
    <n v="1144.8"/>
    <n v="71.55"/>
    <n v="500"/>
  </r>
  <r>
    <s v="KHI/HO/D/MO/MC COMP/P/93174/07/2024"/>
    <m/>
    <x v="16"/>
    <d v="2024-07-15T00:00:00"/>
    <d v="2025-07-15T00:00:00"/>
    <s v="TAHIR ABBAS NAQVI"/>
    <s v="SUZUKI-GS 150"/>
    <n v="9550"/>
    <n v="7802"/>
    <s v="30091848"/>
    <d v="2024-07-15T00:00:00"/>
    <s v="MOTORCYCLE  COMPREHENSIVE"/>
    <n v="382000"/>
    <n v="1248.32"/>
    <n v="78.02"/>
    <n v="500"/>
  </r>
  <r>
    <s v="KHI/HO/D/MO/MC COMP/P/93175/07/2024"/>
    <m/>
    <x v="15"/>
    <d v="2024-07-15T00:00:00"/>
    <d v="2025-07-15T00:00:00"/>
    <s v="ZUBAIR MAIRAJ"/>
    <s v="SUZUKI-GD-110S"/>
    <n v="8800"/>
    <n v="7155"/>
    <s v="144927"/>
    <d v="2024-07-15T00:00:00"/>
    <s v="MOTORCYCLE  COMPREHENSIVE"/>
    <n v="352000"/>
    <n v="1144.8"/>
    <n v="71.55"/>
    <n v="500"/>
  </r>
  <r>
    <s v="KHI/HO/D/MO/MC COMP/P/93177/07/2024"/>
    <m/>
    <x v="12"/>
    <d v="2024-07-15T00:00:00"/>
    <d v="2025-07-15T00:00:00"/>
    <s v="MUHAMMAD ALI"/>
    <s v="SUZUKI-GD-110S"/>
    <n v="12320"/>
    <n v="10190"/>
    <s v="145492"/>
    <d v="2024-07-15T00:00:00"/>
    <s v="MOTORCYCLE  COMPREHENSIVE"/>
    <n v="352000"/>
    <n v="1630.4"/>
    <n v="101.9"/>
    <n v="500"/>
  </r>
  <r>
    <s v="KHI/HO/D/MO/MC COMP/P/93178/07/2024"/>
    <m/>
    <x v="12"/>
    <d v="2025-07-16T00:00:00"/>
    <d v="2026-07-16T00:00:00"/>
    <s v="MUHAMMAD ALI"/>
    <s v="SUZUKI-GD-110S"/>
    <n v="12320"/>
    <n v="10190"/>
    <s v="145492"/>
    <d v="2024-07-15T00:00:00"/>
    <s v="MOTORCYCLE  COMPREHENSIVE"/>
    <n v="352000"/>
    <n v="1630.4"/>
    <n v="101.9"/>
    <n v="500"/>
  </r>
  <r>
    <s v="KHI/HO/D/MO/MC COMP/P/93181/07/2024"/>
    <m/>
    <x v="5"/>
    <d v="2024-07-15T00:00:00"/>
    <d v="2025-07-15T00:00:00"/>
    <s v="BILAL"/>
    <s v="SUZUKI-GD-110S"/>
    <n v="8800"/>
    <n v="7155"/>
    <s v="145795"/>
    <d v="2024-07-15T00:00:00"/>
    <s v="MOTORCYCLE  COMPREHENSIVE"/>
    <n v="352000"/>
    <n v="1144.8"/>
    <n v="71.55"/>
    <n v="500"/>
  </r>
  <r>
    <s v="KHI/HO/D/MO/MC COMP/P/93183/07/2024"/>
    <m/>
    <x v="5"/>
    <d v="2024-07-15T00:00:00"/>
    <d v="2025-07-15T00:00:00"/>
    <s v="MUHAMMAD WAQAS IQBAL"/>
    <s v="SUZUKI-GD-110S"/>
    <n v="8800"/>
    <n v="7155"/>
    <s v="145602"/>
    <d v="2024-07-15T00:00:00"/>
    <s v="MOTORCYCLE  COMPREHENSIVE"/>
    <n v="352000"/>
    <n v="1144.8"/>
    <n v="71.55"/>
    <n v="500"/>
  </r>
  <r>
    <s v="KHI/HO/D/MO/MC COMP/P/93184/07/2024"/>
    <m/>
    <x v="5"/>
    <d v="2024-07-15T00:00:00"/>
    <d v="2025-07-15T00:00:00"/>
    <s v="SABIR HUSSAIN"/>
    <s v="SUZUKI-GD-110S"/>
    <n v="8800"/>
    <n v="7155"/>
    <s v="135796"/>
    <d v="2024-07-15T00:00:00"/>
    <s v="MOTORCYCLE  COMPREHENSIVE"/>
    <n v="352000"/>
    <n v="1144.8"/>
    <n v="71.55"/>
    <n v="500"/>
  </r>
  <r>
    <s v="KHI/HO/D/MO/MC COMP/P/93185/07/2024"/>
    <m/>
    <x v="2"/>
    <d v="2024-07-15T00:00:00"/>
    <d v="2025-07-15T00:00:00"/>
    <s v="SYED ZEESHAN HUSSAIN"/>
    <s v="SUZUKI-GD-110S"/>
    <n v="12320"/>
    <n v="10190"/>
    <s v="145746"/>
    <d v="2024-07-15T00:00:00"/>
    <s v="MOTORCYCLE  COMPREHENSIVE"/>
    <n v="352000"/>
    <n v="1630.4"/>
    <n v="101.9"/>
    <n v="500"/>
  </r>
  <r>
    <s v="KHI/HO/D/MO/MC COMP/P/93186/07/2024"/>
    <m/>
    <x v="2"/>
    <d v="2025-07-16T00:00:00"/>
    <d v="2026-07-16T00:00:00"/>
    <s v="SYED ZEESHAN HUSSAIN"/>
    <s v="SUZUKI-GD-110S"/>
    <n v="12320"/>
    <n v="10190"/>
    <s v="145746"/>
    <d v="2024-07-15T00:00:00"/>
    <s v="MOTORCYCLE  COMPREHENSIVE"/>
    <n v="352000"/>
    <n v="1630.4"/>
    <n v="101.9"/>
    <n v="500"/>
  </r>
  <r>
    <s v="KHI/HO/D/MO/MC COMP/P/93188/07/2024"/>
    <m/>
    <x v="5"/>
    <d v="2024-07-15T00:00:00"/>
    <d v="2025-07-15T00:00:00"/>
    <s v="JUNAID IQBAL"/>
    <s v="SUZUKI-GD-110S"/>
    <n v="8800"/>
    <n v="7155"/>
    <s v="145535"/>
    <d v="2024-07-15T00:00:00"/>
    <s v="MOTORCYCLE  COMPREHENSIVE"/>
    <n v="352000"/>
    <n v="1144.8"/>
    <n v="71.55"/>
    <n v="500"/>
  </r>
  <r>
    <s v="KHI/HO/D/MO/MC COMP/P/93191/07/2024"/>
    <m/>
    <x v="2"/>
    <d v="2024-07-15T00:00:00"/>
    <d v="2025-07-15T00:00:00"/>
    <s v="AHMED ALI SIDDIQUI"/>
    <s v="SUZUKI-GD-110S"/>
    <n v="12320"/>
    <n v="10190"/>
    <s v="145576"/>
    <d v="2024-07-15T00:00:00"/>
    <s v="MOTORCYCLE  COMPREHENSIVE"/>
    <n v="352000"/>
    <n v="1630.4"/>
    <n v="101.9"/>
    <n v="500"/>
  </r>
  <r>
    <s v="KHI/HO/D/MO/MC COMP/P/93192/07/2024"/>
    <m/>
    <x v="2"/>
    <d v="2025-07-16T00:00:00"/>
    <d v="2026-07-16T00:00:00"/>
    <s v="AHMED ALI SIDDIQUI"/>
    <s v="SUZUKI-GD-110S"/>
    <n v="12320"/>
    <n v="10190"/>
    <s v="145576"/>
    <d v="2024-07-15T00:00:00"/>
    <s v="MOTORCYCLE  COMPREHENSIVE"/>
    <n v="352000"/>
    <n v="1630.4"/>
    <n v="101.9"/>
    <n v="500"/>
  </r>
  <r>
    <s v="KHI/HO/D/MO/MC COMP/P/93193/07/2024"/>
    <m/>
    <x v="5"/>
    <d v="2024-07-15T00:00:00"/>
    <d v="2025-07-15T00:00:00"/>
    <s v="M.JUNAID ASGHAR"/>
    <s v="SUZUKI-GD-110S"/>
    <n v="8800"/>
    <n v="7155"/>
    <s v="145610"/>
    <d v="2024-07-15T00:00:00"/>
    <s v="MOTORCYCLE  COMPREHENSIVE"/>
    <n v="352000"/>
    <n v="1144.8"/>
    <n v="71.55"/>
    <n v="500"/>
  </r>
  <r>
    <s v="KHI/HO/D/MO/MC COMP/P/93195/07/2024"/>
    <m/>
    <x v="5"/>
    <d v="2024-07-15T00:00:00"/>
    <d v="2025-07-15T00:00:00"/>
    <s v="ALI RAZA"/>
    <s v="SUZUKI-GD-110S"/>
    <n v="8800"/>
    <n v="7155"/>
    <s v="145619"/>
    <d v="2024-07-15T00:00:00"/>
    <s v="MOTORCYCLE  COMPREHENSIVE"/>
    <n v="352000"/>
    <n v="1144.8"/>
    <n v="71.55"/>
    <n v="500"/>
  </r>
  <r>
    <s v="KHI/HO/D/MO/MC COMP/P/93196/07/2024"/>
    <m/>
    <x v="4"/>
    <d v="2024-07-15T00:00:00"/>
    <d v="2025-07-15T00:00:00"/>
    <s v="RUSTAM KHAN"/>
    <s v="SUZUKI-GD-110S"/>
    <n v="12320"/>
    <n v="10190"/>
    <s v="145700"/>
    <d v="2024-07-15T00:00:00"/>
    <s v="MOTORCYCLE  COMPREHENSIVE"/>
    <n v="352000"/>
    <n v="1630.4"/>
    <n v="101.9"/>
    <n v="500"/>
  </r>
  <r>
    <s v="KHI/HO/D/MO/MC COMP/P/93197/07/2024"/>
    <m/>
    <x v="4"/>
    <d v="2025-07-16T00:00:00"/>
    <d v="2026-07-16T00:00:00"/>
    <s v="RUSTAM KHAN"/>
    <s v="SUZUKI-GD-110S"/>
    <n v="12320"/>
    <n v="10190"/>
    <s v="145700"/>
    <d v="2024-07-15T00:00:00"/>
    <s v="MOTORCYCLE  COMPREHENSIVE"/>
    <n v="352000"/>
    <n v="1630.4"/>
    <n v="101.9"/>
    <n v="500"/>
  </r>
  <r>
    <s v="KHI/HO/D/MO/MC COMP/P/93198/07/2024"/>
    <m/>
    <x v="2"/>
    <d v="2024-07-15T00:00:00"/>
    <d v="2025-07-15T00:00:00"/>
    <s v="MOIZ HUSSAIN"/>
    <s v="SUZUKI-GS 150"/>
    <n v="13370"/>
    <n v="11095"/>
    <s v="30092157"/>
    <d v="2024-07-15T00:00:00"/>
    <s v="MOTORCYCLE  COMPREHENSIVE"/>
    <n v="382000"/>
    <n v="1775.2"/>
    <n v="110.95"/>
    <n v="500"/>
  </r>
  <r>
    <s v="KHI/HO/D/MO/MC COMP/P/93202/07/2024"/>
    <m/>
    <x v="5"/>
    <d v="2024-07-15T00:00:00"/>
    <d v="2025-07-15T00:00:00"/>
    <s v="IRFAN MUSHTAQ RATHORE"/>
    <s v="SUZUKI-GD-110S"/>
    <n v="8800"/>
    <n v="7155"/>
    <s v="146114"/>
    <d v="2024-07-15T00:00:00"/>
    <s v="MOTORCYCLE  COMPREHENSIVE"/>
    <n v="352000"/>
    <n v="1144.8"/>
    <n v="71.55"/>
    <n v="500"/>
  </r>
  <r>
    <s v="KHI/HO/D/MO/MC COMP/P/93204/07/2024"/>
    <m/>
    <x v="5"/>
    <d v="2024-07-15T00:00:00"/>
    <d v="2025-07-15T00:00:00"/>
    <s v="MUHAMMAD HAROON"/>
    <s v="SUZUKI-GD-110S"/>
    <n v="8800"/>
    <n v="7155"/>
    <s v="145606"/>
    <d v="2024-07-15T00:00:00"/>
    <s v="MOTORCYCLE  COMPREHENSIVE"/>
    <n v="352000"/>
    <n v="1144.8"/>
    <n v="71.55"/>
    <n v="500"/>
  </r>
  <r>
    <s v="KHI/HO/D/MO/MC COMP/P/93205/07/2024"/>
    <m/>
    <x v="5"/>
    <d v="2024-07-15T00:00:00"/>
    <d v="2025-07-15T00:00:00"/>
    <s v="NAZIR AHMAD"/>
    <s v="SUZUKI-GD-110S"/>
    <n v="8800"/>
    <n v="7155"/>
    <s v="145601"/>
    <d v="2024-07-15T00:00:00"/>
    <s v="MOTORCYCLE  COMPREHENSIVE"/>
    <n v="352000"/>
    <n v="1144.8"/>
    <n v="71.55"/>
    <n v="500"/>
  </r>
  <r>
    <s v="KHI/HO/D/MO/MC COMP/P/93206/07/2024"/>
    <m/>
    <x v="3"/>
    <d v="2024-07-15T00:00:00"/>
    <d v="2025-07-15T00:00:00"/>
    <s v="Jameel Muhammad"/>
    <s v="SUZUKI-GD-110S"/>
    <n v="12320"/>
    <n v="10190"/>
    <s v="145054"/>
    <d v="2024-07-15T00:00:00"/>
    <s v="MOTORCYCLE  COMPREHENSIVE"/>
    <n v="352000"/>
    <n v="1630.4"/>
    <n v="101.9"/>
    <n v="500"/>
  </r>
  <r>
    <s v="KHI/HO/D/MO/MC COMP/P/93207/07/2024"/>
    <m/>
    <x v="5"/>
    <d v="2024-07-15T00:00:00"/>
    <d v="2025-07-15T00:00:00"/>
    <s v="HAMZA ABDULLAH"/>
    <s v="SUZUKI-GR150 EURO II"/>
    <n v="13675"/>
    <n v="11358"/>
    <s v="113290"/>
    <d v="2024-07-15T00:00:00"/>
    <s v="MOTORCYCLE  COMPREHENSIVE"/>
    <n v="547000"/>
    <n v="1817.28"/>
    <n v="113.58"/>
    <n v="500"/>
  </r>
  <r>
    <s v="KHI/HO/D/MO/MC COMP/P/93208/07/2024"/>
    <m/>
    <x v="5"/>
    <d v="2024-07-15T00:00:00"/>
    <d v="2025-07-15T00:00:00"/>
    <s v="MURSALEEN KHAN"/>
    <s v="SUZUKI-GD-110S"/>
    <n v="8800"/>
    <n v="7155"/>
    <s v="144537"/>
    <d v="2024-07-15T00:00:00"/>
    <s v="MOTORCYCLE  COMPREHENSIVE"/>
    <n v="352000"/>
    <n v="1144.8"/>
    <n v="71.55"/>
    <n v="500"/>
  </r>
  <r>
    <s v="KHI/HO/D/MO/MC COMP/P/93209/07/2024"/>
    <m/>
    <x v="5"/>
    <d v="2024-07-15T00:00:00"/>
    <d v="2025-07-15T00:00:00"/>
    <s v="ZUMMAR JAVED"/>
    <s v="SUZUKI-GSX 125"/>
    <n v="12475"/>
    <n v="10323"/>
    <s v="23102509"/>
    <d v="2024-07-15T00:00:00"/>
    <s v="MOTORCYCLE  COMPREHENSIVE"/>
    <n v="499000"/>
    <n v="1651.68"/>
    <n v="103.23"/>
    <n v="500"/>
  </r>
  <r>
    <s v="KHI/HO/D/MO/MC COMP/P/93210/07/2024"/>
    <m/>
    <x v="5"/>
    <d v="2024-07-15T00:00:00"/>
    <d v="2025-07-15T00:00:00"/>
    <s v="MUHAMAMD AYUB"/>
    <s v="SUZUKI-GD-110S"/>
    <n v="8800"/>
    <n v="7155"/>
    <s v="145629"/>
    <d v="2024-07-15T00:00:00"/>
    <s v="MOTORCYCLE  COMPREHENSIVE"/>
    <n v="352000"/>
    <n v="1144.8"/>
    <n v="71.55"/>
    <n v="500"/>
  </r>
  <r>
    <s v="KHI/HO/D/MO/MC COMP/P/93211/07/2024"/>
    <m/>
    <x v="7"/>
    <d v="2024-07-15T00:00:00"/>
    <d v="2025-07-15T00:00:00"/>
    <s v="DANIYAL AYAZ"/>
    <s v="SUZUKI-GS 150"/>
    <n v="13370"/>
    <n v="11095"/>
    <s v="30091445"/>
    <d v="2024-07-15T00:00:00"/>
    <s v="MOTORCYCLE  COMPREHENSIVE"/>
    <n v="382000"/>
    <n v="1775.2"/>
    <n v="110.95"/>
    <n v="500"/>
  </r>
  <r>
    <s v="KHI/HO/D/MO/MC COMP/P/93212/07/2024"/>
    <m/>
    <x v="7"/>
    <d v="2025-07-16T00:00:00"/>
    <d v="2026-07-16T00:00:00"/>
    <s v="DANIYAL AYAZ"/>
    <s v="SUZUKI-GS 150"/>
    <n v="13370"/>
    <n v="11095"/>
    <s v="30091445"/>
    <d v="2024-07-15T00:00:00"/>
    <s v="MOTORCYCLE  COMPREHENSIVE"/>
    <n v="382000"/>
    <n v="1775.2"/>
    <n v="110.95"/>
    <n v="500"/>
  </r>
  <r>
    <s v="KHI/HO/D/MO/MC COMP/P/93213/07/2024"/>
    <m/>
    <x v="7"/>
    <d v="2024-07-15T00:00:00"/>
    <d v="2025-07-15T00:00:00"/>
    <s v="MUHAMMAD KHALID"/>
    <s v="SUZUKI-GS 150"/>
    <n v="13370"/>
    <n v="11095"/>
    <s v="30092171"/>
    <d v="2024-07-15T00:00:00"/>
    <s v="MOTORCYCLE  COMPREHENSIVE"/>
    <n v="382000"/>
    <n v="1775.2"/>
    <n v="110.95"/>
    <n v="500"/>
  </r>
  <r>
    <s v="KHI/HO/D/MO/MC COMP/P/93214/07/2024"/>
    <m/>
    <x v="7"/>
    <d v="2025-07-16T00:00:00"/>
    <d v="2026-07-16T00:00:00"/>
    <s v="MUHAMMAD KHALID"/>
    <s v="SUZUKI-GS 150"/>
    <n v="13370"/>
    <n v="11095"/>
    <s v="30092171"/>
    <d v="2024-07-15T00:00:00"/>
    <s v="MOTORCYCLE  COMPREHENSIVE"/>
    <n v="382000"/>
    <n v="1775.2"/>
    <n v="110.95"/>
    <n v="500"/>
  </r>
  <r>
    <s v="KHI/HO/D/MO/MC COMP/P/93215/07/2024"/>
    <m/>
    <x v="7"/>
    <d v="2024-07-15T00:00:00"/>
    <d v="2025-07-15T00:00:00"/>
    <s v="SOHAIL AHMED QADRI"/>
    <s v="SUZUKI-GD-110S"/>
    <n v="12320"/>
    <n v="10190"/>
    <s v="146139"/>
    <d v="2024-07-15T00:00:00"/>
    <s v="MOTORCYCLE  COMPREHENSIVE"/>
    <n v="352000"/>
    <n v="1630.4"/>
    <n v="101.9"/>
    <n v="500"/>
  </r>
  <r>
    <s v="KHI/HO/D/MO/MC COMP/P/93216/07/2024"/>
    <m/>
    <x v="7"/>
    <d v="2025-07-16T00:00:00"/>
    <d v="2026-07-16T00:00:00"/>
    <s v="SOHAIL AHMED QADRI"/>
    <s v="SUZUKI-GD-110S"/>
    <n v="12320"/>
    <n v="10190"/>
    <s v="146139"/>
    <d v="2024-07-15T00:00:00"/>
    <s v="MOTORCYCLE  COMPREHENSIVE"/>
    <n v="352000"/>
    <n v="1630.4"/>
    <n v="101.9"/>
    <n v="500"/>
  </r>
  <r>
    <s v="KHI/HO/D/MO/MC COMP/P/93240/07/2024"/>
    <m/>
    <x v="16"/>
    <d v="2024-07-18T00:00:00"/>
    <d v="2025-07-18T00:00:00"/>
    <s v="KHALIQUE BASHIR"/>
    <s v="SUZUKI-GD-110S"/>
    <n v="8800"/>
    <n v="7155"/>
    <s v="143525"/>
    <d v="2024-07-18T00:00:00"/>
    <s v="MOTORCYCLE  COMPREHENSIVE"/>
    <n v="352000"/>
    <n v="1144.8"/>
    <n v="71.55"/>
    <n v="500"/>
  </r>
  <r>
    <s v="KHI/HO/D/MO/MC COMP/P/93241/07/2024"/>
    <m/>
    <x v="2"/>
    <d v="2024-07-18T00:00:00"/>
    <d v="2025-07-18T00:00:00"/>
    <s v="SHAHMEER AFTAB"/>
    <s v="SUZUKI-GD-110S"/>
    <n v="19145"/>
    <n v="16073"/>
    <s v="113215"/>
    <d v="2024-07-18T00:00:00"/>
    <s v="MOTORCYCLE  COMPREHENSIVE"/>
    <n v="547000"/>
    <n v="2571.6799999999998"/>
    <n v="160.72999999999999"/>
    <n v="500"/>
  </r>
  <r>
    <s v="KHI/HO/D/MO/MC COMP/P/93245/07/2024"/>
    <m/>
    <x v="19"/>
    <d v="2024-07-18T00:00:00"/>
    <d v="2025-07-18T00:00:00"/>
    <s v="AMIR ALI QADRI"/>
    <s v="SUZUKI-GD-110S"/>
    <n v="12320"/>
    <n v="10190"/>
    <s v="145719"/>
    <d v="2024-07-18T00:00:00"/>
    <s v="MOTORCYCLE  COMPREHENSIVE"/>
    <n v="352000"/>
    <n v="1630.4"/>
    <n v="101.9"/>
    <n v="500"/>
  </r>
  <r>
    <s v="KHI/HO/D/MO/MC COMP/P/93246/07/2024"/>
    <m/>
    <x v="19"/>
    <d v="2025-07-19T00:00:00"/>
    <d v="2026-07-19T00:00:00"/>
    <s v="AMIR ALI QADRI"/>
    <s v="SUZUKI-GD-110S"/>
    <n v="12320"/>
    <n v="10190"/>
    <s v="145719"/>
    <d v="2024-07-18T00:00:00"/>
    <s v="MOTORCYCLE  COMPREHENSIVE"/>
    <n v="352000"/>
    <n v="1630.4"/>
    <n v="101.9"/>
    <n v="500"/>
  </r>
  <r>
    <s v="KHI/HO/D/MO/MC COMP/P/93247/07/2024"/>
    <m/>
    <x v="25"/>
    <d v="2024-07-12T00:00:00"/>
    <d v="2025-07-11T00:00:00"/>
    <s v="Mr. Saad Ahmed Khan_x000a_CNIC No. 42201-1604002-9_x000a_Cell No. 0333-0325178"/>
    <s v="SUZUKI-GS-150"/>
    <n v="13370"/>
    <n v="11095"/>
    <s v="PKG30092070"/>
    <d v="2024-07-18T00:00:00"/>
    <s v="MOTORCYCLE  COMPREHENSIVE"/>
    <n v="382000"/>
    <n v="1775.2"/>
    <n v="110.95"/>
    <n v="500"/>
  </r>
  <r>
    <s v="KHI/HO/D/MO/MC COMP/P/93249/07/2024"/>
    <m/>
    <x v="1"/>
    <d v="2024-07-18T00:00:00"/>
    <d v="2025-07-18T00:00:00"/>
    <s v="abdul khaliq khanzada"/>
    <s v="SUZUKI-GD-110S"/>
    <n v="12320"/>
    <n v="10190"/>
    <s v="145269"/>
    <d v="2024-07-18T00:00:00"/>
    <s v="MOTORCYCLE  COMPREHENSIVE"/>
    <n v="352000"/>
    <n v="1630.4"/>
    <n v="101.9"/>
    <n v="500"/>
  </r>
  <r>
    <s v="KHI/HO/D/MO/MC COMP/P/93254/07/2024"/>
    <m/>
    <x v="1"/>
    <d v="2024-07-18T00:00:00"/>
    <d v="2025-07-18T00:00:00"/>
    <s v="MUHAMMAD EJAZ"/>
    <s v="SUZUKI-GS 150"/>
    <n v="13370"/>
    <n v="11095"/>
    <s v="30091930"/>
    <d v="2024-07-18T00:00:00"/>
    <s v="MOTORCYCLE  COMPREHENSIVE"/>
    <n v="382000"/>
    <n v="1775.2"/>
    <n v="110.95"/>
    <n v="500"/>
  </r>
  <r>
    <s v="KHI/HO/D/MO/MC COMP/P/93255/07/2024"/>
    <m/>
    <x v="1"/>
    <d v="2025-07-19T00:00:00"/>
    <d v="2026-07-19T00:00:00"/>
    <s v="MUHAMMAD EJAZ"/>
    <s v="SUZUKI-GS 150"/>
    <n v="13370"/>
    <n v="11095"/>
    <s v="30091930"/>
    <d v="2024-07-18T00:00:00"/>
    <s v="MOTORCYCLE  COMPREHENSIVE"/>
    <n v="382000"/>
    <n v="1775.2"/>
    <n v="110.95"/>
    <n v="500"/>
  </r>
  <r>
    <s v="KHI/HO/D/MO/MC COMP/P/93258/07/2024"/>
    <m/>
    <x v="18"/>
    <d v="2024-07-18T00:00:00"/>
    <d v="2025-07-18T00:00:00"/>
    <s v="ATTEEQ UR REHMAN"/>
    <s v="SUZUKI-GD-110S"/>
    <n v="8800"/>
    <n v="7155"/>
    <s v="144183"/>
    <d v="2024-07-18T00:00:00"/>
    <s v="MOTORCYCLE  COMPREHENSIVE"/>
    <n v="352000"/>
    <n v="1144.8"/>
    <n v="71.55"/>
    <n v="500"/>
  </r>
  <r>
    <s v="KHI/HO/D/MO/MC COMP/P/93259/07/2024"/>
    <m/>
    <x v="19"/>
    <d v="2024-07-18T00:00:00"/>
    <d v="2025-07-18T00:00:00"/>
    <s v="MUHAMMAD SHOAIB"/>
    <s v="SUZUKI-GD-110S"/>
    <n v="12320"/>
    <n v="10190"/>
    <s v="145718"/>
    <d v="2024-07-18T00:00:00"/>
    <s v="MOTORCYCLE  COMPREHENSIVE"/>
    <n v="352000"/>
    <n v="1630.4"/>
    <n v="101.9"/>
    <n v="500"/>
  </r>
  <r>
    <s v="KHI/HO/D/MO/MC COMP/P/93260/07/2024"/>
    <m/>
    <x v="19"/>
    <d v="2025-07-19T00:00:00"/>
    <d v="2026-07-19T00:00:00"/>
    <s v="MUHAMMAD SHOAIB"/>
    <s v="SUZUKI-GD-110S"/>
    <n v="12320"/>
    <n v="10190"/>
    <s v="145718"/>
    <d v="2024-07-18T00:00:00"/>
    <s v="MOTORCYCLE  COMPREHENSIVE"/>
    <n v="352000"/>
    <n v="1630.4"/>
    <n v="101.9"/>
    <n v="500"/>
  </r>
  <r>
    <s v="KHI/HO/D/MO/MC COMP/P/93262/07/2024"/>
    <m/>
    <x v="19"/>
    <d v="2024-07-18T00:00:00"/>
    <d v="2025-07-18T00:00:00"/>
    <s v="SAJJAD"/>
    <s v="SUZUKI-GD-110S"/>
    <n v="12320"/>
    <n v="10190"/>
    <s v="146132"/>
    <d v="2024-07-18T00:00:00"/>
    <s v="MOTORCYCLE  COMPREHENSIVE"/>
    <n v="352000"/>
    <n v="1630.4"/>
    <n v="101.9"/>
    <n v="500"/>
  </r>
  <r>
    <s v="KHI/HO/D/MO/MC COMP/P/93263/07/2024"/>
    <m/>
    <x v="19"/>
    <d v="2025-07-19T00:00:00"/>
    <d v="2026-07-19T00:00:00"/>
    <s v="SAJJAD"/>
    <s v="SUZUKI-GD-110S"/>
    <n v="12320"/>
    <n v="10190"/>
    <s v="146132"/>
    <d v="2024-07-18T00:00:00"/>
    <s v="MOTORCYCLE  COMPREHENSIVE"/>
    <n v="352000"/>
    <n v="1630.4"/>
    <n v="101.9"/>
    <n v="500"/>
  </r>
  <r>
    <s v="KHI/HO/D/MO/MC COMP/P/93266/07/2024"/>
    <m/>
    <x v="10"/>
    <d v="2024-07-18T00:00:00"/>
    <d v="2025-07-18T00:00:00"/>
    <s v="MUHAMMAD ISHFAQ"/>
    <s v="SUZUKI-GD-110S"/>
    <n v="8800"/>
    <n v="7155"/>
    <s v="145482"/>
    <d v="2024-07-18T00:00:00"/>
    <s v="MOTORCYCLE  COMPREHENSIVE"/>
    <n v="352000"/>
    <n v="1144.8"/>
    <n v="71.55"/>
    <n v="500"/>
  </r>
  <r>
    <s v="KHI/HO/D/MO/MC COMP/P/93270/07/2024"/>
    <m/>
    <x v="10"/>
    <d v="2024-07-18T00:00:00"/>
    <d v="2025-07-18T00:00:00"/>
    <s v="MUHAMMAD KAMRAN"/>
    <s v="SUZUKI-GD-110S"/>
    <n v="8800"/>
    <n v="7155"/>
    <s v="145391"/>
    <d v="2024-07-18T00:00:00"/>
    <s v="MOTORCYCLE  COMPREHENSIVE"/>
    <n v="352000"/>
    <n v="1144.8"/>
    <n v="71.55"/>
    <n v="500"/>
  </r>
  <r>
    <s v="KHI/HO/D/MO/MC COMP/P/93274/07/2024"/>
    <m/>
    <x v="10"/>
    <d v="2024-07-18T00:00:00"/>
    <d v="2025-07-18T00:00:00"/>
    <s v="SHEIKH KHALID BASHIR"/>
    <s v="SUZUKI-GD-110S"/>
    <n v="8800"/>
    <n v="7155"/>
    <s v="145392"/>
    <d v="2024-07-18T00:00:00"/>
    <s v="MOTORCYCLE  COMPREHENSIVE"/>
    <n v="352000"/>
    <n v="1144.8"/>
    <n v="71.55"/>
    <n v="500"/>
  </r>
  <r>
    <s v="KHI/HO/D/MO/MC COMP/P/93277/07/2024"/>
    <m/>
    <x v="19"/>
    <d v="2024-07-18T00:00:00"/>
    <d v="2025-07-18T00:00:00"/>
    <s v="WAQAS UR REHMAN SHAMSI"/>
    <s v="SUZUKI-GS 150"/>
    <n v="13370"/>
    <n v="11095"/>
    <s v="30091990"/>
    <d v="2024-07-18T00:00:00"/>
    <s v="MOTORCYCLE  COMPREHENSIVE"/>
    <n v="382000"/>
    <n v="1775.2"/>
    <n v="110.95"/>
    <n v="500"/>
  </r>
  <r>
    <s v="KHI/HO/D/MO/MC COMP/P/93284/07/2024"/>
    <m/>
    <x v="19"/>
    <d v="2024-07-18T00:00:00"/>
    <d v="2025-07-18T00:00:00"/>
    <s v="SHERAZ MANZOOR"/>
    <s v="SUZUKI-GD-110S"/>
    <n v="12320"/>
    <n v="10190"/>
    <s v="145455"/>
    <d v="2024-07-18T00:00:00"/>
    <s v="MOTORCYCLE  COMPREHENSIVE"/>
    <n v="352000"/>
    <n v="1630.4"/>
    <n v="101.9"/>
    <n v="500"/>
  </r>
  <r>
    <s v="KHI/HO/D/MO/MC COMP/P/93285/07/2024"/>
    <m/>
    <x v="19"/>
    <d v="2025-07-19T00:00:00"/>
    <d v="2026-07-19T00:00:00"/>
    <s v="SHERAZ MANZOOR"/>
    <s v="SUZUKI-GD-110S"/>
    <n v="12320"/>
    <n v="10190"/>
    <s v="145455"/>
    <d v="2024-07-18T00:00:00"/>
    <s v="MOTORCYCLE  COMPREHENSIVE"/>
    <n v="352000"/>
    <n v="1630.4"/>
    <n v="101.9"/>
    <n v="500"/>
  </r>
  <r>
    <s v="KHI/HO/D/MO/MC COMP/P/93287/07/2024"/>
    <m/>
    <x v="1"/>
    <d v="2024-07-18T00:00:00"/>
    <d v="2025-07-18T00:00:00"/>
    <s v="MUHAMMAD AMIR"/>
    <s v="SUZUKI-GD-110S"/>
    <n v="12320"/>
    <n v="10190"/>
    <s v="144125"/>
    <d v="2024-07-18T00:00:00"/>
    <s v="MOTORCYCLE  COMPREHENSIVE"/>
    <n v="352000"/>
    <n v="1630.4"/>
    <n v="101.9"/>
    <n v="500"/>
  </r>
  <r>
    <s v="KHI/HO/D/MO/MC COMP/P/93288/07/2024"/>
    <m/>
    <x v="1"/>
    <d v="2025-07-19T00:00:00"/>
    <d v="2026-07-19T00:00:00"/>
    <s v="MUHAMMAD AMIR"/>
    <s v="SUZUKI-GD-110S"/>
    <n v="12320"/>
    <n v="10190"/>
    <s v="144125"/>
    <d v="2024-07-18T00:00:00"/>
    <s v="MOTORCYCLE  COMPREHENSIVE"/>
    <n v="352000"/>
    <n v="1630.4"/>
    <n v="101.9"/>
    <n v="500"/>
  </r>
  <r>
    <s v="KHI/HO/D/MO/MC COMP/P/93291/07/2024"/>
    <m/>
    <x v="18"/>
    <d v="2024-07-18T00:00:00"/>
    <d v="2025-07-18T00:00:00"/>
    <s v="MUHAMMAD MUJTABA NAVEED"/>
    <s v="SUZUKI-GS 150"/>
    <n v="9550"/>
    <n v="7802"/>
    <s v="30092052"/>
    <d v="2024-07-18T00:00:00"/>
    <s v="MOTORCYCLE  COMPREHENSIVE"/>
    <n v="382000"/>
    <n v="1248.32"/>
    <n v="78.02"/>
    <n v="500"/>
  </r>
  <r>
    <s v="KHI/HO/D/MO/MC COMP/P/93292/07/2024"/>
    <m/>
    <x v="1"/>
    <d v="2024-07-18T00:00:00"/>
    <d v="2025-07-18T00:00:00"/>
    <s v="KHURRAM ALI KHAN"/>
    <s v="SUZUKI-GD-110S"/>
    <n v="12320"/>
    <n v="10190"/>
    <s v="144553"/>
    <d v="2024-07-18T00:00:00"/>
    <s v="MOTORCYCLE  COMPREHENSIVE"/>
    <n v="352000"/>
    <n v="1630.4"/>
    <n v="101.9"/>
    <n v="500"/>
  </r>
  <r>
    <s v="KHI/HO/D/MO/MC COMP/P/93293/07/2024"/>
    <m/>
    <x v="1"/>
    <d v="2024-07-18T00:00:00"/>
    <d v="2025-07-18T00:00:00"/>
    <s v="RAZA HASSAN"/>
    <s v="SUZUKI-GD-110S"/>
    <n v="12320"/>
    <n v="10190"/>
    <s v="144558"/>
    <d v="2024-07-18T00:00:00"/>
    <s v="MOTORCYCLE  COMPREHENSIVE"/>
    <n v="352000"/>
    <n v="1630.4"/>
    <n v="101.9"/>
    <n v="500"/>
  </r>
  <r>
    <s v="KHI/HO/D/MO/MC COMP/P/93294/07/2024"/>
    <m/>
    <x v="1"/>
    <d v="2025-07-19T00:00:00"/>
    <d v="2026-07-19T00:00:00"/>
    <s v="RAZA HASSAN"/>
    <s v="SUZUKI-GD-110S"/>
    <n v="12320"/>
    <n v="10190"/>
    <s v="144558"/>
    <d v="2024-07-18T00:00:00"/>
    <s v="MOTORCYCLE  COMPREHENSIVE"/>
    <n v="352000"/>
    <n v="1630.4"/>
    <n v="101.9"/>
    <n v="500"/>
  </r>
  <r>
    <s v="KHI/HO/D/MO/MC COMP/P/93295/07/2024"/>
    <m/>
    <x v="1"/>
    <d v="2024-07-18T00:00:00"/>
    <d v="2025-07-18T00:00:00"/>
    <s v="SHAHEEN SERVICES"/>
    <s v="SUZUKI-GS 150"/>
    <n v="13370"/>
    <n v="11095"/>
    <s v="30091754"/>
    <d v="2024-07-18T00:00:00"/>
    <s v="MOTORCYCLE  COMPREHENSIVE"/>
    <n v="382000"/>
    <n v="1775.2"/>
    <n v="110.95"/>
    <n v="500"/>
  </r>
  <r>
    <s v="KHI/HO/D/MO/MC COMP/P/93296/07/2024"/>
    <m/>
    <x v="1"/>
    <d v="2025-07-19T00:00:00"/>
    <d v="2026-07-19T00:00:00"/>
    <s v="SHAHEEN SERVICES"/>
    <s v="SUZUKI-GS 150"/>
    <n v="13370"/>
    <n v="11095"/>
    <s v="30091754"/>
    <d v="2024-07-18T00:00:00"/>
    <s v="MOTORCYCLE  COMPREHENSIVE"/>
    <n v="382000"/>
    <n v="1775.2"/>
    <n v="110.95"/>
    <n v="500"/>
  </r>
  <r>
    <s v="KHI/HO/D/MO/MC COMP/P/93298/07/2024"/>
    <m/>
    <x v="5"/>
    <d v="2024-07-18T00:00:00"/>
    <d v="2025-07-18T00:00:00"/>
    <s v="MUHAMMAD USMAN"/>
    <s v="SUZUKI-GS 150"/>
    <n v="9550"/>
    <n v="7802"/>
    <s v="30092090"/>
    <d v="2024-07-18T00:00:00"/>
    <s v="MOTORCYCLE  COMPREHENSIVE"/>
    <n v="382000"/>
    <n v="1248.32"/>
    <n v="78.02"/>
    <n v="500"/>
  </r>
  <r>
    <s v="KHI/HO/D/MO/MC COMP/P/93299/07/2024"/>
    <m/>
    <x v="1"/>
    <d v="2024-07-18T00:00:00"/>
    <d v="2025-07-18T00:00:00"/>
    <s v="SHAHEEN SERVICES"/>
    <s v="SUZUKI-GS 150"/>
    <n v="13370"/>
    <n v="11095"/>
    <s v="30091755"/>
    <d v="2024-07-18T00:00:00"/>
    <s v="MOTORCYCLE  COMPREHENSIVE"/>
    <n v="382000"/>
    <n v="1775.2"/>
    <n v="110.95"/>
    <n v="500"/>
  </r>
  <r>
    <s v="KHI/HO/D/MO/MC COMP/P/93300/07/2024"/>
    <m/>
    <x v="1"/>
    <d v="2025-07-19T00:00:00"/>
    <d v="2026-07-19T00:00:00"/>
    <s v="SHAHEEN SERVICES"/>
    <s v="SUZUKI-GS 150"/>
    <n v="13370"/>
    <n v="11095"/>
    <s v="30091755"/>
    <d v="2024-07-18T00:00:00"/>
    <s v="MOTORCYCLE  COMPREHENSIVE"/>
    <n v="382000"/>
    <n v="1775.2"/>
    <n v="110.95"/>
    <n v="500"/>
  </r>
  <r>
    <s v="KHI/HO/D/MO/MC COMP/P/93302/07/2024"/>
    <m/>
    <x v="1"/>
    <d v="2024-07-18T00:00:00"/>
    <d v="2025-07-18T00:00:00"/>
    <s v="SHAHEEN SERVICES"/>
    <s v="SUZUKI-GS 150"/>
    <n v="13370"/>
    <n v="11095"/>
    <s v="30091756"/>
    <d v="2024-07-18T00:00:00"/>
    <s v="MOTORCYCLE  COMPREHENSIVE"/>
    <n v="382000"/>
    <n v="1775.2"/>
    <n v="110.95"/>
    <n v="500"/>
  </r>
  <r>
    <s v="KHI/HO/D/MO/MC COMP/P/93303/07/2024"/>
    <m/>
    <x v="1"/>
    <d v="2025-07-19T00:00:00"/>
    <d v="2026-07-19T00:00:00"/>
    <s v="SHAHEEN SERVICES"/>
    <s v="SUZUKI-GS 150"/>
    <n v="13370"/>
    <n v="11095"/>
    <s v="30091756"/>
    <d v="2024-07-18T00:00:00"/>
    <s v="MOTORCYCLE  COMPREHENSIVE"/>
    <n v="382000"/>
    <n v="1775.2"/>
    <n v="110.95"/>
    <n v="500"/>
  </r>
  <r>
    <s v="KHI/HO/D/MO/MC COMP/P/93307/07/2024"/>
    <m/>
    <x v="9"/>
    <d v="2024-07-19T00:00:00"/>
    <d v="2025-07-19T00:00:00"/>
    <s v="Mr. Usama Bin Nayyar"/>
    <s v="SUZUKI-GS 150"/>
    <n v="9550"/>
    <n v="7802"/>
    <s v="30092096"/>
    <d v="2024-07-19T00:00:00"/>
    <s v="MOTORCYCLE  COMPREHENSIVE"/>
    <n v="382001"/>
    <n v="1248.32"/>
    <n v="78.02"/>
    <n v="500"/>
  </r>
  <r>
    <s v="KHI/HO/D/MO/MC COMP/P/93309/07/2024"/>
    <m/>
    <x v="20"/>
    <d v="2024-07-19T00:00:00"/>
    <d v="2025-07-19T00:00:00"/>
    <s v="Meer Humza"/>
    <s v="SUZUKI-GS 150"/>
    <n v="9550"/>
    <n v="7802"/>
    <s v="30091890"/>
    <d v="2024-07-19T00:00:00"/>
    <s v="MOTORCYCLE  COMPREHENSIVE"/>
    <n v="382001"/>
    <n v="1248.32"/>
    <n v="78.02"/>
    <n v="500"/>
  </r>
  <r>
    <s v="KHI/HO/D/MO/MC COMP/P/93311/07/2024"/>
    <m/>
    <x v="20"/>
    <d v="2024-07-19T00:00:00"/>
    <d v="2025-07-19T00:00:00"/>
    <s v="Mr. Ehtasham Ul Haq"/>
    <s v="SUZUKI-GD-110S"/>
    <n v="8800"/>
    <n v="7155"/>
    <s v="144470"/>
    <d v="2024-07-19T00:00:00"/>
    <s v="MOTORCYCLE  COMPREHENSIVE"/>
    <n v="352001"/>
    <n v="1144.8"/>
    <n v="71.55"/>
    <n v="500"/>
  </r>
  <r>
    <s v="KHI/HO/D/MO/MC COMP/P/93315/07/2024"/>
    <m/>
    <x v="20"/>
    <d v="2024-07-19T00:00:00"/>
    <d v="2025-07-19T00:00:00"/>
    <s v="Rana Zahoor Ul Hassan"/>
    <s v="SUZUKI-GD-110S"/>
    <n v="8800"/>
    <n v="7155"/>
    <s v="144149"/>
    <d v="2024-07-19T00:00:00"/>
    <s v="MOTORCYCLE  COMPREHENSIVE"/>
    <n v="352001"/>
    <n v="1144.8"/>
    <n v="71.55"/>
    <n v="500"/>
  </r>
  <r>
    <s v="KHI/HO/D/MO/MC COMP/P/93321/07/2024"/>
    <m/>
    <x v="1"/>
    <d v="2024-07-19T00:00:00"/>
    <d v="2025-07-19T00:00:00"/>
    <s v="MUHAMMAD FURQAN SHAHID"/>
    <s v="SUZUKI-GS 150"/>
    <n v="13370"/>
    <n v="11095"/>
    <s v="30091939"/>
    <d v="2024-07-19T00:00:00"/>
    <s v="MOTORCYCLE  COMPREHENSIVE"/>
    <n v="382000"/>
    <n v="1775.2"/>
    <n v="110.95"/>
    <n v="500"/>
  </r>
  <r>
    <s v="KHI/HO/D/MO/MC COMP/P/93322/07/2024"/>
    <m/>
    <x v="1"/>
    <d v="2025-07-20T00:00:00"/>
    <d v="2026-07-20T00:00:00"/>
    <s v="MUHAMMAD FURQAN SHAHID"/>
    <s v="SUZUKI-GS 150"/>
    <n v="13370"/>
    <n v="11095"/>
    <s v="30091939"/>
    <d v="2024-07-19T00:00:00"/>
    <s v="MOTORCYCLE  COMPREHENSIVE"/>
    <n v="382000"/>
    <n v="1775.2"/>
    <n v="110.95"/>
    <n v="500"/>
  </r>
  <r>
    <s v="KHI/HO/D/MO/MC COMP/P/93325/07/2024"/>
    <m/>
    <x v="4"/>
    <d v="2024-07-19T00:00:00"/>
    <d v="2025-07-19T00:00:00"/>
    <s v="ABDUL REHMAN"/>
    <s v="SUZUKI-GD-110S"/>
    <n v="12320"/>
    <n v="10190"/>
    <s v="146007"/>
    <d v="2024-07-19T00:00:00"/>
    <s v="MOTORCYCLE  COMPREHENSIVE"/>
    <n v="352000"/>
    <n v="1630.4"/>
    <n v="101.9"/>
    <n v="500"/>
  </r>
  <r>
    <s v="KHI/HO/D/MO/MC COMP/P/93326/07/2024"/>
    <m/>
    <x v="4"/>
    <d v="2025-07-20T00:00:00"/>
    <d v="2026-07-20T00:00:00"/>
    <s v="ABDUL REHMAN"/>
    <s v="SUZUKI-GD-110S"/>
    <n v="12320"/>
    <n v="10190"/>
    <s v="146007"/>
    <d v="2024-07-19T00:00:00"/>
    <s v="MOTORCYCLE  COMPREHENSIVE"/>
    <n v="352000"/>
    <n v="1630.4"/>
    <n v="101.9"/>
    <n v="500"/>
  </r>
  <r>
    <s v="KHI/HO/D/MO/MC COMP/P/93329/07/2024"/>
    <m/>
    <x v="19"/>
    <d v="2024-07-19T00:00:00"/>
    <d v="2025-07-19T00:00:00"/>
    <s v="MUHAMMAD JAVED"/>
    <s v="SUZUKI-GD-110S"/>
    <n v="12320"/>
    <n v="10190"/>
    <s v="145716"/>
    <d v="2024-07-19T00:00:00"/>
    <s v="MOTORCYCLE  COMPREHENSIVE"/>
    <n v="352000"/>
    <n v="1630.4"/>
    <n v="101.9"/>
    <n v="500"/>
  </r>
  <r>
    <s v="KHI/HO/D/MO/MC COMP/P/93329/07/2024"/>
    <m/>
    <x v="1"/>
    <d v="2024-07-19T00:00:00"/>
    <d v="2025-07-19T00:00:00"/>
    <s v="AHMED AZIZ"/>
    <s v="SUZUKI-GD-110S"/>
    <n v="19145"/>
    <n v="16073"/>
    <s v="113269"/>
    <d v="2024-07-19T00:00:00"/>
    <s v="MOTORCYCLE  COMPREHENSIVE"/>
    <n v="547000"/>
    <n v="2571.6799999999998"/>
    <n v="160.72999999999999"/>
    <n v="500"/>
  </r>
  <r>
    <s v="KHI/HO/D/MO/MC COMP/P/93330/07/2024"/>
    <m/>
    <x v="19"/>
    <d v="2025-07-20T00:00:00"/>
    <d v="2026-07-20T00:00:00"/>
    <s v="MUHAMMAD JAVED"/>
    <s v="SUZUKI-GD-110S"/>
    <n v="12320"/>
    <n v="10190"/>
    <s v="145716"/>
    <d v="2024-07-19T00:00:00"/>
    <s v="MOTORCYCLE  COMPREHENSIVE"/>
    <n v="352000"/>
    <n v="1630.4"/>
    <n v="101.9"/>
    <n v="500"/>
  </r>
  <r>
    <s v="KHI/HO/D/MO/MC COMP/P/93330/07/2024"/>
    <m/>
    <x v="1"/>
    <d v="2025-07-20T00:00:00"/>
    <d v="2026-07-20T00:00:00"/>
    <s v="AHMED AZIZ"/>
    <s v="SUZUKI-GD-110S"/>
    <n v="19145"/>
    <n v="16073"/>
    <s v="113269"/>
    <d v="2024-07-19T00:00:00"/>
    <s v="MOTORCYCLE  COMPREHENSIVE"/>
    <n v="547000"/>
    <n v="2571.6799999999998"/>
    <n v="160.72999999999999"/>
    <n v="500"/>
  </r>
  <r>
    <s v="KHI/HO/D/MO/MC COMP/P/93331/07/2024"/>
    <m/>
    <x v="1"/>
    <d v="2024-07-19T00:00:00"/>
    <d v="2025-07-19T00:00:00"/>
    <s v="MUHAMMAD ALI"/>
    <s v="SUZUKI-GD-110S"/>
    <n v="12320"/>
    <n v="10190"/>
    <s v="145852"/>
    <d v="2024-07-19T00:00:00"/>
    <s v="MOTORCYCLE  COMPREHENSIVE"/>
    <n v="352000"/>
    <n v="1630.4"/>
    <n v="101.9"/>
    <n v="500"/>
  </r>
  <r>
    <s v="KHI/HO/D/MO/MC COMP/P/93332/07/2024"/>
    <m/>
    <x v="1"/>
    <d v="2025-07-20T00:00:00"/>
    <d v="2026-07-20T00:00:00"/>
    <s v="MUHAMMAD ALI"/>
    <s v="SUZUKI-GD-110S"/>
    <n v="12320"/>
    <n v="10190"/>
    <s v="145852"/>
    <d v="2024-07-19T00:00:00"/>
    <s v="MOTORCYCLE  COMPREHENSIVE"/>
    <n v="352000"/>
    <n v="1630.4"/>
    <n v="101.9"/>
    <n v="500"/>
  </r>
  <r>
    <s v="KHI/HO/D/MO/MC COMP/P/93333/07/2024"/>
    <m/>
    <x v="8"/>
    <d v="2024-07-19T00:00:00"/>
    <d v="2025-07-19T00:00:00"/>
    <s v="NASEEM AKHTAR"/>
    <s v="SUZUKI-GSX 125"/>
    <n v="12475"/>
    <n v="10323"/>
    <s v="23100473"/>
    <d v="2024-07-19T00:00:00"/>
    <s v="MOTORCYCLE  COMPREHENSIVE"/>
    <n v="499000"/>
    <n v="1651.68"/>
    <n v="103.23"/>
    <n v="500"/>
  </r>
  <r>
    <s v="KHI/HO/D/MO/MC COMP/P/93334/07/2024"/>
    <m/>
    <x v="19"/>
    <d v="2024-07-19T00:00:00"/>
    <d v="2025-07-19T00:00:00"/>
    <s v="KASHIF SHAIKH"/>
    <s v="SUZUKI-GD-110S"/>
    <n v="12320"/>
    <n v="10190"/>
    <s v="145677"/>
    <d v="2024-07-19T00:00:00"/>
    <s v="MOTORCYCLE  COMPREHENSIVE"/>
    <n v="352000"/>
    <n v="1630.4"/>
    <n v="101.9"/>
    <n v="500"/>
  </r>
  <r>
    <s v="KHI/HO/D/MO/MC COMP/P/93335/07/2024"/>
    <m/>
    <x v="19"/>
    <d v="2025-07-20T00:00:00"/>
    <d v="2026-07-20T00:00:00"/>
    <s v="KASHIF SHAIKH"/>
    <s v="SUZUKI-GD-110S"/>
    <n v="12320"/>
    <n v="10190"/>
    <s v="145677"/>
    <d v="2024-07-19T00:00:00"/>
    <s v="MOTORCYCLE  COMPREHENSIVE"/>
    <n v="352000"/>
    <n v="1630.4"/>
    <n v="101.9"/>
    <n v="500"/>
  </r>
  <r>
    <s v="KHI/HO/D/MO/MC COMP/P/93338/07/2024"/>
    <m/>
    <x v="1"/>
    <d v="2024-07-19T00:00:00"/>
    <d v="2025-07-19T00:00:00"/>
    <s v="SUFYAN NAWAZ DAHAR"/>
    <s v="SUZUKI-GS-150"/>
    <n v="13370"/>
    <n v="11095"/>
    <s v="30092161"/>
    <d v="2024-07-19T00:00:00"/>
    <s v="MOTORCYCLE  COMPREHENSIVE"/>
    <n v="382000"/>
    <n v="1775.2"/>
    <n v="110.95"/>
    <n v="500"/>
  </r>
  <r>
    <s v="KHI/HO/D/MO/MC COMP/P/93339/07/2024"/>
    <m/>
    <x v="1"/>
    <d v="2025-07-20T00:00:00"/>
    <d v="2026-07-20T00:00:00"/>
    <s v="SUFYAN NAWAZ DAHAR"/>
    <s v="SUZUKI-GS-150"/>
    <n v="13370"/>
    <n v="11095"/>
    <s v="30092161"/>
    <d v="2024-07-19T00:00:00"/>
    <s v="MOTORCYCLE  COMPREHENSIVE"/>
    <n v="382000"/>
    <n v="1775.2"/>
    <n v="110.95"/>
    <n v="500"/>
  </r>
  <r>
    <s v="KHI/HO/D/MO/MC COMP/P/93340/07/2024"/>
    <m/>
    <x v="0"/>
    <d v="2024-07-19T00:00:00"/>
    <d v="2025-07-19T00:00:00"/>
    <s v="MAQBOOL AHMED"/>
    <s v="SUZUKI-GS 150"/>
    <n v="13370"/>
    <n v="11095"/>
    <s v="30092072"/>
    <d v="2024-07-19T00:00:00"/>
    <s v="MOTORCYCLE  COMPREHENSIVE"/>
    <n v="382000"/>
    <n v="1775.2"/>
    <n v="110.95"/>
    <n v="500"/>
  </r>
  <r>
    <s v="KHI/HO/D/MO/MC COMP/P/93341/07/2024"/>
    <m/>
    <x v="1"/>
    <d v="2024-07-19T00:00:00"/>
    <d v="2025-07-19T00:00:00"/>
    <s v="MUHAMMAD ATIQUE"/>
    <s v="SUZUKI-GD-110S"/>
    <n v="12320"/>
    <n v="10190"/>
    <s v="145581"/>
    <d v="2024-07-19T00:00:00"/>
    <s v="MOTORCYCLE  COMPREHENSIVE"/>
    <n v="352000"/>
    <n v="1630.4"/>
    <n v="101.9"/>
    <n v="500"/>
  </r>
  <r>
    <s v="KHI/HO/D/MO/MC COMP/P/93342/07/2024"/>
    <m/>
    <x v="1"/>
    <d v="2025-07-20T00:00:00"/>
    <d v="2026-07-20T00:00:00"/>
    <s v="MUHAMMAD ATIQUE"/>
    <s v="SUZUKI-GD-110S"/>
    <n v="12320"/>
    <n v="10190"/>
    <s v="145581"/>
    <d v="2024-07-19T00:00:00"/>
    <s v="MOTORCYCLE  COMPREHENSIVE"/>
    <n v="352000"/>
    <n v="1630.4"/>
    <n v="101.9"/>
    <n v="500"/>
  </r>
  <r>
    <s v="KHI/HO/D/MO/MC COMP/P/93345/07/2024"/>
    <m/>
    <x v="26"/>
    <d v="2024-07-19T00:00:00"/>
    <d v="2025-07-19T00:00:00"/>
    <s v="MUHAMMAD SOHAIL ABBAS"/>
    <s v="SUZUKI-GSX 125"/>
    <n v="12475"/>
    <n v="10323"/>
    <s v="23100333"/>
    <d v="2024-07-19T00:00:00"/>
    <s v="MOTORCYCLE  COMPREHENSIVE"/>
    <n v="499000"/>
    <n v="1651.68"/>
    <n v="103.23"/>
    <n v="500"/>
  </r>
  <r>
    <s v="KHI/HO/D/MO/MC COMP/P/93348/07/2024"/>
    <m/>
    <x v="26"/>
    <d v="2024-07-19T00:00:00"/>
    <d v="2025-07-19T00:00:00"/>
    <s v="ADNAN AHMAD"/>
    <s v="SUZUKI-GD-110S"/>
    <n v="8800"/>
    <n v="7155"/>
    <s v="144765"/>
    <d v="2024-07-19T00:00:00"/>
    <s v="MOTORCYCLE  COMPREHENSIVE"/>
    <n v="352000"/>
    <n v="1144.8"/>
    <n v="71.55"/>
    <n v="500"/>
  </r>
  <r>
    <s v="KHI/HO/D/MO/MC COMP/P/93350/07/2024"/>
    <m/>
    <x v="2"/>
    <d v="2024-07-19T00:00:00"/>
    <d v="2025-07-19T00:00:00"/>
    <s v="NAZIM"/>
    <s v="SUZUKI-GD-110S"/>
    <n v="12320"/>
    <n v="10190"/>
    <s v="145574"/>
    <d v="2024-07-19T00:00:00"/>
    <s v="MOTORCYCLE  COMPREHENSIVE"/>
    <n v="352000"/>
    <n v="1630.4"/>
    <n v="101.9"/>
    <n v="500"/>
  </r>
  <r>
    <s v="KHI/HO/D/MO/MC COMP/P/93351/07/2024"/>
    <m/>
    <x v="2"/>
    <d v="2025-07-20T00:00:00"/>
    <d v="2026-07-20T00:00:00"/>
    <s v="NAZIM"/>
    <s v="SUZUKI-GD-110S"/>
    <n v="12320"/>
    <n v="10190"/>
    <s v="145574"/>
    <d v="2024-07-19T00:00:00"/>
    <s v="MOTORCYCLE  COMPREHENSIVE"/>
    <n v="352000"/>
    <n v="1630.4"/>
    <n v="101.9"/>
    <n v="500"/>
  </r>
  <r>
    <s v="KHI/HO/D/MO/MC COMP/P/93353/07/2024"/>
    <m/>
    <x v="26"/>
    <d v="2024-07-19T00:00:00"/>
    <d v="2025-07-19T00:00:00"/>
    <s v="WAJAHAT AHMAD"/>
    <s v="SUZUKI-GD-110S"/>
    <n v="8800"/>
    <n v="7155"/>
    <s v="145038"/>
    <d v="2024-07-19T00:00:00"/>
    <s v="MOTORCYCLE  COMPREHENSIVE"/>
    <n v="352000"/>
    <n v="1144.8"/>
    <n v="71.55"/>
    <n v="500"/>
  </r>
  <r>
    <s v="KHI/HO/D/MO/MC COMP/P/93355/07/2024"/>
    <m/>
    <x v="26"/>
    <d v="2024-07-19T00:00:00"/>
    <d v="2025-07-19T00:00:00"/>
    <s v="MUHAMMAD HASSAN"/>
    <s v="SUZUKI-GD-110S"/>
    <n v="8800"/>
    <n v="7155"/>
    <s v="144813"/>
    <d v="2024-07-19T00:00:00"/>
    <s v="MOTORCYCLE  COMPREHENSIVE"/>
    <n v="352000"/>
    <n v="1144.8"/>
    <n v="71.55"/>
    <n v="500"/>
  </r>
  <r>
    <s v="KHI/HO/D/MO/MC COMP/P/93358/07/2024"/>
    <m/>
    <x v="26"/>
    <d v="2024-07-19T00:00:00"/>
    <d v="2025-07-19T00:00:00"/>
    <s v="KHALID MAHMOOD"/>
    <s v="SUZUKI-GD-110S"/>
    <n v="8800"/>
    <n v="7155"/>
    <s v="143426"/>
    <d v="2024-07-19T00:00:00"/>
    <s v="MOTORCYCLE  COMPREHENSIVE"/>
    <n v="352000"/>
    <n v="1144.8"/>
    <n v="71.55"/>
    <n v="500"/>
  </r>
  <r>
    <s v="KHI/HO/D/MO/MC COMP/P/93359/07/2024"/>
    <m/>
    <x v="26"/>
    <d v="2024-07-19T00:00:00"/>
    <d v="2025-07-19T00:00:00"/>
    <s v="MUHAMMAD HAROON"/>
    <s v="SUZUKI-GD-110S"/>
    <n v="8800"/>
    <n v="7155"/>
    <s v="143600"/>
    <d v="2024-07-19T00:00:00"/>
    <s v="MOTORCYCLE  COMPREHENSIVE"/>
    <n v="352000"/>
    <n v="1144.8"/>
    <n v="71.55"/>
    <n v="500"/>
  </r>
  <r>
    <s v="KHI/HO/D/MO/MC COMP/P/93360/07/2024"/>
    <m/>
    <x v="26"/>
    <d v="2024-07-19T00:00:00"/>
    <d v="2025-07-19T00:00:00"/>
    <s v="MUHAMMAD ABDULLAH"/>
    <s v="SUZUKI-GD-110S"/>
    <n v="8800"/>
    <n v="7155"/>
    <s v="143596"/>
    <d v="2024-07-19T00:00:00"/>
    <s v="MOTORCYCLE  COMPREHENSIVE"/>
    <n v="352000"/>
    <n v="1144.8"/>
    <n v="71.55"/>
    <n v="500"/>
  </r>
  <r>
    <s v="KHI/HO/D/MO/MC COMP/P/93364/07/2024"/>
    <m/>
    <x v="26"/>
    <d v="2024-07-19T00:00:00"/>
    <d v="2025-07-19T00:00:00"/>
    <s v="MUHAMMAD KAIF ASLAM"/>
    <s v="SUZUKI-GD-110S"/>
    <n v="8800"/>
    <n v="7155"/>
    <s v="144817"/>
    <d v="2024-07-19T00:00:00"/>
    <s v="MOTORCYCLE  COMPREHENSIVE"/>
    <n v="352000"/>
    <n v="1144.8"/>
    <n v="71.55"/>
    <n v="500"/>
  </r>
  <r>
    <s v="KHI/HO/D/MO/MC COMP/P/93366/07/2024"/>
    <m/>
    <x v="20"/>
    <d v="2024-07-19T00:00:00"/>
    <d v="2025-07-19T00:00:00"/>
    <s v="Mr. Umair Akram"/>
    <s v="SUZUKI-GS 150"/>
    <n v="9550"/>
    <n v="7802"/>
    <s v="30091879"/>
    <d v="2024-07-19T00:00:00"/>
    <s v="MOTORCYCLE  COMPREHENSIVE"/>
    <n v="382001"/>
    <n v="1248.32"/>
    <n v="78.02"/>
    <n v="500"/>
  </r>
  <r>
    <s v="KHI/HO/D/MO/MC COMP/P/93367/07/2024"/>
    <m/>
    <x v="5"/>
    <d v="2024-07-19T00:00:00"/>
    <d v="2025-07-19T00:00:00"/>
    <s v="SHEHYAR"/>
    <s v="SUZUKI-GD-110S"/>
    <n v="8800"/>
    <n v="7155"/>
    <s v="146163"/>
    <d v="2024-07-19T00:00:00"/>
    <s v="MOTORCYCLE  COMPREHENSIVE"/>
    <n v="352000"/>
    <n v="1144.8"/>
    <n v="71.55"/>
    <n v="500"/>
  </r>
  <r>
    <s v="KHI/HO/D/MO/MC COMP/P/93368/07/2024"/>
    <m/>
    <x v="26"/>
    <d v="2024-07-19T00:00:00"/>
    <d v="2025-07-19T00:00:00"/>
    <s v="MUHAMMAD ANWAR UL HAQ"/>
    <s v="SUZUKI-GD-110S"/>
    <n v="8800"/>
    <n v="7155"/>
    <s v="144496"/>
    <d v="2024-07-19T00:00:00"/>
    <s v="MOTORCYCLE  COMPREHENSIVE"/>
    <n v="352000"/>
    <n v="1144.8"/>
    <n v="71.55"/>
    <n v="500"/>
  </r>
  <r>
    <s v="KHI/HO/D/MO/MC COMP/P/93370/07/2024"/>
    <m/>
    <x v="26"/>
    <d v="2024-07-19T00:00:00"/>
    <d v="2025-07-19T00:00:00"/>
    <s v="MUHAMMAD ASHRAF"/>
    <s v="SUZUKI-GD-110S"/>
    <n v="8800"/>
    <n v="7155"/>
    <s v="144816"/>
    <d v="2024-07-19T00:00:00"/>
    <s v="MOTORCYCLE  COMPREHENSIVE"/>
    <n v="352000"/>
    <n v="1144.8"/>
    <n v="71.55"/>
    <n v="500"/>
  </r>
  <r>
    <s v="KHI/HO/D/MO/MC COMP/P/93372/07/2024"/>
    <m/>
    <x v="4"/>
    <d v="2024-07-19T00:00:00"/>
    <d v="2025-07-19T00:00:00"/>
    <s v="MUHAMMAD ALI"/>
    <s v="SUZUKI-GD-110S"/>
    <n v="12320"/>
    <n v="10190"/>
    <s v="145880"/>
    <d v="2024-07-19T00:00:00"/>
    <s v="MOTORCYCLE  COMPREHENSIVE"/>
    <n v="352000"/>
    <n v="1630.4"/>
    <n v="101.9"/>
    <n v="500"/>
  </r>
  <r>
    <s v="KHI/HO/D/MO/MC COMP/P/93373/07/2024"/>
    <m/>
    <x v="4"/>
    <d v="2025-07-20T00:00:00"/>
    <d v="2026-07-20T00:00:00"/>
    <s v="MUHAMMAD ALI"/>
    <s v="SUZUKI-GD-110S"/>
    <n v="12320"/>
    <n v="10190"/>
    <s v="145880"/>
    <d v="2024-07-19T00:00:00"/>
    <s v="MOTORCYCLE  COMPREHENSIVE"/>
    <n v="352000"/>
    <n v="1630.4"/>
    <n v="101.9"/>
    <n v="500"/>
  </r>
  <r>
    <s v="KHI/HO/D/MO/MC COMP/P/93375/07/2024"/>
    <m/>
    <x v="4"/>
    <d v="2024-07-19T00:00:00"/>
    <d v="2025-07-19T00:00:00"/>
    <s v="MUHAMMAD TAHIR"/>
    <s v="SUZUKI-GD-110S"/>
    <n v="12320"/>
    <n v="10190"/>
    <s v="145727"/>
    <d v="2024-07-19T00:00:00"/>
    <s v="MOTORCYCLE  COMPREHENSIVE"/>
    <n v="352000"/>
    <n v="1630.4"/>
    <n v="101.9"/>
    <n v="500"/>
  </r>
  <r>
    <s v="KHI/HO/D/MO/MC COMP/P/93380/07/2024"/>
    <m/>
    <x v="1"/>
    <d v="2024-07-19T00:00:00"/>
    <d v="2025-07-19T00:00:00"/>
    <s v="OBAID KHALID"/>
    <s v="SUZUKI-GD-110S"/>
    <n v="12320"/>
    <n v="10190"/>
    <s v="145843"/>
    <d v="2024-07-19T00:00:00"/>
    <s v="MOTORCYCLE  COMPREHENSIVE"/>
    <n v="352000"/>
    <n v="1630.4"/>
    <n v="101.9"/>
    <n v="500"/>
  </r>
  <r>
    <s v="KHI/HO/D/MO/MC COMP/P/93381/07/2024"/>
    <m/>
    <x v="1"/>
    <d v="2025-07-20T00:00:00"/>
    <d v="2026-07-20T00:00:00"/>
    <s v="OBAID KHALID"/>
    <s v="SUZUKI-GD-110S"/>
    <n v="12320"/>
    <n v="10190"/>
    <s v="145843"/>
    <d v="2024-07-19T00:00:00"/>
    <s v="MOTORCYCLE  COMPREHENSIVE"/>
    <n v="352000"/>
    <n v="1630.4"/>
    <n v="101.9"/>
    <n v="500"/>
  </r>
  <r>
    <s v="KHI/HO/D/MO/MC COMP/P/93382/07/2024"/>
    <m/>
    <x v="1"/>
    <d v="2024-07-19T00:00:00"/>
    <d v="2025-07-19T00:00:00"/>
    <s v="SHAHBAZ ALI"/>
    <s v="SUZUKI-GS 150"/>
    <n v="13370"/>
    <n v="11095"/>
    <s v="30092158"/>
    <d v="2024-07-19T00:00:00"/>
    <s v="MOTORCYCLE  COMPREHENSIVE"/>
    <n v="382000"/>
    <n v="1775.2"/>
    <n v="110.95"/>
    <n v="500"/>
  </r>
  <r>
    <s v="KHI/HO/D/MO/MC COMP/P/93383/07/2024"/>
    <m/>
    <x v="1"/>
    <d v="2025-07-20T00:00:00"/>
    <d v="2026-07-20T00:00:00"/>
    <s v="SHAHBAZ ALI"/>
    <s v="SUZUKI-GS 150"/>
    <n v="13370"/>
    <n v="11095"/>
    <s v="30092158"/>
    <d v="2024-07-19T00:00:00"/>
    <s v="MOTORCYCLE  COMPREHENSIVE"/>
    <n v="382000"/>
    <n v="1775.2"/>
    <n v="110.95"/>
    <n v="500"/>
  </r>
  <r>
    <s v="KHI/HO/D/MO/MC COMP/P/93384/07/2024"/>
    <m/>
    <x v="1"/>
    <d v="2024-07-19T00:00:00"/>
    <d v="2025-07-19T00:00:00"/>
    <s v="JALAL KHAN HASHMI"/>
    <s v="SUZUKI-GD-110S"/>
    <n v="12320"/>
    <n v="10190"/>
    <s v="145840"/>
    <d v="2024-07-19T00:00:00"/>
    <s v="MOTORCYCLE  COMPREHENSIVE"/>
    <n v="352000"/>
    <n v="1630.4"/>
    <n v="101.9"/>
    <n v="500"/>
  </r>
  <r>
    <s v="KHI/HO/D/MO/MC COMP/P/93385/07/2024"/>
    <m/>
    <x v="0"/>
    <d v="2024-07-19T00:00:00"/>
    <d v="2025-07-19T00:00:00"/>
    <s v="KASHAN ALI"/>
    <s v="SUZUKI-GS 150"/>
    <n v="13370"/>
    <n v="11095"/>
    <s v="30091728"/>
    <d v="2024-07-19T00:00:00"/>
    <s v="MOTORCYCLE  COMPREHENSIVE"/>
    <n v="382000"/>
    <n v="1775.2"/>
    <n v="110.95"/>
    <n v="500"/>
  </r>
  <r>
    <s v="KHI/HO/D/MO/MC COMP/P/93386/07/2024"/>
    <m/>
    <x v="0"/>
    <d v="2024-07-19T00:00:00"/>
    <d v="2025-07-19T00:00:00"/>
    <s v="MUHAMMAD SALMAN"/>
    <s v="SUZUKI-GS-150"/>
    <n v="13370"/>
    <n v="11095"/>
    <s v="30091997"/>
    <d v="2024-07-19T00:00:00"/>
    <s v="MOTORCYCLE  COMPREHENSIVE"/>
    <n v="382000"/>
    <n v="1775.2"/>
    <n v="110.95"/>
    <n v="500"/>
  </r>
  <r>
    <s v="KHI/HO/D/MO/MC COMP/P/93393/07/2024"/>
    <m/>
    <x v="1"/>
    <d v="2024-07-20T00:00:00"/>
    <d v="2025-07-20T00:00:00"/>
    <s v="SHAWAIZ KHAN GHOURI"/>
    <s v="SUZUKI-GS 150"/>
    <n v="13370"/>
    <n v="11095"/>
    <s v="30091944"/>
    <d v="2024-07-20T00:00:00"/>
    <s v="MOTORCYCLE  COMPREHENSIVE"/>
    <n v="382000"/>
    <n v="1775.2"/>
    <n v="110.95"/>
    <n v="500"/>
  </r>
  <r>
    <s v="KHI/HO/D/MO/MC COMP/P/93394/07/2024"/>
    <m/>
    <x v="1"/>
    <d v="2025-07-21T00:00:00"/>
    <d v="2026-07-21T00:00:00"/>
    <s v="SHAWAIZ KHAN GHOURI"/>
    <s v="SUZUKI-GS 150"/>
    <n v="13370"/>
    <n v="11095"/>
    <s v="30091944"/>
    <d v="2024-07-20T00:00:00"/>
    <s v="MOTORCYCLE  COMPREHENSIVE"/>
    <n v="382000"/>
    <n v="1775.2"/>
    <n v="110.95"/>
    <n v="500"/>
  </r>
  <r>
    <s v="KHI/HO/D/MO/MC COMP/P/93396/07/2024"/>
    <m/>
    <x v="4"/>
    <d v="2024-07-20T00:00:00"/>
    <d v="2025-07-20T00:00:00"/>
    <s v="FARHAN USMAN"/>
    <s v="SUZUKI-GD-110S"/>
    <n v="12320"/>
    <n v="10190"/>
    <s v="145872"/>
    <d v="2024-07-20T00:00:00"/>
    <s v="MOTORCYCLE  COMPREHENSIVE"/>
    <n v="352000"/>
    <n v="1630.4"/>
    <n v="101.9"/>
    <n v="500"/>
  </r>
  <r>
    <s v="KHI/HO/D/MO/MC COMP/P/93397/07/2024"/>
    <m/>
    <x v="4"/>
    <d v="2025-07-21T00:00:00"/>
    <d v="2026-07-21T00:00:00"/>
    <s v="FARHAN USMAN"/>
    <s v="SUZUKI-GD-110S"/>
    <n v="12320"/>
    <n v="10190"/>
    <s v="145872"/>
    <d v="2024-07-20T00:00:00"/>
    <s v="MOTORCYCLE  COMPREHENSIVE"/>
    <n v="352000"/>
    <n v="1630.4"/>
    <n v="101.9"/>
    <n v="500"/>
  </r>
  <r>
    <s v="KHI/HO/D/MO/MC COMP/P/93399/07/2024"/>
    <m/>
    <x v="18"/>
    <d v="2024-07-20T00:00:00"/>
    <d v="2025-07-20T00:00:00"/>
    <s v="KHURRAM HANIF"/>
    <s v="SUZUKI-GD-110S"/>
    <n v="8800"/>
    <n v="7155"/>
    <s v="144972"/>
    <d v="2024-07-20T00:00:00"/>
    <s v="MOTORCYCLE  COMPREHENSIVE"/>
    <n v="352000"/>
    <n v="1144.8"/>
    <n v="71.55"/>
    <n v="500"/>
  </r>
  <r>
    <s v="KHI/HO/D/MO/MC COMP/P/93400/07/2024"/>
    <m/>
    <x v="18"/>
    <d v="2024-07-20T00:00:00"/>
    <d v="2025-07-20T00:00:00"/>
    <s v="FAISAL MUHAMMAD AYUB"/>
    <s v="SUZUKI-GS 150"/>
    <n v="9550"/>
    <n v="7802"/>
    <s v="30092025"/>
    <d v="2024-07-20T00:00:00"/>
    <s v="MOTORCYCLE  COMPREHENSIVE"/>
    <n v="382000"/>
    <n v="1248.32"/>
    <n v="78.02"/>
    <n v="500"/>
  </r>
  <r>
    <s v="KHI/HO/D/MO/MC COMP/P/93402/07/2024"/>
    <m/>
    <x v="19"/>
    <d v="2025-07-21T00:00:00"/>
    <d v="2026-07-21T00:00:00"/>
    <s v="SYED JAMAL SHAH"/>
    <s v="SUZUKI-GD-110S"/>
    <n v="12320"/>
    <n v="10190"/>
    <s v="145720"/>
    <d v="2024-07-20T00:00:00"/>
    <s v="MOTORCYCLE  COMPREHENSIVE"/>
    <n v="352000"/>
    <n v="1630.4"/>
    <n v="101.9"/>
    <n v="500"/>
  </r>
  <r>
    <s v="KHI/HO/D/MO/MC COMP/P/93403/07/2024"/>
    <m/>
    <x v="19"/>
    <d v="2024-07-20T00:00:00"/>
    <d v="2025-07-20T00:00:00"/>
    <s v="SYED JAMAL SHAH"/>
    <s v="SUZUKI-GD-110S"/>
    <n v="12320"/>
    <n v="10190"/>
    <s v="145720"/>
    <d v="2024-07-20T00:00:00"/>
    <s v="MOTORCYCLE  COMPREHENSIVE"/>
    <n v="352000"/>
    <n v="1630.4"/>
    <n v="101.9"/>
    <n v="500"/>
  </r>
  <r>
    <s v="KHI/HO/D/MO/MC COMP/P/93406/07/2024"/>
    <m/>
    <x v="26"/>
    <d v="2024-07-20T00:00:00"/>
    <d v="2025-07-20T00:00:00"/>
    <s v="SADAR AZAM"/>
    <s v="SUZUKI-GD-110S"/>
    <n v="8800"/>
    <n v="7155"/>
    <s v="144815"/>
    <d v="2024-07-20T00:00:00"/>
    <s v="MOTORCYCLE  COMPREHENSIVE"/>
    <n v="352000"/>
    <n v="1144.8"/>
    <n v="71.55"/>
    <n v="500"/>
  </r>
  <r>
    <s v="KHI/HO/D/MO/MC COMP/P/93407/07/2024"/>
    <m/>
    <x v="26"/>
    <d v="2024-07-20T00:00:00"/>
    <d v="2025-07-20T00:00:00"/>
    <s v="JUNAID IQBAL"/>
    <s v="SUZUKI-GD-110S"/>
    <n v="8800"/>
    <n v="7155"/>
    <s v="144761"/>
    <d v="2024-07-20T00:00:00"/>
    <s v="MOTORCYCLE  COMPREHENSIVE"/>
    <n v="352000"/>
    <n v="1144.8"/>
    <n v="71.55"/>
    <n v="500"/>
  </r>
  <r>
    <s v="KHI/HO/D/MO/MC COMP/P/93408/07/2024"/>
    <m/>
    <x v="26"/>
    <d v="2024-07-20T00:00:00"/>
    <d v="2025-07-20T00:00:00"/>
    <s v="ZAHID IQBAL"/>
    <s v="SUZUKI-GD-110S"/>
    <n v="8800"/>
    <n v="7155"/>
    <s v="145035"/>
    <d v="2024-07-20T00:00:00"/>
    <s v="MOTORCYCLE  COMPREHENSIVE"/>
    <n v="352000"/>
    <n v="1144.8"/>
    <n v="71.55"/>
    <n v="500"/>
  </r>
  <r>
    <s v="KHI/HO/D/MO/MC COMP/P/93409/07/2024"/>
    <m/>
    <x v="26"/>
    <d v="2024-07-20T00:00:00"/>
    <d v="2025-07-20T00:00:00"/>
    <s v="NAUMAN SHEHZAD"/>
    <s v="SUZUKI-GD-110S"/>
    <n v="8800"/>
    <n v="7155"/>
    <s v="144808"/>
    <d v="2024-07-20T00:00:00"/>
    <s v="MOTORCYCLE  COMPREHENSIVE"/>
    <n v="352000"/>
    <n v="1144.8"/>
    <n v="71.55"/>
    <n v="500"/>
  </r>
  <r>
    <s v="KHI/HO/D/MO/MC COMP/P/93410/07/2024"/>
    <m/>
    <x v="26"/>
    <d v="2024-07-20T00:00:00"/>
    <d v="2025-07-20T00:00:00"/>
    <s v="MUHAMMAD ASIF"/>
    <s v="SUZUKI-GD-110S"/>
    <n v="8800"/>
    <n v="7155"/>
    <s v="144500"/>
    <d v="2024-07-20T00:00:00"/>
    <s v="MOTORCYCLE  COMPREHENSIVE"/>
    <n v="352000"/>
    <n v="1144.8"/>
    <n v="71.55"/>
    <n v="500"/>
  </r>
  <r>
    <s v="KHI/HO/D/MO/MC COMP/P/93413/07/2024"/>
    <m/>
    <x v="26"/>
    <d v="2024-07-20T00:00:00"/>
    <d v="2025-07-20T00:00:00"/>
    <s v="UBAID ULLAH ARSHAD"/>
    <s v="SUZUKI-GD-110S"/>
    <n v="8800"/>
    <n v="7155"/>
    <s v="143593"/>
    <d v="2024-07-20T00:00:00"/>
    <s v="MOTORCYCLE  COMPREHENSIVE"/>
    <n v="352000"/>
    <n v="1144.8"/>
    <n v="71.55"/>
    <n v="500"/>
  </r>
  <r>
    <s v="KHI/HO/D/MO/MC COMP/P/93414/07/2024"/>
    <m/>
    <x v="26"/>
    <d v="2024-07-20T00:00:00"/>
    <d v="2025-07-20T00:00:00"/>
    <s v="MUHAMMAD BILAL ASHRAF"/>
    <s v="SUZUKI-GD-110S"/>
    <n v="8800"/>
    <n v="7155"/>
    <s v="144483"/>
    <d v="2024-07-20T00:00:00"/>
    <s v="MOTORCYCLE  COMPREHENSIVE"/>
    <n v="352000"/>
    <n v="1144.8"/>
    <n v="71.55"/>
    <n v="500"/>
  </r>
  <r>
    <s v="KHI/HO/D/MO/MC COMP/P/93415/07/2024"/>
    <m/>
    <x v="23"/>
    <d v="2024-07-20T00:00:00"/>
    <d v="2025-07-20T00:00:00"/>
    <s v="SHAH NAWAZ KHAN"/>
    <s v="SUZUKI-GR150 EURO II"/>
    <n v="13675"/>
    <n v="11358"/>
    <s v="G42B-113287"/>
    <d v="2024-07-20T00:00:00"/>
    <s v="MOTORCYCLE  COMPREHENSIVE"/>
    <n v="547000"/>
    <n v="1817.28"/>
    <n v="113.58"/>
    <n v="500"/>
  </r>
  <r>
    <s v="KHI/HO/D/MO/MC COMP/P/93416/07/2024"/>
    <m/>
    <x v="12"/>
    <d v="2024-07-20T00:00:00"/>
    <d v="2025-07-20T00:00:00"/>
    <s v="MUHAMMAD JAWAD"/>
    <s v="SUZUKI-GSX 125"/>
    <n v="17465"/>
    <n v="14625"/>
    <s v="23100105"/>
    <d v="2024-07-20T00:00:00"/>
    <s v="MOTORCYCLE  COMPREHENSIVE"/>
    <n v="499000"/>
    <n v="2340"/>
    <n v="146.25"/>
    <n v="500"/>
  </r>
  <r>
    <s v="KHI/HO/D/MO/MC COMP/P/93417/07/2024"/>
    <m/>
    <x v="12"/>
    <d v="2025-07-21T00:00:00"/>
    <d v="2026-07-21T00:00:00"/>
    <s v="MUHAMMAD JAWAD"/>
    <s v="SUZUKI-GSX 125"/>
    <n v="17465"/>
    <n v="14625"/>
    <s v="23100105"/>
    <d v="2024-07-20T00:00:00"/>
    <s v="MOTORCYCLE  COMPREHENSIVE"/>
    <n v="499000"/>
    <n v="2340"/>
    <n v="146.25"/>
    <n v="500"/>
  </r>
  <r>
    <s v="KHI/HO/D/MO/MC COMP/P/93418/07/2024"/>
    <m/>
    <x v="26"/>
    <d v="2024-07-20T00:00:00"/>
    <d v="2025-07-20T00:00:00"/>
    <s v="MUHAMMAD AKRAM"/>
    <s v="SUZUKI-GD-110S"/>
    <n v="8800"/>
    <n v="7155"/>
    <s v="144811"/>
    <d v="2024-07-20T00:00:00"/>
    <s v="MOTORCYCLE  COMPREHENSIVE"/>
    <n v="352000"/>
    <n v="1144.8"/>
    <n v="71.55"/>
    <n v="500"/>
  </r>
  <r>
    <s v="KHI/HO/D/MO/MC COMP/P/93421/07/2024"/>
    <m/>
    <x v="26"/>
    <d v="2024-07-20T00:00:00"/>
    <d v="2025-07-20T00:00:00"/>
    <s v="SAMEER KHAN"/>
    <s v="SUZUKI-GSX 125"/>
    <n v="12475"/>
    <n v="10323"/>
    <s v="23102456"/>
    <d v="2024-07-20T00:00:00"/>
    <s v="MOTORCYCLE  COMPREHENSIVE"/>
    <n v="499000"/>
    <n v="1651.68"/>
    <n v="103.23"/>
    <n v="500"/>
  </r>
  <r>
    <s v="KHI/HO/D/MO/MC COMP/P/93422/07/2024"/>
    <m/>
    <x v="23"/>
    <d v="2024-07-20T00:00:00"/>
    <d v="2025-07-20T00:00:00"/>
    <s v="UZMA MAHAR"/>
    <s v="SUZUKI-GR150 EURO II"/>
    <n v="13675"/>
    <n v="11358"/>
    <s v="G42B-113261"/>
    <d v="2024-07-20T00:00:00"/>
    <s v="MOTORCYCLE  COMPREHENSIVE"/>
    <n v="547000"/>
    <n v="1817.28"/>
    <n v="113.58"/>
    <n v="500"/>
  </r>
  <r>
    <s v="KHI/HO/D/MO/MC COMP/P/93427/07/2024"/>
    <m/>
    <x v="23"/>
    <d v="2024-07-20T00:00:00"/>
    <d v="2025-07-20T00:00:00"/>
    <s v="AZHAR HUSSAIN"/>
    <s v="SUZUKI-GS 150"/>
    <n v="9550"/>
    <n v="7802"/>
    <s v="PKG30091021"/>
    <d v="2024-07-20T00:00:00"/>
    <s v="MOTORCYCLE  COMPREHENSIVE"/>
    <n v="382000"/>
    <n v="1248.32"/>
    <n v="78.02"/>
    <n v="500"/>
  </r>
  <r>
    <s v="KHI/HO/D/MO/MC COMP/P/93428/07/2024"/>
    <m/>
    <x v="23"/>
    <d v="2024-07-20T00:00:00"/>
    <d v="2025-07-20T00:00:00"/>
    <s v="SHUJAAT HUSSAIN"/>
    <s v="SUZUKI-GD-110S"/>
    <n v="8800"/>
    <n v="7155"/>
    <s v="E487-143930"/>
    <d v="2024-07-20T00:00:00"/>
    <s v="MOTORCYCLE  COMPREHENSIVE"/>
    <n v="352000"/>
    <n v="1144.8"/>
    <n v="71.55"/>
    <n v="500"/>
  </r>
  <r>
    <s v="KHI/HO/D/MO/MC COMP/P/93429/07/2024"/>
    <m/>
    <x v="26"/>
    <d v="2024-07-20T00:00:00"/>
    <d v="2025-07-20T00:00:00"/>
    <s v="NAQASH"/>
    <s v="SUZUKI-GD-110S"/>
    <n v="8800"/>
    <n v="7155"/>
    <s v="143597"/>
    <d v="2024-07-20T00:00:00"/>
    <s v="MOTORCYCLE  COMPREHENSIVE"/>
    <n v="352000"/>
    <n v="1144.8"/>
    <n v="71.55"/>
    <n v="500"/>
  </r>
  <r>
    <s v="KHI/HO/D/MO/MC COMP/P/93430/07/2024"/>
    <m/>
    <x v="23"/>
    <d v="2024-07-20T00:00:00"/>
    <d v="2025-07-20T00:00:00"/>
    <s v=" MUHAMMAD USAMA AFRIN"/>
    <s v="SUZUKI-GS 150"/>
    <n v="9550"/>
    <n v="7802"/>
    <s v="PKG30091722"/>
    <d v="2024-07-20T00:00:00"/>
    <s v="MOTORCYCLE  COMPREHENSIVE"/>
    <n v="382000"/>
    <n v="1248.32"/>
    <n v="78.02"/>
    <n v="500"/>
  </r>
  <r>
    <s v="KHI/HO/D/MO/MC COMP/P/93431/07/2024"/>
    <m/>
    <x v="12"/>
    <d v="2024-07-20T00:00:00"/>
    <d v="2025-07-20T00:00:00"/>
    <s v="MUHAMMAD ASAD HASSAN"/>
    <s v="SUZUKI-GS 150"/>
    <n v="13370"/>
    <n v="11095"/>
    <s v="30091852"/>
    <d v="2024-07-20T00:00:00"/>
    <s v="MOTORCYCLE  COMPREHENSIVE"/>
    <n v="382000"/>
    <n v="1775.2"/>
    <n v="110.95"/>
    <n v="500"/>
  </r>
  <r>
    <s v="KHI/HO/D/MO/MC COMP/P/93432/07/2024"/>
    <m/>
    <x v="12"/>
    <d v="2025-07-21T00:00:00"/>
    <d v="2026-07-21T00:00:00"/>
    <s v="MUHAMMAD ASAD HASSAN"/>
    <s v="SUZUKI-GS 150"/>
    <n v="13370"/>
    <n v="11095"/>
    <s v="30091852"/>
    <d v="2024-07-20T00:00:00"/>
    <s v="MOTORCYCLE  COMPREHENSIVE"/>
    <n v="382000"/>
    <n v="1775.2"/>
    <n v="110.95"/>
    <n v="500"/>
  </r>
  <r>
    <s v="KHI/HO/D/MO/MC COMP/P/93433/07/2024"/>
    <m/>
    <x v="26"/>
    <d v="2024-07-20T00:00:00"/>
    <d v="2025-07-20T00:00:00"/>
    <s v="HAFIZ RANA KHALIL UR REHMAN"/>
    <s v="SUZUKI-GR150 EURO II"/>
    <n v="13675"/>
    <n v="11358"/>
    <s v="113053"/>
    <d v="2024-07-20T00:00:00"/>
    <s v="MOTORCYCLE  COMPREHENSIVE"/>
    <n v="547000"/>
    <n v="1817.28"/>
    <n v="113.58"/>
    <n v="500"/>
  </r>
  <r>
    <s v="KHI/HO/D/MO/MC COMP/P/93434/07/2024"/>
    <m/>
    <x v="2"/>
    <d v="2024-07-20T00:00:00"/>
    <d v="2025-07-20T00:00:00"/>
    <s v="HARIS MUHAMMAD SHEIKH"/>
    <s v="SUZUKI-GD-110S"/>
    <n v="12320"/>
    <n v="10190"/>
    <s v="145863"/>
    <d v="2024-07-20T00:00:00"/>
    <s v="MOTORCYCLE  COMPREHENSIVE"/>
    <n v="352000"/>
    <n v="1630.4"/>
    <n v="101.9"/>
    <n v="500"/>
  </r>
  <r>
    <s v="KHI/HO/D/MO/MC COMP/P/93467/07/2024"/>
    <m/>
    <x v="4"/>
    <d v="2024-07-22T00:00:00"/>
    <d v="2025-07-22T00:00:00"/>
    <s v="MUHAMMAD NAEEM IBRAHIM"/>
    <s v="SUZUKI-GSX 125"/>
    <n v="17465"/>
    <n v="14625"/>
    <s v="23100472"/>
    <d v="2024-07-22T00:00:00"/>
    <s v="MOTORCYCLE  COMPREHENSIVE"/>
    <n v="499000"/>
    <n v="2340"/>
    <n v="146.25"/>
    <n v="500"/>
  </r>
  <r>
    <s v="KHI/HO/D/MO/MC COMP/P/93468/07/2024"/>
    <m/>
    <x v="4"/>
    <d v="2025-07-23T00:00:00"/>
    <d v="2026-07-23T00:00:00"/>
    <s v="MUHAMMAD NAEEM IBRAHIM"/>
    <s v="SUZUKI-GSX 125"/>
    <n v="17465"/>
    <n v="14625"/>
    <s v="23100472"/>
    <d v="2024-07-22T00:00:00"/>
    <s v="MOTORCYCLE  COMPREHENSIVE"/>
    <n v="499000"/>
    <n v="2340"/>
    <n v="146.25"/>
    <n v="500"/>
  </r>
  <r>
    <s v="KHI/HO/D/MO/MC COMP/P/93471/07/2024"/>
    <m/>
    <x v="19"/>
    <d v="2024-07-22T00:00:00"/>
    <d v="2025-07-22T00:00:00"/>
    <s v="AKASH AHMED"/>
    <s v="SUZUKI-GS 150"/>
    <n v="13370"/>
    <n v="11095"/>
    <s v="30091840"/>
    <d v="2024-07-22T00:00:00"/>
    <s v="MOTORCYCLE  COMPREHENSIVE"/>
    <n v="382000"/>
    <n v="1775.2"/>
    <n v="110.95"/>
    <n v="500"/>
  </r>
  <r>
    <s v="KHI/HO/D/MO/MC COMP/P/93472/07/2024"/>
    <m/>
    <x v="19"/>
    <d v="2025-07-23T00:00:00"/>
    <d v="2026-07-23T00:00:00"/>
    <s v="AKASH AHMED"/>
    <s v="SUZUKI-GS 150"/>
    <n v="13370"/>
    <n v="11095"/>
    <s v="30091840"/>
    <d v="2024-07-22T00:00:00"/>
    <s v="MOTORCYCLE  COMPREHENSIVE"/>
    <n v="382000"/>
    <n v="1775.2"/>
    <n v="110.95"/>
    <n v="500"/>
  </r>
  <r>
    <s v="KHI/HO/D/MO/MC COMP/P/93480/07/2024"/>
    <m/>
    <x v="14"/>
    <d v="2024-07-22T00:00:00"/>
    <d v="2025-07-22T00:00:00"/>
    <s v="AHMAD ALI"/>
    <s v="SUZUKI-GD-110S"/>
    <n v="8800"/>
    <n v="7155"/>
    <s v="145146"/>
    <d v="2024-07-22T00:00:00"/>
    <s v="MOTORCYCLE  COMPREHENSIVE"/>
    <n v="352000"/>
    <n v="1144.8"/>
    <n v="71.55"/>
    <n v="500"/>
  </r>
  <r>
    <s v="KHI/HO/D/MO/MC COMP/P/93484/07/2024"/>
    <m/>
    <x v="14"/>
    <d v="2024-07-22T00:00:00"/>
    <d v="2025-07-22T00:00:00"/>
    <s v="SHAHID HUSSAIN"/>
    <s v="SUZUKI-GD-110S"/>
    <n v="8800"/>
    <n v="7155"/>
    <s v="145109"/>
    <d v="2024-07-22T00:00:00"/>
    <s v="MOTORCYCLE  COMPREHENSIVE"/>
    <n v="352000"/>
    <n v="1144.8"/>
    <n v="71.55"/>
    <n v="500"/>
  </r>
  <r>
    <s v="KHI/HO/D/MO/MC COMP/P/93488/07/2024"/>
    <m/>
    <x v="18"/>
    <d v="2024-07-22T00:00:00"/>
    <d v="2025-07-22T00:00:00"/>
    <s v="ABDUL RASHEED"/>
    <s v="SUZUKI-GD-110S"/>
    <n v="8800"/>
    <n v="7155"/>
    <s v="144081"/>
    <d v="2024-07-22T00:00:00"/>
    <s v="MOTORCYCLE  COMPREHENSIVE"/>
    <n v="352000"/>
    <n v="1144.8"/>
    <n v="71.55"/>
    <n v="500"/>
  </r>
  <r>
    <s v="KHI/HO/D/MO/MC COMP/P/93489/07/2024"/>
    <m/>
    <x v="14"/>
    <d v="2024-07-22T00:00:00"/>
    <d v="2025-07-22T00:00:00"/>
    <s v="MUHAMMAD WASEEM"/>
    <s v="SUZUKI-GD-110S"/>
    <n v="8800"/>
    <n v="7155"/>
    <s v="145162"/>
    <d v="2024-07-22T00:00:00"/>
    <s v="MOTORCYCLE  COMPREHENSIVE"/>
    <n v="352000"/>
    <n v="1144.8"/>
    <n v="71.55"/>
    <n v="500"/>
  </r>
  <r>
    <s v="KHI/HO/D/MO/MC COMP/P/93490/07/2024"/>
    <m/>
    <x v="18"/>
    <d v="2024-07-22T00:00:00"/>
    <d v="2025-07-22T00:00:00"/>
    <s v="RASHID MEHBOOB"/>
    <s v="SUZUKI-GD-110S"/>
    <n v="8800"/>
    <n v="7155"/>
    <s v="144079"/>
    <d v="2024-07-22T00:00:00"/>
    <s v="MOTORCYCLE  COMPREHENSIVE"/>
    <n v="352000"/>
    <n v="1144.8"/>
    <n v="71.55"/>
    <n v="500"/>
  </r>
  <r>
    <s v="KHI/HO/D/MO/MC COMP/P/93491/07/2024"/>
    <m/>
    <x v="13"/>
    <d v="2024-07-22T00:00:00"/>
    <d v="2025-07-22T00:00:00"/>
    <s v="Akram Badshah"/>
    <s v="SUZUKI-GD-110S"/>
    <n v="8800"/>
    <n v="7155"/>
    <s v="144826"/>
    <d v="2024-07-22T00:00:00"/>
    <s v="MOTORCYCLE  COMPREHENSIVE"/>
    <n v="352001"/>
    <n v="1144.8"/>
    <n v="71.55"/>
    <n v="500"/>
  </r>
  <r>
    <s v="KHI/HO/D/MO/MC COMP/P/93492/07/2024"/>
    <m/>
    <x v="14"/>
    <d v="2024-07-22T00:00:00"/>
    <d v="2025-07-22T00:00:00"/>
    <s v="MUHAMMAD KASHIF SIKANDAR"/>
    <s v="SUZUKI-GD-110S"/>
    <n v="8800"/>
    <n v="7155"/>
    <s v="144256"/>
    <d v="2024-07-22T00:00:00"/>
    <s v="MOTORCYCLE  COMPREHENSIVE"/>
    <n v="352000"/>
    <n v="1144.8"/>
    <n v="71.55"/>
    <n v="500"/>
  </r>
  <r>
    <s v="KHI/HO/D/MO/MC COMP/P/93498/07/2024"/>
    <m/>
    <x v="14"/>
    <d v="2024-07-22T00:00:00"/>
    <d v="2025-07-22T00:00:00"/>
    <s v="ABDUL NUMAN"/>
    <s v="SUZUKI-GS-150"/>
    <n v="9550"/>
    <n v="7802"/>
    <s v="30091350"/>
    <d v="2024-07-22T00:00:00"/>
    <s v="MOTORCYCLE  COMPREHENSIVE"/>
    <n v="382000"/>
    <n v="1248.32"/>
    <n v="78.02"/>
    <n v="500"/>
  </r>
  <r>
    <s v="KHI/HO/D/MO/MC COMP/P/93499/07/2024"/>
    <m/>
    <x v="1"/>
    <d v="2024-07-22T00:00:00"/>
    <d v="2025-07-22T00:00:00"/>
    <s v="FARHAN UL HAQ"/>
    <s v="SUZUKI-GS 150"/>
    <n v="13370"/>
    <n v="11095"/>
    <s v="30092164"/>
    <d v="2024-07-22T00:00:00"/>
    <s v="MOTORCYCLE  COMPREHENSIVE"/>
    <n v="382000"/>
    <n v="1775.2"/>
    <n v="110.95"/>
    <n v="500"/>
  </r>
  <r>
    <s v="KHI/HO/D/MO/MC COMP/P/93501/07/2024"/>
    <m/>
    <x v="14"/>
    <d v="2024-07-22T00:00:00"/>
    <d v="2025-07-22T00:00:00"/>
    <s v="MUHAMMAD AHTASHAM"/>
    <s v="SUZUKI-GD-110S"/>
    <n v="8800"/>
    <n v="7155"/>
    <s v="145016"/>
    <d v="2024-07-22T00:00:00"/>
    <s v="MOTORCYCLE  COMPREHENSIVE"/>
    <n v="352000"/>
    <n v="1144.8"/>
    <n v="71.55"/>
    <n v="500"/>
  </r>
  <r>
    <s v="KHI/HO/D/MO/MC COMP/P/93502/07/2024"/>
    <m/>
    <x v="14"/>
    <d v="2024-07-22T00:00:00"/>
    <d v="2025-07-22T00:00:00"/>
    <s v="SOHAIL SADIQ"/>
    <s v="SUZUKI-GD-110S"/>
    <n v="8800"/>
    <n v="7155"/>
    <s v="144221"/>
    <d v="2024-07-22T00:00:00"/>
    <s v="MOTORCYCLE  COMPREHENSIVE"/>
    <n v="352000"/>
    <n v="1144.8"/>
    <n v="71.55"/>
    <n v="500"/>
  </r>
  <r>
    <s v="KHI/HO/D/MO/MC COMP/P/93503/07/2024"/>
    <m/>
    <x v="14"/>
    <d v="2024-07-22T00:00:00"/>
    <d v="2025-07-22T00:00:00"/>
    <s v="MUHAMMAD DANIYAL MUNIR"/>
    <s v="SUZUKI-GD-110S"/>
    <n v="8800"/>
    <n v="7155"/>
    <s v="144614"/>
    <d v="2024-07-22T00:00:00"/>
    <s v="MOTORCYCLE  COMPREHENSIVE"/>
    <n v="352000"/>
    <n v="1144.8"/>
    <n v="71.55"/>
    <n v="500"/>
  </r>
  <r>
    <s v="KHI/HO/D/MO/MC COMP/P/93504/07/2024"/>
    <m/>
    <x v="1"/>
    <d v="2024-07-22T00:00:00"/>
    <d v="2025-07-22T00:00:00"/>
    <s v="SYED KAMRAN PEER ZADA"/>
    <s v="SUZUKI-GD-110S"/>
    <n v="12320"/>
    <n v="10190"/>
    <s v="145025"/>
    <d v="2024-07-22T00:00:00"/>
    <s v="MOTORCYCLE  COMPREHENSIVE"/>
    <n v="352000"/>
    <n v="1630.4"/>
    <n v="101.9"/>
    <n v="500"/>
  </r>
  <r>
    <s v="KHI/HO/D/MO/MC COMP/P/93505/07/2024"/>
    <m/>
    <x v="1"/>
    <d v="2025-07-23T00:00:00"/>
    <d v="2026-07-23T00:00:00"/>
    <s v="SYED KAMRAN PEER ZADA"/>
    <s v="SUZUKI-GD-110S"/>
    <n v="12320"/>
    <n v="10190"/>
    <s v="145025"/>
    <d v="2024-07-22T00:00:00"/>
    <s v="MOTORCYCLE  COMPREHENSIVE"/>
    <n v="352000"/>
    <n v="1630.4"/>
    <n v="101.9"/>
    <n v="500"/>
  </r>
  <r>
    <s v="KHI/HO/D/MO/MC COMP/P/93510/07/2024"/>
    <m/>
    <x v="1"/>
    <d v="2024-07-22T00:00:00"/>
    <d v="2025-07-22T00:00:00"/>
    <s v="SHOAIB KHAN GHOURI"/>
    <s v="SUZUKI-GD-110S"/>
    <n v="12320"/>
    <n v="10190"/>
    <s v="145672"/>
    <d v="2024-07-22T00:00:00"/>
    <s v="MOTORCYCLE  COMPREHENSIVE"/>
    <n v="352000"/>
    <n v="1630.4"/>
    <n v="101.9"/>
    <n v="500"/>
  </r>
  <r>
    <s v="KHI/HO/D/MO/MC COMP/P/93511/07/2024"/>
    <m/>
    <x v="1"/>
    <d v="2025-07-23T00:00:00"/>
    <d v="2026-07-23T00:00:00"/>
    <s v="SHOAIB KHAN GHOURI"/>
    <s v="SUZUKI-GD-110S"/>
    <n v="12320"/>
    <n v="10190"/>
    <s v="145672"/>
    <d v="2024-07-22T00:00:00"/>
    <s v="MOTORCYCLE  COMPREHENSIVE"/>
    <n v="352000"/>
    <n v="1630.4"/>
    <n v="101.9"/>
    <n v="500"/>
  </r>
  <r>
    <s v="KHI/HO/D/MO/MC COMP/P/93513/07/2024"/>
    <m/>
    <x v="19"/>
    <d v="2024-07-22T00:00:00"/>
    <d v="2025-07-22T00:00:00"/>
    <s v="DANYAL EJAZ"/>
    <s v="SUZUKI-GD-110S"/>
    <n v="12320"/>
    <n v="10190"/>
    <s v="145723"/>
    <d v="2024-07-22T00:00:00"/>
    <s v="MOTORCYCLE  COMPREHENSIVE"/>
    <n v="352000"/>
    <n v="1630.4"/>
    <n v="101.9"/>
    <n v="500"/>
  </r>
  <r>
    <s v="KHI/HO/D/MO/MC COMP/P/93514/07/2024"/>
    <m/>
    <x v="19"/>
    <d v="2025-07-23T00:00:00"/>
    <d v="2026-07-23T00:00:00"/>
    <s v="DANYAL EJAZ"/>
    <s v="SUZUKI-GD-110S"/>
    <n v="12320"/>
    <n v="10190"/>
    <s v="145723"/>
    <d v="2024-07-22T00:00:00"/>
    <s v="MOTORCYCLE  COMPREHENSIVE"/>
    <n v="352000"/>
    <n v="1630.4"/>
    <n v="101.9"/>
    <n v="500"/>
  </r>
  <r>
    <s v="KHI/HO/D/MO/MC COMP/P/93517/07/2024"/>
    <m/>
    <x v="13"/>
    <d v="2024-07-22T00:00:00"/>
    <d v="2025-07-22T00:00:00"/>
    <s v="Muhammad Husnain Maqbool"/>
    <s v="SUZUKI-GR150 EURO II"/>
    <n v="13675"/>
    <n v="11358"/>
    <s v="113249"/>
    <d v="2024-07-22T00:00:00"/>
    <s v="MOTORCYCLE  COMPREHENSIVE"/>
    <n v="547001"/>
    <n v="1817.28"/>
    <n v="113.58"/>
    <n v="500"/>
  </r>
  <r>
    <s v="KHI/HO/D/MO/MC COMP/P/93518/07/2024"/>
    <m/>
    <x v="1"/>
    <d v="2024-07-22T00:00:00"/>
    <d v="2025-07-22T00:00:00"/>
    <s v="MUHAMMAD SADIQ PASHA"/>
    <s v="SUZUKI-GS 150"/>
    <n v="12320"/>
    <n v="10190"/>
    <s v="145589"/>
    <d v="2024-07-22T00:00:00"/>
    <s v="MOTORCYCLE  COMPREHENSIVE"/>
    <n v="352000"/>
    <n v="1630.4"/>
    <n v="101.9"/>
    <n v="500"/>
  </r>
  <r>
    <s v="KHI/HO/D/MO/MC COMP/P/93519/07/2024"/>
    <m/>
    <x v="1"/>
    <d v="2025-07-23T00:00:00"/>
    <d v="2026-07-23T00:00:00"/>
    <s v="MUHAMMAD SADIQ PASHA"/>
    <s v="SUZUKI-GS 150"/>
    <n v="12320"/>
    <n v="10190"/>
    <s v="145589"/>
    <d v="2024-07-22T00:00:00"/>
    <s v="MOTORCYCLE  COMPREHENSIVE"/>
    <n v="352000"/>
    <n v="1630.4"/>
    <n v="101.9"/>
    <n v="500"/>
  </r>
  <r>
    <s v="KHI/HO/D/MO/MC COMP/P/93522/07/2024"/>
    <m/>
    <x v="19"/>
    <d v="2024-07-22T00:00:00"/>
    <d v="2025-07-22T00:00:00"/>
    <s v="ABDUL MAJID"/>
    <s v="SUZUKI-GD-110S"/>
    <n v="12320"/>
    <n v="10190"/>
    <s v="145726"/>
    <d v="2024-07-22T00:00:00"/>
    <s v="MOTORCYCLE  COMPREHENSIVE"/>
    <n v="352000"/>
    <n v="1630.4"/>
    <n v="101.9"/>
    <n v="500"/>
  </r>
  <r>
    <s v="KHI/HO/D/MO/MC COMP/P/93523/07/2024"/>
    <m/>
    <x v="19"/>
    <d v="2025-07-23T00:00:00"/>
    <d v="2026-07-23T00:00:00"/>
    <s v="ABDUL MAJID"/>
    <s v="SUZUKI-GD-110S"/>
    <n v="12320"/>
    <n v="10190"/>
    <s v="145726"/>
    <d v="2024-07-22T00:00:00"/>
    <s v="MOTORCYCLE  COMPREHENSIVE"/>
    <n v="352000"/>
    <n v="1630.4"/>
    <n v="101.9"/>
    <n v="500"/>
  </r>
  <r>
    <s v="KHI/HO/D/MO/MC COMP/P/93524/07/2024"/>
    <m/>
    <x v="14"/>
    <d v="2024-07-22T00:00:00"/>
    <d v="2025-07-22T00:00:00"/>
    <s v="WAHEED BASHIR"/>
    <s v="SUZUKI-GSX 125"/>
    <n v="12475"/>
    <n v="10323"/>
    <s v="23100381"/>
    <d v="2024-07-22T00:00:00"/>
    <s v="MOTORCYCLE  COMPREHENSIVE"/>
    <n v="499000"/>
    <n v="1651.68"/>
    <n v="103.23"/>
    <n v="500"/>
  </r>
  <r>
    <s v="KHI/HO/D/MO/MC COMP/P/93525/07/2024"/>
    <m/>
    <x v="1"/>
    <d v="2024-07-22T00:00:00"/>
    <d v="2025-07-22T00:00:00"/>
    <s v="TAHA BIN YOUSUF"/>
    <s v="SUZUKI-GR150 EURO II"/>
    <n v="19145"/>
    <n v="16073"/>
    <s v="113217"/>
    <d v="2024-07-22T00:00:00"/>
    <s v="MOTORCYCLE  COMPREHENSIVE"/>
    <n v="547000"/>
    <n v="2571.6799999999998"/>
    <n v="160.72999999999999"/>
    <n v="500"/>
  </r>
  <r>
    <s v="KHI/HO/D/MO/MC COMP/P/93526/07/2024"/>
    <m/>
    <x v="1"/>
    <d v="2025-07-23T00:00:00"/>
    <d v="2026-07-23T00:00:00"/>
    <s v="TAHA BIN YOUSUF"/>
    <s v="SUZUKI-GR150 EURO II"/>
    <n v="19145"/>
    <n v="16073"/>
    <s v="113217"/>
    <d v="2024-07-22T00:00:00"/>
    <s v="MOTORCYCLE  COMPREHENSIVE"/>
    <n v="547000"/>
    <n v="2571.6799999999998"/>
    <n v="160.72999999999999"/>
    <n v="500"/>
  </r>
  <r>
    <s v="KHI/HO/D/MO/MC COMP/P/93528/07/2024"/>
    <m/>
    <x v="14"/>
    <d v="2024-07-22T00:00:00"/>
    <d v="2025-07-22T00:00:00"/>
    <s v="MUBARAK ALI"/>
    <s v="SUZUKI-GD-110S"/>
    <n v="8800"/>
    <n v="7155"/>
    <s v="145032"/>
    <d v="2024-07-22T00:00:00"/>
    <s v="MOTORCYCLE  COMPREHENSIVE"/>
    <n v="352000"/>
    <n v="1144.8"/>
    <n v="71.55"/>
    <n v="500"/>
  </r>
  <r>
    <s v="KHI/HO/D/MO/MC COMP/P/93533/07/2024"/>
    <m/>
    <x v="14"/>
    <d v="2024-07-22T00:00:00"/>
    <d v="2025-07-22T00:00:00"/>
    <s v="UZMA NOREEN"/>
    <s v="SUZUKI-GD-110S"/>
    <n v="8800"/>
    <n v="7155"/>
    <s v="145349"/>
    <d v="2024-07-22T00:00:00"/>
    <s v="MOTORCYCLE  COMPREHENSIVE"/>
    <n v="352000"/>
    <n v="1144.8"/>
    <n v="71.55"/>
    <n v="500"/>
  </r>
  <r>
    <s v="KHI/HO/D/MO/MC COMP/P/93536/07/2024"/>
    <m/>
    <x v="1"/>
    <d v="2024-07-22T00:00:00"/>
    <d v="2025-07-22T00:00:00"/>
    <s v="AHMED HUSSAIN"/>
    <s v="SUZUKI-GS 150"/>
    <n v="13370"/>
    <n v="11095"/>
    <s v="30092153"/>
    <d v="2024-07-22T00:00:00"/>
    <s v="MOTORCYCLE  COMPREHENSIVE"/>
    <n v="382000"/>
    <n v="1775.2"/>
    <n v="110.95"/>
    <n v="500"/>
  </r>
  <r>
    <s v="KHI/HO/D/MO/MC COMP/P/93537/07/2024"/>
    <m/>
    <x v="1"/>
    <d v="2025-07-23T00:00:00"/>
    <d v="2026-07-23T00:00:00"/>
    <s v="AHMED HUSSAIN"/>
    <s v="SUZUKI-GS 150"/>
    <n v="13370"/>
    <n v="11095"/>
    <s v="30092153"/>
    <d v="2024-07-22T00:00:00"/>
    <s v="MOTORCYCLE  COMPREHENSIVE"/>
    <n v="382000"/>
    <n v="1775.2"/>
    <n v="110.95"/>
    <n v="500"/>
  </r>
  <r>
    <s v="KHI/HO/D/MO/MC COMP/P/93539/07/2024"/>
    <m/>
    <x v="14"/>
    <d v="2024-07-22T00:00:00"/>
    <d v="2025-07-22T00:00:00"/>
    <s v="ALI RAZA"/>
    <s v="SUZUKI-GD-110S"/>
    <n v="8800"/>
    <n v="7155"/>
    <s v="145030"/>
    <d v="2024-07-22T00:00:00"/>
    <s v="MOTORCYCLE  COMPREHENSIVE"/>
    <n v="352000"/>
    <n v="1144.8"/>
    <n v="71.55"/>
    <n v="500"/>
  </r>
  <r>
    <s v="KHI/HO/D/MO/MC COMP/P/93540/07/2024"/>
    <m/>
    <x v="14"/>
    <d v="2024-07-22T00:00:00"/>
    <d v="2025-07-22T00:00:00"/>
    <s v="GHULAM MUSTAFA"/>
    <s v="SUZUKI-GR150 EURO II"/>
    <n v="13675"/>
    <n v="11358"/>
    <s v="113308"/>
    <d v="2024-07-22T00:00:00"/>
    <s v="MOTORCYCLE  COMPREHENSIVE"/>
    <n v="547000"/>
    <n v="1817.28"/>
    <n v="113.58"/>
    <n v="500"/>
  </r>
  <r>
    <s v="KHI/HO/D/MO/MC COMP/P/93541/07/2024"/>
    <m/>
    <x v="14"/>
    <d v="2024-07-22T00:00:00"/>
    <d v="2025-07-22T00:00:00"/>
    <s v="MUHAMMAD IKRAM TAHIR"/>
    <s v="SUZUKI-GD-110S"/>
    <n v="8800"/>
    <n v="7155"/>
    <s v="145353"/>
    <d v="2024-07-22T00:00:00"/>
    <s v="MOTORCYCLE  COMPREHENSIVE"/>
    <n v="352000"/>
    <n v="1144.8"/>
    <n v="71.55"/>
    <n v="500"/>
  </r>
  <r>
    <s v="KHI/HO/D/MO/MC COMP/P/93542/07/2024"/>
    <m/>
    <x v="14"/>
    <d v="2024-07-22T00:00:00"/>
    <d v="2025-07-22T00:00:00"/>
    <s v="ZAKA MOHY UD DIN"/>
    <s v="SUZUKI-GS 150"/>
    <n v="9550"/>
    <n v="7802"/>
    <s v="30091985"/>
    <d v="2024-07-22T00:00:00"/>
    <s v="MOTORCYCLE  COMPREHENSIVE"/>
    <n v="382000"/>
    <n v="1248.32"/>
    <n v="78.02"/>
    <n v="500"/>
  </r>
  <r>
    <s v="KHI/HO/D/MO/MC COMP/P/93543/07/2024"/>
    <m/>
    <x v="19"/>
    <d v="2025-05-30T00:00:00"/>
    <d v="2026-05-30T00:00:00"/>
    <s v="MAQSOOD_x000a_CNIC # 42301-3423285-1_x000a_CELL # 0331-2321453"/>
    <s v="SUZUKI-GD-110S"/>
    <n v="12320"/>
    <n v="10190"/>
    <s v=" 144421"/>
    <d v="2024-07-22T00:00:00"/>
    <s v="MOTORCYCLE  COMPREHENSIVE"/>
    <n v="352000"/>
    <n v="1630.4"/>
    <n v="101.9"/>
    <n v="500"/>
  </r>
  <r>
    <s v="KHI/HO/D/MO/MC COMP/P/93544/07/2024"/>
    <m/>
    <x v="1"/>
    <d v="2024-07-22T00:00:00"/>
    <d v="2025-07-22T00:00:00"/>
    <s v="SYED USAMA IQTIDAR"/>
    <s v="SUZUKI-GS 150"/>
    <n v="13370"/>
    <n v="11095"/>
    <s v="30092167"/>
    <d v="2024-07-22T00:00:00"/>
    <s v="MOTORCYCLE  COMPREHENSIVE"/>
    <n v="382000"/>
    <n v="1775.2"/>
    <n v="110.95"/>
    <n v="500"/>
  </r>
  <r>
    <s v="KHI/HO/D/MO/MC COMP/P/93545/07/2024"/>
    <m/>
    <x v="1"/>
    <d v="2025-07-23T00:00:00"/>
    <d v="2026-07-23T00:00:00"/>
    <s v="SYED USAMA IQTIDAR"/>
    <s v="SUZUKI-GS 150"/>
    <n v="13370"/>
    <n v="11095"/>
    <s v="30092167"/>
    <d v="2024-07-22T00:00:00"/>
    <s v="MOTORCYCLE  COMPREHENSIVE"/>
    <n v="382000"/>
    <n v="1775.2"/>
    <n v="110.95"/>
    <n v="500"/>
  </r>
  <r>
    <s v="KHI/HO/D/MO/MC COMP/P/93546/07/2024"/>
    <m/>
    <x v="1"/>
    <d v="2024-07-22T00:00:00"/>
    <d v="2025-07-22T00:00:00"/>
    <s v="MUHAMMAD BILAL MANSOORI"/>
    <s v="SUZUKI-GS 150"/>
    <n v="13370"/>
    <n v="11095"/>
    <s v="30092155"/>
    <d v="2024-07-22T00:00:00"/>
    <s v="MOTORCYCLE  COMPREHENSIVE"/>
    <n v="382000"/>
    <n v="1775.2"/>
    <n v="110.95"/>
    <n v="500"/>
  </r>
  <r>
    <s v="KHI/HO/D/MO/MC COMP/P/93547/07/2024"/>
    <m/>
    <x v="1"/>
    <d v="2025-07-23T00:00:00"/>
    <d v="2026-07-23T00:00:00"/>
    <s v="MUHAMMAD BILAL MANSOORI"/>
    <s v="SUZUKI-GS 150"/>
    <n v="13370"/>
    <n v="11095"/>
    <s v="30092155"/>
    <d v="2024-07-22T00:00:00"/>
    <s v="MOTORCYCLE  COMPREHENSIVE"/>
    <n v="382000"/>
    <n v="1775.2"/>
    <n v="110.95"/>
    <n v="500"/>
  </r>
  <r>
    <s v="KHI/HO/D/MO/MC COMP/P/93549/07/2024"/>
    <m/>
    <x v="1"/>
    <d v="2024-07-22T00:00:00"/>
    <d v="2025-07-22T00:00:00"/>
    <s v="MUHAMMAD UMAIR"/>
    <s v="SUZUKI-GD-110S"/>
    <n v="12320"/>
    <n v="10190"/>
    <s v="145587"/>
    <d v="2024-07-22T00:00:00"/>
    <s v="MOTORCYCLE  COMPREHENSIVE"/>
    <n v="352000"/>
    <n v="1630.4"/>
    <n v="101.9"/>
    <n v="500"/>
  </r>
  <r>
    <s v="KHI/HO/D/MO/MC COMP/P/93550/07/2024"/>
    <m/>
    <x v="1"/>
    <d v="2025-07-23T00:00:00"/>
    <d v="2026-07-23T00:00:00"/>
    <s v="MUHAMMAD UMAIR"/>
    <s v="SUZUKI-GD-110S"/>
    <n v="12320"/>
    <n v="10190"/>
    <s v="145587"/>
    <d v="2024-07-22T00:00:00"/>
    <s v="MOTORCYCLE  COMPREHENSIVE"/>
    <n v="352000"/>
    <n v="1630.4"/>
    <n v="101.9"/>
    <n v="500"/>
  </r>
  <r>
    <s v="KHI/HO/D/MO/MC COMP/P/93551/07/2024"/>
    <m/>
    <x v="12"/>
    <d v="2024-07-22T00:00:00"/>
    <d v="2025-07-22T00:00:00"/>
    <s v="MOHSIN AHMED KHAN"/>
    <s v="SUZUKI-GD-110S"/>
    <n v="12320"/>
    <n v="10190"/>
    <s v="145431"/>
    <d v="2024-07-22T00:00:00"/>
    <s v="MOTORCYCLE  COMPREHENSIVE"/>
    <n v="352000"/>
    <n v="1630.4"/>
    <n v="101.9"/>
    <n v="500"/>
  </r>
  <r>
    <s v="KHI/HO/D/MO/MC COMP/P/93552/07/2024"/>
    <m/>
    <x v="12"/>
    <d v="2025-07-23T00:00:00"/>
    <d v="2026-07-23T00:00:00"/>
    <s v="MOHSIN AHMED KHAN"/>
    <s v="SUZUKI-GD-110S"/>
    <n v="12320"/>
    <n v="10190"/>
    <s v="145431"/>
    <d v="2024-07-22T00:00:00"/>
    <s v="MOTORCYCLE  COMPREHENSIVE"/>
    <n v="352000"/>
    <n v="1630.4"/>
    <n v="101.9"/>
    <n v="500"/>
  </r>
  <r>
    <s v="KHI/HO/D/MO/MC COMP/P/93554/07/2024"/>
    <m/>
    <x v="1"/>
    <d v="2024-07-22T00:00:00"/>
    <d v="2025-07-22T00:00:00"/>
    <s v="HADI HAMMAD ALI SYED"/>
    <s v="SUZUKI-GS 150"/>
    <n v="13370"/>
    <n v="11095"/>
    <s v="30091767"/>
    <d v="2024-07-22T00:00:00"/>
    <s v="MOTORCYCLE  COMPREHENSIVE"/>
    <n v="382000"/>
    <n v="1775.2"/>
    <n v="110.95"/>
    <n v="500"/>
  </r>
  <r>
    <s v="KHI/HO/D/MO/MC COMP/P/93555/07/2024"/>
    <m/>
    <x v="1"/>
    <d v="2025-07-23T00:00:00"/>
    <d v="2026-07-23T00:00:00"/>
    <s v="HADI HAMMAD ALI SYED"/>
    <s v="SUZUKI-GS 150"/>
    <n v="13370"/>
    <n v="11095"/>
    <s v="30091767"/>
    <d v="2024-07-22T00:00:00"/>
    <s v="MOTORCYCLE  COMPREHENSIVE"/>
    <n v="382000"/>
    <n v="1775.2"/>
    <n v="110.95"/>
    <n v="500"/>
  </r>
  <r>
    <s v="KHI/HO/D/MO/MC COMP/P/93556/07/2024"/>
    <m/>
    <x v="12"/>
    <d v="2024-07-22T00:00:00"/>
    <d v="2025-07-22T00:00:00"/>
    <s v="SHIPNERS SHIPPING &amp; AGENCIES PVT LTD"/>
    <s v="SUZUKI-GS 150"/>
    <n v="13370"/>
    <n v="11095"/>
    <s v="30092065"/>
    <d v="2024-07-22T00:00:00"/>
    <s v="MOTORCYCLE  COMPREHENSIVE"/>
    <n v="382000"/>
    <n v="1775.2"/>
    <n v="110.95"/>
    <n v="500"/>
  </r>
  <r>
    <s v="KHI/HO/D/MO/MC COMP/P/93557/07/2024"/>
    <m/>
    <x v="12"/>
    <d v="2025-07-23T00:00:00"/>
    <d v="2026-07-23T00:00:00"/>
    <s v="SHIPNERS SHIPPING &amp; AGENCIES PVT LTD"/>
    <s v="SUZUKI-GS 150"/>
    <n v="13370"/>
    <n v="11095"/>
    <s v="30092065"/>
    <d v="2024-07-22T00:00:00"/>
    <s v="MOTORCYCLE  COMPREHENSIVE"/>
    <n v="382000"/>
    <n v="1775.2"/>
    <n v="110.95"/>
    <n v="500"/>
  </r>
  <r>
    <s v="KHI/HO/D/MO/MC COMP/P/93558/07/2024"/>
    <m/>
    <x v="1"/>
    <d v="2024-07-22T00:00:00"/>
    <d v="2025-07-22T00:00:00"/>
    <s v="ASIF IQBAL"/>
    <s v="SUZUKI-GD-110S"/>
    <n v="12320"/>
    <n v="10190"/>
    <s v="145582"/>
    <d v="2024-07-22T00:00:00"/>
    <s v="MOTORCYCLE  COMPREHENSIVE"/>
    <n v="352000"/>
    <n v="1630.4"/>
    <n v="101.9"/>
    <n v="500"/>
  </r>
  <r>
    <s v="KHI/HO/D/MO/MC COMP/P/93559/07/2024"/>
    <m/>
    <x v="1"/>
    <d v="2025-07-23T00:00:00"/>
    <d v="2026-07-23T00:00:00"/>
    <s v="ASIF IQBAL"/>
    <s v="SUZUKI-GD-110S"/>
    <n v="12320"/>
    <n v="10190"/>
    <s v="145582"/>
    <d v="2024-07-22T00:00:00"/>
    <s v="MOTORCYCLE  COMPREHENSIVE"/>
    <n v="352000"/>
    <n v="1630.4"/>
    <n v="101.9"/>
    <n v="500"/>
  </r>
  <r>
    <s v="KHI/HO/D/MO/MC COMP/P/93568/07/2024"/>
    <m/>
    <x v="1"/>
    <d v="2024-07-23T00:00:00"/>
    <d v="2025-07-23T00:00:00"/>
    <s v="MUHAMMAD ARIF"/>
    <s v="SUZUKI-GD-110S"/>
    <n v="12320"/>
    <n v="10190"/>
    <s v="145852"/>
    <d v="2024-07-23T00:00:00"/>
    <s v="MOTORCYCLE  COMPREHENSIVE"/>
    <n v="352000"/>
    <n v="1630.4"/>
    <n v="101.9"/>
    <n v="500"/>
  </r>
  <r>
    <s v="KHI/HO/D/MO/MC COMP/P/93569/07/2024"/>
    <m/>
    <x v="1"/>
    <d v="2025-07-24T00:00:00"/>
    <d v="2026-07-24T00:00:00"/>
    <s v="MUHAMMAD ARIF"/>
    <s v="SUZUKI-GD-110S"/>
    <n v="12320"/>
    <n v="10190"/>
    <s v="145852"/>
    <d v="2024-07-23T00:00:00"/>
    <s v="MOTORCYCLE  COMPREHENSIVE"/>
    <n v="352000"/>
    <n v="1630.4"/>
    <n v="101.9"/>
    <n v="500"/>
  </r>
  <r>
    <s v="KHI/HO/D/MO/MC COMP/P/93570/07/2024"/>
    <m/>
    <x v="2"/>
    <d v="2024-07-23T00:00:00"/>
    <d v="2025-07-23T00:00:00"/>
    <s v="AFSAR AHMED"/>
    <s v="SUZUKI-GD-110S"/>
    <n v="12320"/>
    <n v="10190"/>
    <s v="145881"/>
    <d v="2024-07-23T00:00:00"/>
    <s v="MOTORCYCLE  COMPREHENSIVE"/>
    <n v="352000"/>
    <n v="1630.4"/>
    <n v="101.9"/>
    <n v="500"/>
  </r>
  <r>
    <s v="KHI/HO/D/MO/MC COMP/P/93578/07/2024"/>
    <m/>
    <x v="23"/>
    <d v="2024-07-23T00:00:00"/>
    <d v="2025-07-23T00:00:00"/>
    <s v="HASHAM AHMED"/>
    <s v="SUZUKI-GD-110S"/>
    <n v="8800"/>
    <n v="7155"/>
    <s v="E487-144289"/>
    <d v="2024-07-23T00:00:00"/>
    <s v="MOTORCYCLE  COMPREHENSIVE"/>
    <n v="352000"/>
    <n v="1144.8"/>
    <n v="71.55"/>
    <n v="500"/>
  </r>
  <r>
    <s v="KHI/HO/D/MO/MC COMP/P/93583/07/2024"/>
    <m/>
    <x v="23"/>
    <d v="2024-07-23T00:00:00"/>
    <d v="2025-07-23T00:00:00"/>
    <s v="MUHAMMAD ASIF"/>
    <s v="SUZUKI-GD-110S"/>
    <n v="8800"/>
    <n v="7155"/>
    <s v="E487-144139"/>
    <d v="2024-07-23T00:00:00"/>
    <s v="MOTORCYCLE  COMPREHENSIVE"/>
    <n v="352000"/>
    <n v="1144.8"/>
    <n v="71.55"/>
    <n v="500"/>
  </r>
  <r>
    <s v="KHI/HO/D/MO/MC COMP/P/93586/07/2024"/>
    <m/>
    <x v="18"/>
    <d v="2024-07-23T00:00:00"/>
    <d v="2025-07-23T00:00:00"/>
    <s v="AYAZ MUNAWAR"/>
    <s v="SUZUKI-GD-110S"/>
    <n v="8800"/>
    <n v="7155"/>
    <s v="144973"/>
    <d v="2024-07-23T00:00:00"/>
    <s v="MOTORCYCLE  COMPREHENSIVE"/>
    <n v="352000"/>
    <n v="1144.8"/>
    <n v="71.55"/>
    <n v="500"/>
  </r>
  <r>
    <s v="KHI/HO/D/MO/MC COMP/P/93587/07/2024"/>
    <m/>
    <x v="18"/>
    <d v="2024-07-23T00:00:00"/>
    <d v="2025-07-23T00:00:00"/>
    <s v="ZAID BIN JAVED"/>
    <s v="SUZUKI-GS 150"/>
    <n v="9550"/>
    <n v="7802"/>
    <s v="30092051"/>
    <d v="2024-07-23T00:00:00"/>
    <s v="MOTORCYCLE  COMPREHENSIVE"/>
    <n v="382000"/>
    <n v="1248.32"/>
    <n v="78.02"/>
    <n v="500"/>
  </r>
  <r>
    <s v="KHI/HO/D/MO/MC COMP/P/93606/07/2024"/>
    <m/>
    <x v="17"/>
    <d v="2024-07-23T00:00:00"/>
    <d v="2025-07-23T00:00:00"/>
    <s v="IRFAN NAZIR S/O NAZIR AHMED"/>
    <s v="SUZUKI-GS 150"/>
    <n v="9550"/>
    <n v="7802"/>
    <s v="30092087"/>
    <d v="2024-07-23T00:00:00"/>
    <s v="MOTORCYCLE  COMPREHENSIVE"/>
    <n v="382000"/>
    <n v="1248.32"/>
    <n v="78.02"/>
    <n v="500"/>
  </r>
  <r>
    <s v="KHI/HO/D/MO/MC COMP/P/93612/07/2024"/>
    <m/>
    <x v="0"/>
    <d v="2024-07-23T00:00:00"/>
    <d v="2025-07-23T00:00:00"/>
    <s v="WAJAHAT BAIG"/>
    <s v="SUZUKI-GD-110S"/>
    <n v="12320"/>
    <n v="10190"/>
    <s v="145847"/>
    <d v="2024-07-23T00:00:00"/>
    <s v="MOTORCYCLE  COMPREHENSIVE"/>
    <n v="352000"/>
    <n v="1630.4"/>
    <n v="101.9"/>
    <n v="500"/>
  </r>
  <r>
    <s v="KHI/HO/D/MO/MC COMP/P/93615/07/2024"/>
    <m/>
    <x v="4"/>
    <d v="2024-07-23T00:00:00"/>
    <d v="2025-07-23T00:00:00"/>
    <s v="MUHAMMAD RAHEEL"/>
    <s v="SUZUKI-GD-110S"/>
    <n v="12320"/>
    <n v="10190"/>
    <s v="145894"/>
    <d v="2024-07-23T00:00:00"/>
    <s v="MOTORCYCLE  COMPREHENSIVE"/>
    <n v="352000"/>
    <n v="1630.4"/>
    <n v="101.9"/>
    <n v="500"/>
  </r>
  <r>
    <s v="KHI/HO/D/MO/MC COMP/P/93616/07/2024"/>
    <m/>
    <x v="4"/>
    <d v="2025-07-24T00:00:00"/>
    <d v="2026-07-24T00:00:00"/>
    <s v="MUHAMMAD RAHEEL"/>
    <s v="SUZUKI-GD-110S"/>
    <n v="12320"/>
    <n v="10190"/>
    <s v="145894"/>
    <d v="2024-07-23T00:00:00"/>
    <s v="MOTORCYCLE  COMPREHENSIVE"/>
    <n v="352000"/>
    <n v="1630.4"/>
    <n v="101.9"/>
    <n v="500"/>
  </r>
  <r>
    <s v="KHI/HO/D/MO/MC COMP/P/93619/07/2024"/>
    <m/>
    <x v="8"/>
    <d v="2024-07-23T00:00:00"/>
    <d v="2025-07-23T00:00:00"/>
    <s v="MUHAMMAD SHAHBAZ MAJEED"/>
    <s v="SUZUKI-GD-110S"/>
    <n v="8800"/>
    <n v="7155"/>
    <s v="145360"/>
    <d v="2024-07-23T00:00:00"/>
    <s v="MOTORCYCLE  COMPREHENSIVE"/>
    <n v="352000"/>
    <n v="1144.8"/>
    <n v="71.55"/>
    <n v="500"/>
  </r>
  <r>
    <s v="KHI/HO/D/MO/MC COMP/P/93620/07/2024"/>
    <m/>
    <x v="8"/>
    <d v="2024-07-23T00:00:00"/>
    <d v="2025-07-23T00:00:00"/>
    <s v="ADNAN HANIF"/>
    <s v="SUZUKI-GD-110S"/>
    <n v="8800"/>
    <n v="7155"/>
    <s v="145394"/>
    <d v="2024-07-23T00:00:00"/>
    <s v="MOTORCYCLE  COMPREHENSIVE"/>
    <n v="352000"/>
    <n v="1144.8"/>
    <n v="71.55"/>
    <n v="500"/>
  </r>
  <r>
    <s v="KHI/HO/D/MO/MC COMP/P/93621/07/2024"/>
    <m/>
    <x v="8"/>
    <d v="2024-07-23T00:00:00"/>
    <d v="2025-07-23T00:00:00"/>
    <s v="MUHAMMAD AWAIS"/>
    <s v="SUZUKI-GD-110S"/>
    <n v="8800"/>
    <n v="7155"/>
    <s v="145338"/>
    <d v="2024-07-23T00:00:00"/>
    <s v="MOTORCYCLE  COMPREHENSIVE"/>
    <n v="352000"/>
    <n v="1144.8"/>
    <n v="71.55"/>
    <n v="500"/>
  </r>
  <r>
    <s v="KHI/HO/D/MO/MC COMP/P/93622/07/2024"/>
    <m/>
    <x v="8"/>
    <d v="2024-07-23T00:00:00"/>
    <d v="2025-07-23T00:00:00"/>
    <s v="MUHAMMAD MOHIB SHAFIQ"/>
    <s v="SUZUKI-GSX 125"/>
    <n v="12475"/>
    <n v="10323"/>
    <s v="23100467"/>
    <d v="2024-07-23T00:00:00"/>
    <s v="MOTORCYCLE  COMPREHENSIVE"/>
    <n v="499000"/>
    <n v="1651.68"/>
    <n v="103.23"/>
    <n v="500"/>
  </r>
  <r>
    <s v="KHI/HO/D/MO/MC COMP/P/93623/07/2024"/>
    <m/>
    <x v="11"/>
    <d v="2024-07-23T00:00:00"/>
    <d v="2025-07-23T00:00:00"/>
    <s v="Hanzlah"/>
    <s v="SUZUKI-GD-110S"/>
    <n v="12320"/>
    <n v="10190"/>
    <s v="145530"/>
    <d v="2024-07-23T00:00:00"/>
    <s v="MOTORCYCLE  COMPREHENSIVE"/>
    <n v="352000"/>
    <n v="1630.4"/>
    <n v="101.9"/>
    <n v="500"/>
  </r>
  <r>
    <s v="KHI/HO/D/MO/MC COMP/P/93624/07/2024"/>
    <m/>
    <x v="11"/>
    <d v="2025-07-24T00:00:00"/>
    <d v="2026-07-24T00:00:00"/>
    <s v="Hanzlah"/>
    <s v="SUZUKI-GD-110S"/>
    <n v="12320"/>
    <n v="10190"/>
    <s v="145530"/>
    <d v="2024-07-23T00:00:00"/>
    <s v="MOTORCYCLE  COMPREHENSIVE"/>
    <n v="352000"/>
    <n v="1630.4"/>
    <n v="101.9"/>
    <n v="500"/>
  </r>
  <r>
    <s v="KHI/HO/D/MO/MC COMP/P/93629/07/2024"/>
    <m/>
    <x v="11"/>
    <d v="2024-07-24T00:00:00"/>
    <d v="2025-07-24T00:00:00"/>
    <s v="Rajab Ali"/>
    <s v="SUZUKI-GD-110S"/>
    <n v="12320"/>
    <n v="10190"/>
    <s v="146070"/>
    <d v="2024-07-24T00:00:00"/>
    <s v="MOTORCYCLE  COMPREHENSIVE"/>
    <n v="352000"/>
    <n v="1630.4"/>
    <n v="101.9"/>
    <n v="500"/>
  </r>
  <r>
    <s v="KHI/HO/D/MO/MC COMP/P/93633/07/2024"/>
    <m/>
    <x v="11"/>
    <d v="2024-07-24T00:00:00"/>
    <d v="2025-07-24T00:00:00"/>
    <s v="Abid Razzak Shiwani"/>
    <s v="SUZUKI-GD-110S"/>
    <n v="12320"/>
    <n v="10190"/>
    <s v="145559"/>
    <d v="2024-07-24T00:00:00"/>
    <s v="MOTORCYCLE  COMPREHENSIVE"/>
    <n v="352000"/>
    <n v="1630.4"/>
    <n v="101.9"/>
    <n v="500"/>
  </r>
  <r>
    <s v="KHI/HO/D/MO/MC COMP/P/93634/07/2024"/>
    <m/>
    <x v="11"/>
    <d v="2025-07-25T00:00:00"/>
    <d v="2026-07-25T00:00:00"/>
    <s v="Abid Razzak Shiwani"/>
    <s v="SUZUKI-GD-110S"/>
    <n v="12320"/>
    <n v="10190"/>
    <s v="145559"/>
    <d v="2024-07-24T00:00:00"/>
    <s v="MOTORCYCLE  COMPREHENSIVE"/>
    <n v="352000"/>
    <n v="1630.4"/>
    <n v="101.9"/>
    <n v="500"/>
  </r>
  <r>
    <s v="KHI/HO/D/MO/MC COMP/P/93636/07/2024"/>
    <m/>
    <x v="17"/>
    <d v="2024-07-24T00:00:00"/>
    <d v="2025-07-24T00:00:00"/>
    <s v="ARSHAD MAHMOOD S/O MUHAMMAD HUSSAIN"/>
    <s v="SUZUKI-GD-110S"/>
    <n v="8800"/>
    <n v="7155"/>
    <s v="145752"/>
    <d v="2024-07-24T00:00:00"/>
    <s v="MOTORCYCLE  COMPREHENSIVE"/>
    <n v="352000"/>
    <n v="1144.8"/>
    <n v="71.55"/>
    <n v="500"/>
  </r>
  <r>
    <s v="KHI/HO/D/MO/MC COMP/P/93637/07/2024"/>
    <m/>
    <x v="4"/>
    <d v="2024-07-24T00:00:00"/>
    <d v="2025-07-24T00:00:00"/>
    <s v="MUHAMMAD HUSNAIN"/>
    <s v="SUZUKI-GD-110S"/>
    <n v="12320"/>
    <n v="10190"/>
    <s v="146283"/>
    <d v="2024-07-24T00:00:00"/>
    <s v="MOTORCYCLE  COMPREHENSIVE"/>
    <n v="352000"/>
    <n v="1630.4"/>
    <n v="101.9"/>
    <n v="500"/>
  </r>
  <r>
    <s v="KHI/HO/D/MO/MC COMP/P/93639/07/2024"/>
    <m/>
    <x v="4"/>
    <d v="2024-07-24T00:00:00"/>
    <d v="2025-07-24T00:00:00"/>
    <s v="SAMI KHAN BALOCH"/>
    <s v="SUZUKI-GD-110S"/>
    <n v="12320"/>
    <n v="10190"/>
    <s v="146174"/>
    <d v="2024-07-24T00:00:00"/>
    <s v="MOTORCYCLE  COMPREHENSIVE"/>
    <n v="352000"/>
    <n v="1630.4"/>
    <n v="101.9"/>
    <n v="500"/>
  </r>
  <r>
    <s v="KHI/HO/D/MO/MC COMP/P/93640/07/2024"/>
    <m/>
    <x v="4"/>
    <d v="2025-07-25T00:00:00"/>
    <d v="2026-07-25T00:00:00"/>
    <s v="SAMI KHAN BALOCH"/>
    <s v="SUZUKI-GD-110S"/>
    <n v="12320"/>
    <n v="10190"/>
    <s v="146174"/>
    <d v="2024-07-24T00:00:00"/>
    <s v="MOTORCYCLE  COMPREHENSIVE"/>
    <n v="352000"/>
    <n v="1630.4"/>
    <n v="101.9"/>
    <n v="500"/>
  </r>
  <r>
    <s v="KHI/HO/D/MO/MC COMP/P/93646/07/2024"/>
    <m/>
    <x v="1"/>
    <d v="2024-07-24T00:00:00"/>
    <d v="2025-07-24T00:00:00"/>
    <s v="SYED DANISH AHMED"/>
    <s v="SUZUKI-GD-110S"/>
    <n v="12320"/>
    <n v="10190"/>
    <s v="145947"/>
    <d v="2024-07-24T00:00:00"/>
    <s v="MOTORCYCLE  COMPREHENSIVE"/>
    <n v="352000"/>
    <n v="1630.4"/>
    <n v="101.9"/>
    <n v="500"/>
  </r>
  <r>
    <s v="KHI/HO/D/MO/MC COMP/P/93648/07/2024"/>
    <m/>
    <x v="1"/>
    <d v="2024-07-24T00:00:00"/>
    <d v="2025-07-24T00:00:00"/>
    <s v="ZEESHAN WAJID"/>
    <s v="SUZUKI-GS 150"/>
    <n v="13370"/>
    <n v="11095"/>
    <s v="30092160"/>
    <d v="2024-07-24T00:00:00"/>
    <s v="MOTORCYCLE  COMPREHENSIVE"/>
    <n v="382000"/>
    <n v="1775.2"/>
    <n v="110.95"/>
    <n v="500"/>
  </r>
  <r>
    <s v="KHI/HO/D/MO/MC COMP/P/93649/07/2024"/>
    <m/>
    <x v="1"/>
    <d v="2025-07-25T00:00:00"/>
    <d v="2026-07-25T00:00:00"/>
    <s v="ZEESHAN WAJID"/>
    <s v="SUZUKI-GS 150"/>
    <n v="13370"/>
    <n v="11095"/>
    <s v="30092160"/>
    <d v="2024-07-24T00:00:00"/>
    <s v="MOTORCYCLE  COMPREHENSIVE"/>
    <n v="382000"/>
    <n v="1775.2"/>
    <n v="110.95"/>
    <n v="500"/>
  </r>
  <r>
    <s v="KHI/HO/D/MO/MC COMP/P/93650/07/2024"/>
    <m/>
    <x v="4"/>
    <d v="2024-07-24T00:00:00"/>
    <d v="2025-07-24T00:00:00"/>
    <s v="MUHAMMAD SARWAR"/>
    <s v="SUZUKI-GD-110S"/>
    <n v="12320"/>
    <n v="10190"/>
    <s v="145877"/>
    <d v="2024-07-24T00:00:00"/>
    <s v="MOTORCYCLE  COMPREHENSIVE"/>
    <n v="352000"/>
    <n v="1630.4"/>
    <n v="101.9"/>
    <n v="500"/>
  </r>
  <r>
    <s v="KHI/HO/D/MO/MC COMP/P/93655/07/2024"/>
    <m/>
    <x v="4"/>
    <d v="2024-07-24T00:00:00"/>
    <d v="2025-07-24T00:00:00"/>
    <s v="MUHAMMAD MUSTAFA"/>
    <s v="SUZUKI-GD-110S"/>
    <n v="13370"/>
    <n v="11095"/>
    <s v="30092178"/>
    <d v="2024-07-24T00:00:00"/>
    <s v="MOTORCYCLE  COMPREHENSIVE"/>
    <n v="382000"/>
    <n v="1775.2"/>
    <n v="110.95"/>
    <n v="500"/>
  </r>
  <r>
    <s v="KHI/HO/D/MO/MC COMP/P/93656/07/2024"/>
    <m/>
    <x v="4"/>
    <d v="2025-07-25T00:00:00"/>
    <d v="2026-07-25T00:00:00"/>
    <s v="MUHAMMAD MUSTAFA"/>
    <s v="SUZUKI-GD-110S"/>
    <n v="13370"/>
    <n v="11095"/>
    <s v="30092178"/>
    <d v="2024-07-24T00:00:00"/>
    <s v="MOTORCYCLE  COMPREHENSIVE"/>
    <n v="382000"/>
    <n v="1775.2"/>
    <n v="110.95"/>
    <n v="500"/>
  </r>
  <r>
    <s v="KHI/HO/D/MO/MC COMP/P/93662/07/2024"/>
    <m/>
    <x v="1"/>
    <d v="2024-07-24T00:00:00"/>
    <d v="2025-07-24T00:00:00"/>
    <s v="MUHAMMAD QAISER"/>
    <s v="SUZUKI-GS 150"/>
    <n v="13370"/>
    <n v="11095"/>
    <s v="30091593"/>
    <d v="2024-07-24T00:00:00"/>
    <s v="MOTORCYCLE  COMPREHENSIVE"/>
    <n v="382000"/>
    <n v="1775.2"/>
    <n v="110.95"/>
    <n v="500"/>
  </r>
  <r>
    <s v="KHI/HO/D/MO/MC COMP/P/93663/07/2024"/>
    <m/>
    <x v="1"/>
    <d v="2024-07-24T00:00:00"/>
    <d v="2025-07-24T00:00:00"/>
    <s v="ZAHOOR AHMED"/>
    <s v="SUZUKI-GR150 EURO II"/>
    <n v="19145"/>
    <n v="16073"/>
    <s v="113420"/>
    <d v="2024-07-24T00:00:00"/>
    <s v="MOTORCYCLE  COMPREHENSIVE"/>
    <n v="547000"/>
    <n v="2571.6799999999998"/>
    <n v="160.72999999999999"/>
    <n v="500"/>
  </r>
  <r>
    <s v="KHI/HO/D/MO/MC COMP/P/93664/07/2024"/>
    <m/>
    <x v="1"/>
    <d v="2025-07-25T00:00:00"/>
    <d v="2026-07-25T00:00:00"/>
    <s v="ZAHOOR AHMED"/>
    <s v="SUZUKI-GR150 EURO II"/>
    <n v="19145"/>
    <n v="16073"/>
    <s v="113420"/>
    <d v="2024-07-24T00:00:00"/>
    <s v="MOTORCYCLE  COMPREHENSIVE"/>
    <n v="547000"/>
    <n v="2571.6799999999998"/>
    <n v="160.72999999999999"/>
    <n v="500"/>
  </r>
  <r>
    <s v="KHI/HO/D/MO/MC COMP/P/93665/07/2024"/>
    <m/>
    <x v="1"/>
    <d v="2024-07-24T00:00:00"/>
    <d v="2025-07-24T00:00:00"/>
    <s v="MUHAMMAD MURSALEEN"/>
    <s v="SUZUKI-GD-110S"/>
    <n v="12320"/>
    <n v="10190"/>
    <s v="145954"/>
    <d v="2024-07-24T00:00:00"/>
    <s v="MOTORCYCLE  COMPREHENSIVE"/>
    <n v="352000"/>
    <n v="1630.4"/>
    <n v="101.9"/>
    <n v="500"/>
  </r>
  <r>
    <s v="KHI/HO/D/MO/MC COMP/P/93666/07/2024"/>
    <m/>
    <x v="1"/>
    <d v="2025-07-25T00:00:00"/>
    <d v="2026-07-25T00:00:00"/>
    <s v="MUHAMMAD MURSALEEN"/>
    <s v="SUZUKI-GD-110S"/>
    <n v="12320"/>
    <n v="10190"/>
    <s v="145954"/>
    <d v="2024-07-24T00:00:00"/>
    <s v="MOTORCYCLE  COMPREHENSIVE"/>
    <n v="352000"/>
    <n v="1630.4"/>
    <n v="101.9"/>
    <n v="500"/>
  </r>
  <r>
    <s v="KHI/HO/D/MO/MC COMP/P/93677/07/2024"/>
    <m/>
    <x v="14"/>
    <d v="2024-07-24T00:00:00"/>
    <d v="2025-07-24T00:00:00"/>
    <s v="MUHAMMAD ADNAN"/>
    <s v="SUZUKI-GS 150"/>
    <n v="9550"/>
    <n v="7802"/>
    <s v="30091986"/>
    <d v="2024-07-24T00:00:00"/>
    <s v="MOTORCYCLE  COMPREHENSIVE"/>
    <n v="382000"/>
    <n v="1248.32"/>
    <n v="78.02"/>
    <n v="500"/>
  </r>
  <r>
    <s v="KHI/HO/D/MO/MC COMP/P/93679/07/2024"/>
    <m/>
    <x v="2"/>
    <d v="2024-07-24T00:00:00"/>
    <d v="2025-07-24T00:00:00"/>
    <s v="MUHAMMAD ADEEL"/>
    <s v="SUZUKI-GD-110S"/>
    <n v="12320"/>
    <n v="10190"/>
    <s v="146177"/>
    <d v="2024-07-24T00:00:00"/>
    <s v="MOTORCYCLE  COMPREHENSIVE"/>
    <n v="352000"/>
    <n v="1630.4"/>
    <n v="101.9"/>
    <n v="500"/>
  </r>
  <r>
    <s v="KHI/HO/D/MO/MC COMP/P/93680/07/2024"/>
    <m/>
    <x v="2"/>
    <d v="2025-07-25T00:00:00"/>
    <d v="2026-07-25T00:00:00"/>
    <s v="MUHAMMAD ADEEL"/>
    <s v="SUZUKI-GD-110S"/>
    <n v="12320"/>
    <n v="10190"/>
    <s v="146177"/>
    <d v="2024-07-24T00:00:00"/>
    <s v="MOTORCYCLE  COMPREHENSIVE"/>
    <n v="352000"/>
    <n v="1630.4"/>
    <n v="101.9"/>
    <n v="500"/>
  </r>
  <r>
    <s v="KHI/HO/D/MO/MC COMP/P/93681/07/2024"/>
    <m/>
    <x v="14"/>
    <d v="2024-07-24T00:00:00"/>
    <d v="2025-07-24T00:00:00"/>
    <s v="MESUM RAZA"/>
    <s v="SUZUKI-GD-110S"/>
    <n v="8800"/>
    <n v="7155"/>
    <s v="145358"/>
    <d v="2024-07-24T00:00:00"/>
    <s v="MOTORCYCLE  COMPREHENSIVE"/>
    <n v="352000"/>
    <n v="1144.8"/>
    <n v="71.55"/>
    <n v="500"/>
  </r>
  <r>
    <s v="KHI/HO/D/MO/MC COMP/P/93682/07/2024"/>
    <m/>
    <x v="1"/>
    <d v="2024-07-24T00:00:00"/>
    <d v="2025-07-24T00:00:00"/>
    <s v="GITREEF AKRAM"/>
    <s v="SUZUKI-GR150 EURO II"/>
    <n v="19145"/>
    <n v="16073"/>
    <s v="113414"/>
    <d v="2024-07-24T00:00:00"/>
    <s v="MOTORCYCLE  COMPREHENSIVE"/>
    <n v="547000"/>
    <n v="2571.6799999999998"/>
    <n v="160.72999999999999"/>
    <n v="500"/>
  </r>
  <r>
    <s v="KHI/HO/D/MO/MC COMP/P/93683/07/2024"/>
    <m/>
    <x v="1"/>
    <d v="2025-07-25T00:00:00"/>
    <d v="2026-07-25T00:00:00"/>
    <s v="GITREEF AKRAM"/>
    <s v="SUZUKI-GR150 EURO II"/>
    <n v="19145"/>
    <n v="16073"/>
    <s v="113414"/>
    <d v="2024-07-24T00:00:00"/>
    <s v="MOTORCYCLE  COMPREHENSIVE"/>
    <n v="547000"/>
    <n v="2571.6799999999998"/>
    <n v="160.72999999999999"/>
    <n v="500"/>
  </r>
  <r>
    <s v="KHI/HO/D/MO/MC COMP/P/93686/07/2024"/>
    <m/>
    <x v="14"/>
    <d v="2024-07-24T00:00:00"/>
    <d v="2025-07-24T00:00:00"/>
    <s v="MUHAMMAD ADNAN"/>
    <s v="SUZUKI-GD-110S"/>
    <n v="8800"/>
    <n v="7155"/>
    <s v="145354"/>
    <d v="2024-07-24T00:00:00"/>
    <s v="MOTORCYCLE  COMPREHENSIVE"/>
    <n v="352000"/>
    <n v="1144.8"/>
    <n v="71.55"/>
    <n v="500"/>
  </r>
  <r>
    <s v="KHI/HO/D/MO/MC COMP/P/93687/07/2024"/>
    <m/>
    <x v="19"/>
    <d v="2024-07-24T00:00:00"/>
    <d v="2025-07-24T00:00:00"/>
    <s v="NAJAM UL ISLAM"/>
    <s v="SUZUKI-GD-110S"/>
    <n v="12320"/>
    <n v="10190"/>
    <s v="145934"/>
    <d v="2024-07-24T00:00:00"/>
    <s v="MOTORCYCLE  COMPREHENSIVE"/>
    <n v="352000"/>
    <n v="1630.4"/>
    <n v="101.9"/>
    <n v="500"/>
  </r>
  <r>
    <s v="KHI/HO/D/MO/MC COMP/P/93689/07/2024"/>
    <m/>
    <x v="14"/>
    <d v="2024-07-24T00:00:00"/>
    <d v="2025-07-24T00:00:00"/>
    <s v="NAVEED RIAZ"/>
    <s v="SUZUKI-GD-110S"/>
    <n v="8800"/>
    <n v="7155"/>
    <s v="145346"/>
    <d v="2024-07-24T00:00:00"/>
    <s v="MOTORCYCLE  COMPREHENSIVE"/>
    <n v="352000"/>
    <n v="1144.8"/>
    <n v="71.55"/>
    <n v="500"/>
  </r>
  <r>
    <s v="KHI/HO/D/MO/MC COMP/P/93690/07/2024"/>
    <m/>
    <x v="14"/>
    <d v="2024-07-24T00:00:00"/>
    <d v="2025-07-24T00:00:00"/>
    <s v="AMIR NAWAZ"/>
    <s v="SUZUKI-GD-110S"/>
    <n v="8800"/>
    <n v="7155"/>
    <s v="145167"/>
    <d v="2024-07-24T00:00:00"/>
    <s v="MOTORCYCLE  COMPREHENSIVE"/>
    <n v="352000"/>
    <n v="1144.8"/>
    <n v="71.55"/>
    <n v="500"/>
  </r>
  <r>
    <s v="KHI/HO/D/MO/MC COMP/P/93692/07/2024"/>
    <m/>
    <x v="14"/>
    <d v="2024-07-24T00:00:00"/>
    <d v="2025-07-24T00:00:00"/>
    <s v="NADEEM IQBAL"/>
    <s v="SUZUKI-GD-110S"/>
    <n v="8800"/>
    <n v="7155"/>
    <s v="146108"/>
    <d v="2024-07-24T00:00:00"/>
    <s v="MOTORCYCLE  COMPREHENSIVE"/>
    <n v="352000"/>
    <n v="1144.8"/>
    <n v="71.55"/>
    <n v="500"/>
  </r>
  <r>
    <s v="KHI/HO/D/MO/MC COMP/P/93693/07/2024"/>
    <m/>
    <x v="14"/>
    <d v="2024-07-24T00:00:00"/>
    <d v="2025-07-24T00:00:00"/>
    <s v="DANIAL BASHIR"/>
    <s v="SUZUKI-GS 150"/>
    <n v="9550"/>
    <n v="7802"/>
    <s v="30091991"/>
    <d v="2024-07-24T00:00:00"/>
    <s v="MOTORCYCLE  COMPREHENSIVE"/>
    <n v="382000"/>
    <n v="1248.32"/>
    <n v="78.02"/>
    <n v="500"/>
  </r>
  <r>
    <s v="KHI/HO/D/MO/MC COMP/P/93695/07/2024"/>
    <m/>
    <x v="14"/>
    <d v="2024-07-24T00:00:00"/>
    <d v="2025-07-24T00:00:00"/>
    <s v="ADNAN AHMAD"/>
    <s v="SUZUKI-GS 150"/>
    <n v="9550"/>
    <n v="7802"/>
    <s v="30091992"/>
    <d v="2024-07-24T00:00:00"/>
    <s v="MOTORCYCLE  COMPREHENSIVE"/>
    <n v="382000"/>
    <n v="1248.32"/>
    <n v="78.02"/>
    <n v="500"/>
  </r>
  <r>
    <s v="KHI/HO/D/MO/MC COMP/P/93697/07/2024"/>
    <m/>
    <x v="14"/>
    <d v="2024-07-24T00:00:00"/>
    <d v="2025-07-24T00:00:00"/>
    <s v="ATTEQUR REHMAN"/>
    <s v="SUZUKI-GS 150"/>
    <n v="9550"/>
    <n v="7802"/>
    <s v="30092055"/>
    <d v="2024-07-24T00:00:00"/>
    <s v="MOTORCYCLE  COMPREHENSIVE"/>
    <n v="382000"/>
    <n v="1248.32"/>
    <n v="78.02"/>
    <n v="500"/>
  </r>
  <r>
    <s v="KHI/HO/D/MO/MC COMP/P/93699/07/2024"/>
    <m/>
    <x v="14"/>
    <d v="2024-07-24T00:00:00"/>
    <d v="2025-07-24T00:00:00"/>
    <s v="MOHSAN IMTIAZ"/>
    <s v="SUZUKI-GD-110S"/>
    <n v="8800"/>
    <n v="7155"/>
    <s v="145368"/>
    <d v="2024-07-24T00:00:00"/>
    <s v="MOTORCYCLE  COMPREHENSIVE"/>
    <n v="352000"/>
    <n v="1144.8"/>
    <n v="71.55"/>
    <n v="500"/>
  </r>
  <r>
    <s v="KHI/HO/D/MO/MC COMP/P/93700/07/2024"/>
    <m/>
    <x v="14"/>
    <d v="2024-07-24T00:00:00"/>
    <d v="2025-07-24T00:00:00"/>
    <s v="GULFAM NAFEES"/>
    <s v="SUZUKI-GD-110S"/>
    <n v="8800"/>
    <n v="7155"/>
    <s v="145011"/>
    <d v="2024-07-24T00:00:00"/>
    <s v="MOTORCYCLE  COMPREHENSIVE"/>
    <n v="352000"/>
    <n v="1144.8"/>
    <n v="71.55"/>
    <n v="500"/>
  </r>
  <r>
    <s v="KHI/HO/D/MO/MC COMP/P/93705/07/2024"/>
    <m/>
    <x v="4"/>
    <d v="2024-07-24T00:00:00"/>
    <d v="2025-07-24T00:00:00"/>
    <s v="AMAAN ALI"/>
    <s v="SUZUKI-GD-110S"/>
    <n v="12320"/>
    <n v="10190"/>
    <s v="146175"/>
    <d v="2024-07-24T00:00:00"/>
    <s v="MOTORCYCLE  COMPREHENSIVE"/>
    <n v="352000"/>
    <n v="1630.4"/>
    <n v="101.9"/>
    <n v="500"/>
  </r>
  <r>
    <s v="KHI/HO/D/MO/MC COMP/P/93706/07/2024"/>
    <m/>
    <x v="14"/>
    <d v="2024-07-24T00:00:00"/>
    <d v="2025-07-24T00:00:00"/>
    <s v="MUHAMMAD TOUQEER IQBAL"/>
    <s v="SUZUKI-GD-110S"/>
    <n v="8800"/>
    <n v="7155"/>
    <s v="146110"/>
    <d v="2024-07-24T00:00:00"/>
    <s v="MOTORCYCLE  COMPREHENSIVE"/>
    <n v="352000"/>
    <n v="1144.8"/>
    <n v="71.55"/>
    <n v="500"/>
  </r>
  <r>
    <s v="KHI/HO/D/MO/MC COMP/P/93707/07/2024"/>
    <m/>
    <x v="14"/>
    <d v="2024-07-24T00:00:00"/>
    <d v="2025-07-24T00:00:00"/>
    <s v="MUHAMMAD AZAM"/>
    <s v="SUZUKI-GR150 EURO II"/>
    <n v="13675"/>
    <n v="11358"/>
    <s v="113272"/>
    <d v="2024-07-24T00:00:00"/>
    <s v="MOTORCYCLE  COMPREHENSIVE"/>
    <n v="547000"/>
    <n v="1817.28"/>
    <n v="113.58"/>
    <n v="500"/>
  </r>
  <r>
    <s v="KHI/HO/D/MO/MC COMP/P/93708/07/2024"/>
    <m/>
    <x v="8"/>
    <d v="2024-07-24T00:00:00"/>
    <d v="2025-07-24T00:00:00"/>
    <s v="MUHAMMAD WAHEED AHMAD"/>
    <s v="SUZUKI-GD-110S"/>
    <n v="8800"/>
    <n v="7155"/>
    <s v="145638"/>
    <d v="2024-07-24T00:00:00"/>
    <s v="MOTORCYCLE  COMPREHENSIVE"/>
    <n v="352000"/>
    <n v="1144.8"/>
    <n v="71.55"/>
    <n v="500"/>
  </r>
  <r>
    <s v="KHI/HO/D/MO/MC COMP/P/93709/07/2024"/>
    <m/>
    <x v="14"/>
    <d v="2024-07-24T00:00:00"/>
    <d v="2025-07-24T00:00:00"/>
    <s v="EHSAN UL HAQ"/>
    <s v="SUZUKI-GD-110S"/>
    <n v="8800"/>
    <n v="7155"/>
    <s v="145182"/>
    <d v="2024-07-24T00:00:00"/>
    <s v="MOTORCYCLE  COMPREHENSIVE"/>
    <n v="352000"/>
    <n v="1144.8"/>
    <n v="71.55"/>
    <n v="500"/>
  </r>
  <r>
    <s v="KHI/HO/D/MO/MC COMP/P/93712/07/2024"/>
    <m/>
    <x v="14"/>
    <d v="2024-07-24T00:00:00"/>
    <d v="2025-07-24T00:00:00"/>
    <s v="ASHAR NAWAZ"/>
    <s v="SUZUKI-GD-110S"/>
    <n v="8800"/>
    <n v="7155"/>
    <s v="144241"/>
    <d v="2024-07-24T00:00:00"/>
    <s v="MOTORCYCLE  COMPREHENSIVE"/>
    <n v="352000"/>
    <n v="1144.8"/>
    <n v="71.55"/>
    <n v="500"/>
  </r>
  <r>
    <s v="KHI/HO/D/MO/MC COMP/P/93713/07/2024"/>
    <m/>
    <x v="8"/>
    <d v="2024-07-24T00:00:00"/>
    <d v="2025-07-24T00:00:00"/>
    <s v="NADEEM IQBAL"/>
    <s v="SUZUKI-GD-110S"/>
    <n v="8800"/>
    <n v="7155"/>
    <s v="145616"/>
    <d v="2024-07-24T00:00:00"/>
    <s v="MOTORCYCLE  COMPREHENSIVE"/>
    <n v="352000"/>
    <n v="1144.8"/>
    <n v="71.55"/>
    <n v="500"/>
  </r>
  <r>
    <s v="KHI/HO/D/MO/MC COMP/P/93716/07/2024"/>
    <m/>
    <x v="8"/>
    <d v="2024-07-24T00:00:00"/>
    <d v="2025-07-24T00:00:00"/>
    <s v="MUHAMMAD YOUSAF"/>
    <s v="SUZUKI-GR150 EURO II"/>
    <n v="13675"/>
    <n v="11358"/>
    <s v="113289"/>
    <d v="2024-07-24T00:00:00"/>
    <s v="MOTORCYCLE  COMPREHENSIVE"/>
    <n v="547000"/>
    <n v="1817.28"/>
    <n v="113.58"/>
    <n v="500"/>
  </r>
  <r>
    <s v="KHI/HO/D/MO/MC COMP/P/93717/07/2024"/>
    <m/>
    <x v="3"/>
    <d v="2024-07-24T00:00:00"/>
    <d v="2025-07-24T00:00:00"/>
    <s v="Shamil Rauf"/>
    <s v="SUZUKI-GS 150"/>
    <n v="13370"/>
    <n v="11095"/>
    <s v="30092193"/>
    <d v="2024-07-24T00:00:00"/>
    <s v="MOTORCYCLE  COMPREHENSIVE"/>
    <n v="382000"/>
    <n v="1775.2"/>
    <n v="110.95"/>
    <n v="500"/>
  </r>
  <r>
    <s v="KHI/HO/D/MO/MC COMP/P/93718/07/2024"/>
    <m/>
    <x v="3"/>
    <d v="2024-07-24T00:00:00"/>
    <d v="2025-07-24T00:00:00"/>
    <s v="Ghulam Fareed"/>
    <s v="SUZUKI-GS 150"/>
    <n v="13370"/>
    <n v="11095"/>
    <s v="30092156"/>
    <d v="2024-07-24T00:00:00"/>
    <s v="MOTORCYCLE  COMPREHENSIVE"/>
    <n v="382000"/>
    <n v="1775.2"/>
    <n v="110.95"/>
    <n v="500"/>
  </r>
  <r>
    <s v="KHI/HO/D/MO/MC COMP/P/93725/07/2024"/>
    <m/>
    <x v="17"/>
    <d v="2024-07-25T00:00:00"/>
    <d v="2025-07-25T00:00:00"/>
    <s v="ARBAZ AHMAD S/O MUHAMMAD ARSHAD"/>
    <s v="SUZUKI-GS 150"/>
    <n v="9550"/>
    <n v="7802"/>
    <s v="30091770"/>
    <d v="2024-07-25T00:00:00"/>
    <s v="MOTORCYCLE  COMPREHENSIVE"/>
    <n v="382000"/>
    <n v="1248.32"/>
    <n v="78.02"/>
    <n v="500"/>
  </r>
  <r>
    <s v="KHI/HO/D/MO/MC COMP/P/93734/07/2024"/>
    <m/>
    <x v="8"/>
    <d v="2024-07-25T00:00:00"/>
    <d v="2025-07-25T00:00:00"/>
    <s v="ADIL IFTIKHAR"/>
    <s v="SUZUKI-GR150 EURO II"/>
    <n v="13675"/>
    <n v="11358"/>
    <s v="113204"/>
    <d v="2024-07-25T00:00:00"/>
    <s v="MOTORCYCLE  COMPREHENSIVE"/>
    <n v="547000"/>
    <n v="1817.28"/>
    <n v="113.58"/>
    <n v="500"/>
  </r>
  <r>
    <s v="KHI/HO/D/MO/MC COMP/P/93736/07/2024"/>
    <m/>
    <x v="17"/>
    <d v="2024-07-25T00:00:00"/>
    <d v="2025-07-25T00:00:00"/>
    <s v="JAMSHED ARSHAD S/O MUHAMMAD ARSHAD"/>
    <s v="SUZUKI-GS 150"/>
    <n v="9550"/>
    <n v="7802"/>
    <s v="30091759"/>
    <d v="2024-07-25T00:00:00"/>
    <s v="MOTORCYCLE  COMPREHENSIVE"/>
    <n v="382000"/>
    <n v="1248.32"/>
    <n v="78.02"/>
    <n v="500"/>
  </r>
  <r>
    <s v="KHI/HO/D/MO/MC COMP/P/93744/07/2024"/>
    <m/>
    <x v="2"/>
    <d v="2024-07-25T00:00:00"/>
    <d v="2025-07-25T00:00:00"/>
    <s v="FARHAN BARI"/>
    <s v="SUZUKI-GD-110S"/>
    <n v="12320"/>
    <n v="10190"/>
    <s v="145871"/>
    <d v="2024-07-25T00:00:00"/>
    <s v="MOTORCYCLE  COMPREHENSIVE"/>
    <n v="352000"/>
    <n v="1630.4"/>
    <n v="101.9"/>
    <n v="500"/>
  </r>
  <r>
    <s v="KHI/HO/D/MO/MC COMP/P/93746/07/2024"/>
    <m/>
    <x v="2"/>
    <d v="2024-07-25T00:00:00"/>
    <d v="2025-07-25T00:00:00"/>
    <s v="NADIR AHMED"/>
    <s v="SUZUKI-GD-110S"/>
    <n v="12320"/>
    <n v="10190"/>
    <s v="145879"/>
    <d v="2024-07-25T00:00:00"/>
    <s v="MOTORCYCLE  COMPREHENSIVE"/>
    <n v="352000"/>
    <n v="1630.4"/>
    <n v="101.9"/>
    <n v="500"/>
  </r>
  <r>
    <s v="KHI/HO/D/MO/MC COMP/P/93752/07/2024"/>
    <m/>
    <x v="13"/>
    <d v="2024-07-25T00:00:00"/>
    <d v="2025-07-25T00:00:00"/>
    <s v="KHURAM IBRAR BUTT"/>
    <s v="SUZUKI-GR150 EURO II"/>
    <n v="13675"/>
    <n v="11358"/>
    <s v="113259"/>
    <d v="2024-07-25T00:00:00"/>
    <s v="MOTORCYCLE  COMPREHENSIVE"/>
    <n v="547000"/>
    <n v="1817.28"/>
    <n v="113.58"/>
    <n v="500"/>
  </r>
  <r>
    <s v="KHI/HO/D/MO/MC COMP/P/93754/07/2024"/>
    <m/>
    <x v="13"/>
    <d v="2024-07-25T00:00:00"/>
    <d v="2025-07-25T00:00:00"/>
    <s v="TALHA FAROOQ"/>
    <s v="SUZUKI-GSX 125"/>
    <n v="12475"/>
    <n v="10323"/>
    <s v="23100476"/>
    <d v="2024-07-25T00:00:00"/>
    <s v="MOTORCYCLE  COMPREHENSIVE"/>
    <n v="499000"/>
    <n v="1651.68"/>
    <n v="103.23"/>
    <n v="500"/>
  </r>
  <r>
    <s v="KHI/HO/D/MO/MC COMP/P/93765/07/2024"/>
    <m/>
    <x v="2"/>
    <d v="2024-07-25T00:00:00"/>
    <d v="2025-07-25T00:00:00"/>
    <s v="MUHAMMAD AMIR"/>
    <s v="SUZUKI-GD-110S"/>
    <n v="12320"/>
    <n v="10190"/>
    <s v="146148"/>
    <d v="2024-07-25T00:00:00"/>
    <s v="MOTORCYCLE  COMPREHENSIVE"/>
    <n v="352000"/>
    <n v="1630.4"/>
    <n v="101.9"/>
    <n v="500"/>
  </r>
  <r>
    <s v="KHI/HO/D/MO/MC COMP/P/93767/07/2024"/>
    <m/>
    <x v="20"/>
    <d v="2024-07-25T00:00:00"/>
    <d v="2025-07-25T00:00:00"/>
    <s v="FARAZ AKRAM"/>
    <s v="SUZUKI-GS 150"/>
    <n v="9550"/>
    <n v="7802"/>
    <s v="30091923"/>
    <d v="2024-07-25T00:00:00"/>
    <s v="MOTORCYCLE  COMPREHENSIVE"/>
    <n v="382000"/>
    <n v="1248.32"/>
    <n v="78.02"/>
    <n v="500"/>
  </r>
  <r>
    <s v="KHI/HO/D/MO/MC COMP/P/93771/07/2024"/>
    <m/>
    <x v="20"/>
    <d v="2024-07-25T00:00:00"/>
    <d v="2025-07-25T00:00:00"/>
    <s v="SAHRISH ASHRAF"/>
    <s v="SUZUKI-GS 150"/>
    <n v="9550"/>
    <n v="7802"/>
    <s v="30092238"/>
    <d v="2024-07-25T00:00:00"/>
    <s v="MOTORCYCLE  COMPREHENSIVE"/>
    <n v="382000"/>
    <n v="1248.32"/>
    <n v="78.02"/>
    <n v="500"/>
  </r>
  <r>
    <s v="KHI/HO/D/MO/MC COMP/P/93773/07/2024"/>
    <m/>
    <x v="11"/>
    <d v="2024-07-25T00:00:00"/>
    <d v="2025-07-25T00:00:00"/>
    <s v="Syed Wamiq Ali"/>
    <s v="SUZUKI-GD-110S"/>
    <n v="12320"/>
    <n v="10190"/>
    <s v="145979"/>
    <d v="2024-07-25T00:00:00"/>
    <s v="MOTORCYCLE  COMPREHENSIVE"/>
    <n v="352000"/>
    <n v="1630.4"/>
    <n v="101.9"/>
    <n v="500"/>
  </r>
  <r>
    <s v="KHI/HO/D/MO/MC COMP/P/93774/07/2024"/>
    <m/>
    <x v="11"/>
    <d v="2025-07-26T00:00:00"/>
    <d v="2026-07-26T00:00:00"/>
    <s v="Syed Wamiq Ali"/>
    <s v="SUZUKI-GD-110S"/>
    <n v="12320"/>
    <n v="10190"/>
    <s v="145979"/>
    <d v="2024-07-25T00:00:00"/>
    <s v="MOTORCYCLE  COMPREHENSIVE"/>
    <n v="352000"/>
    <n v="1630.4"/>
    <n v="101.9"/>
    <n v="500"/>
  </r>
  <r>
    <s v="KHI/HO/D/MO/MC COMP/P/93777/07/2024"/>
    <m/>
    <x v="20"/>
    <d v="2024-07-25T00:00:00"/>
    <d v="2025-07-25T00:00:00"/>
    <s v="ABDUL RAUF"/>
    <s v="SUZUKI-GD-110S"/>
    <n v="8800"/>
    <n v="7155"/>
    <s v="146004"/>
    <d v="2024-07-25T00:00:00"/>
    <s v="MOTORCYCLE  COMPREHENSIVE"/>
    <n v="352000"/>
    <n v="1144.8"/>
    <n v="71.55"/>
    <n v="500"/>
  </r>
  <r>
    <s v="KHI/HO/D/MO/MC COMP/P/93779/07/2024"/>
    <m/>
    <x v="20"/>
    <d v="2024-07-25T00:00:00"/>
    <d v="2025-07-25T00:00:00"/>
    <s v="FAISAL IDREES"/>
    <s v="SUZUKI-GD-110S"/>
    <n v="8800"/>
    <n v="7155"/>
    <s v="146510"/>
    <d v="2024-07-25T00:00:00"/>
    <s v="MOTORCYCLE  COMPREHENSIVE"/>
    <n v="352000"/>
    <n v="1144.8"/>
    <n v="71.55"/>
    <n v="500"/>
  </r>
  <r>
    <s v="KHI/HO/D/MO/MC COMP/P/93780/07/2024"/>
    <m/>
    <x v="20"/>
    <d v="2024-07-25T00:00:00"/>
    <d v="2025-07-25T00:00:00"/>
    <s v="MUHAMMAD ABDULLAH BHATTI"/>
    <s v="SUZUKI-GD-110S"/>
    <n v="8800"/>
    <n v="7155"/>
    <s v="145197"/>
    <d v="2024-07-25T00:00:00"/>
    <s v="MOTORCYCLE  COMPREHENSIVE"/>
    <n v="352000"/>
    <n v="1144.8"/>
    <n v="71.55"/>
    <n v="500"/>
  </r>
  <r>
    <s v="KHI/HO/D/MO/MC COMP/P/93781/07/2024"/>
    <m/>
    <x v="20"/>
    <d v="2024-07-25T00:00:00"/>
    <d v="2025-07-25T00:00:00"/>
    <s v="MUHAMMAD AHTISHAM"/>
    <s v="SUZUKI-GS 150"/>
    <n v="9550"/>
    <n v="7802"/>
    <s v="30092229"/>
    <d v="2024-07-25T00:00:00"/>
    <s v="MOTORCYCLE  COMPREHENSIVE"/>
    <n v="382000"/>
    <n v="1248.32"/>
    <n v="78.02"/>
    <n v="500"/>
  </r>
  <r>
    <s v="KHI/HO/D/MO/MC COMP/P/93783/07/2024"/>
    <m/>
    <x v="18"/>
    <d v="2024-07-25T00:00:00"/>
    <d v="2025-07-25T00:00:00"/>
    <s v="UMAIR MEHMOOD"/>
    <s v="SUZUKI-GD-110S"/>
    <n v="8800"/>
    <n v="7155"/>
    <s v="144948"/>
    <d v="2024-07-25T00:00:00"/>
    <s v="MOTORCYCLE  COMPREHENSIVE"/>
    <n v="352000"/>
    <n v="1144.8"/>
    <n v="71.55"/>
    <n v="500"/>
  </r>
  <r>
    <s v="KHI/HO/D/MO/MC COMP/P/93784/07/2024"/>
    <m/>
    <x v="20"/>
    <d v="2024-07-25T00:00:00"/>
    <d v="2025-07-25T00:00:00"/>
    <s v="MUHAMMAD SHAHZAIB"/>
    <s v="SUZUKI-GD-110S"/>
    <n v="8800"/>
    <n v="7155"/>
    <s v="146519"/>
    <d v="2024-07-25T00:00:00"/>
    <s v="MOTORCYCLE  COMPREHENSIVE"/>
    <n v="352000"/>
    <n v="1144.8"/>
    <n v="71.55"/>
    <n v="500"/>
  </r>
  <r>
    <s v="KHI/HO/D/MO/MC COMP/P/93789/07/2024"/>
    <m/>
    <x v="22"/>
    <d v="2024-07-25T00:00:00"/>
    <d v="2025-07-25T00:00:00"/>
    <s v="DAMEER SAIF"/>
    <s v="SUZUKI-GD-110S"/>
    <n v="8800"/>
    <n v="7155"/>
    <s v="145598"/>
    <d v="2024-07-25T00:00:00"/>
    <s v="MOTORCYCLE  COMPREHENSIVE"/>
    <n v="352000"/>
    <n v="1144.8"/>
    <n v="71.55"/>
    <n v="500"/>
  </r>
  <r>
    <s v="KHI/HO/D/MO/MC COMP/P/93792/07/2024"/>
    <m/>
    <x v="22"/>
    <d v="2024-07-25T00:00:00"/>
    <d v="2025-07-25T00:00:00"/>
    <s v="MUHAMMAD MUKHTAR"/>
    <s v="SUZUKI-GR150 EURO II"/>
    <n v="13675"/>
    <n v="11358"/>
    <s v="113351"/>
    <d v="2024-07-25T00:00:00"/>
    <s v="MOTORCYCLE  COMPREHENSIVE"/>
    <n v="547000"/>
    <n v="1817.28"/>
    <n v="113.58"/>
    <n v="500"/>
  </r>
  <r>
    <s v="KHI/HO/D/MO/MC COMP/P/93793/07/2024"/>
    <m/>
    <x v="6"/>
    <d v="2024-07-25T00:00:00"/>
    <d v="2025-07-25T00:00:00"/>
    <s v="Muhammad Awais Ali"/>
    <s v="SUZUKI-GS 150"/>
    <n v="9550"/>
    <n v="7802"/>
    <s v="30092211"/>
    <d v="2024-07-25T00:00:00"/>
    <s v="MOTORCYCLE  COMPREHENSIVE"/>
    <n v="382000"/>
    <n v="1248.32"/>
    <n v="78.02"/>
    <n v="500"/>
  </r>
  <r>
    <s v="KHI/HO/D/MO/MC COMP/P/93794/07/2024"/>
    <m/>
    <x v="22"/>
    <d v="2024-07-25T00:00:00"/>
    <d v="2025-07-25T00:00:00"/>
    <s v="UMAR MAHMOOD BUTT"/>
    <s v="SUZUKI-GR150 EURO II"/>
    <n v="13675"/>
    <n v="11358"/>
    <s v="113297"/>
    <d v="2024-07-25T00:00:00"/>
    <s v="MOTORCYCLE  COMPREHENSIVE"/>
    <n v="547000"/>
    <n v="1817.28"/>
    <n v="113.58"/>
    <n v="500"/>
  </r>
  <r>
    <s v="KHI/HO/D/MO/MC COMP/P/93796/07/2024"/>
    <m/>
    <x v="6"/>
    <d v="2024-07-25T00:00:00"/>
    <d v="2025-07-25T00:00:00"/>
    <s v="M Arslan Anjum"/>
    <s v="SUZUKI-GS 150"/>
    <n v="9550"/>
    <n v="7802"/>
    <s v="30032213"/>
    <d v="2024-07-25T00:00:00"/>
    <s v="MOTORCYCLE  COMPREHENSIVE"/>
    <n v="382000"/>
    <n v="1248.32"/>
    <n v="78.02"/>
    <n v="500"/>
  </r>
  <r>
    <s v="KHI/HO/D/MO/MC COMP/P/93797/07/2024"/>
    <m/>
    <x v="22"/>
    <d v="2024-07-25T00:00:00"/>
    <d v="2025-07-25T00:00:00"/>
    <s v="UMAIR"/>
    <s v="SUZUKI-GS 150"/>
    <n v="9550"/>
    <n v="7802"/>
    <s v="30092062"/>
    <d v="2024-07-25T00:00:00"/>
    <s v="MOTORCYCLE  COMPREHENSIVE"/>
    <n v="382000"/>
    <n v="1248.32"/>
    <n v="78.02"/>
    <n v="500"/>
  </r>
  <r>
    <s v="KHI/HO/D/MO/MC COMP/P/93800/07/2024"/>
    <m/>
    <x v="22"/>
    <d v="2024-07-25T00:00:00"/>
    <d v="2025-07-25T00:00:00"/>
    <s v="UMAIR ALI"/>
    <s v="SUZUKI-GS 150"/>
    <n v="9550"/>
    <n v="7802"/>
    <s v="30092067"/>
    <d v="2024-07-25T00:00:00"/>
    <s v="MOTORCYCLE  COMPREHENSIVE"/>
    <n v="382000"/>
    <n v="1248.32"/>
    <n v="78.02"/>
    <n v="500"/>
  </r>
  <r>
    <s v="KHI/HO/D/MO/MC COMP/P/93804/07/2024"/>
    <m/>
    <x v="22"/>
    <d v="2024-07-25T00:00:00"/>
    <d v="2025-07-25T00:00:00"/>
    <s v="FAIZAN RAZA"/>
    <s v="SUZUKI-GD-110S"/>
    <n v="8800"/>
    <n v="7155"/>
    <s v="145178"/>
    <d v="2024-07-25T00:00:00"/>
    <s v="MOTORCYCLE  COMPREHENSIVE"/>
    <n v="352000"/>
    <n v="1144.8"/>
    <n v="71.55"/>
    <n v="500"/>
  </r>
  <r>
    <s v="KHI/HO/D/MO/MC COMP/P/93812/07/2024"/>
    <m/>
    <x v="6"/>
    <d v="2024-07-25T00:00:00"/>
    <d v="2025-07-25T00:00:00"/>
    <s v="Amir Illyas"/>
    <s v="SUZUKI-GD-110S"/>
    <n v="8800"/>
    <n v="7155"/>
    <s v="143492"/>
    <d v="2024-07-25T00:00:00"/>
    <s v="MOTORCYCLE  COMPREHENSIVE"/>
    <n v="352000"/>
    <n v="1144.8"/>
    <n v="71.55"/>
    <n v="500"/>
  </r>
  <r>
    <s v="KHI/HO/D/MO/MC COMP/P/93814/07/2024"/>
    <m/>
    <x v="11"/>
    <d v="2024-07-25T00:00:00"/>
    <d v="2025-07-25T00:00:00"/>
    <s v="Maqsood Qadir"/>
    <s v="SUZUKI-GD-110S"/>
    <n v="12320"/>
    <n v="10190"/>
    <s v="146062"/>
    <d v="2024-07-25T00:00:00"/>
    <s v="MOTORCYCLE  COMPREHENSIVE"/>
    <n v="352000"/>
    <n v="1630.4"/>
    <n v="101.9"/>
    <n v="500"/>
  </r>
  <r>
    <s v="KHI/HO/D/MO/MC COMP/P/93819/07/2024"/>
    <m/>
    <x v="0"/>
    <d v="2024-07-26T00:00:00"/>
    <d v="2025-07-26T00:00:00"/>
    <s v="NAEEM AHMED"/>
    <s v="SUZUKI-GS 150"/>
    <n v="13370"/>
    <n v="11095"/>
    <s v="30092075"/>
    <d v="2024-07-26T00:00:00"/>
    <s v="MOTORCYCLE  COMPREHENSIVE"/>
    <n v="382000"/>
    <n v="1775.2"/>
    <n v="110.95"/>
    <n v="500"/>
  </r>
  <r>
    <s v="KHI/HO/D/MO/MC COMP/P/93838/07/2024"/>
    <m/>
    <x v="2"/>
    <d v="2024-07-26T00:00:00"/>
    <d v="2025-07-26T00:00:00"/>
    <s v="ABDUL QADIR"/>
    <s v="SUZUKI-GD-110S"/>
    <n v="12320"/>
    <n v="10190"/>
    <s v="146180"/>
    <d v="2024-07-26T00:00:00"/>
    <s v="MOTORCYCLE  COMPREHENSIVE"/>
    <n v="352000"/>
    <n v="1630.4"/>
    <n v="101.9"/>
    <n v="500"/>
  </r>
  <r>
    <s v="KHI/HO/D/MO/MC COMP/P/93841/07/2024"/>
    <m/>
    <x v="24"/>
    <d v="2024-07-26T00:00:00"/>
    <d v="2025-07-26T00:00:00"/>
    <s v="USAMA BIN YOUSAF"/>
    <s v="SUZUKI-GS 150"/>
    <n v="9550"/>
    <n v="7802"/>
    <s v="30091871"/>
    <d v="2024-07-26T00:00:00"/>
    <s v="MOTORCYCLE  COMPREHENSIVE"/>
    <n v="382000"/>
    <n v="1248.32"/>
    <n v="78.02"/>
    <n v="500"/>
  </r>
  <r>
    <s v="KHI/HO/D/MO/MC COMP/P/93848/07/2024"/>
    <m/>
    <x v="24"/>
    <d v="2024-07-26T00:00:00"/>
    <d v="2025-07-26T00:00:00"/>
    <s v="ADNAN ALI"/>
    <s v="SUZUKI-GD-110S"/>
    <n v="8800"/>
    <n v="7155"/>
    <s v="144831"/>
    <d v="2024-07-26T00:00:00"/>
    <s v="MOTORCYCLE  COMPREHENSIVE"/>
    <n v="352000"/>
    <n v="1144.8"/>
    <n v="71.55"/>
    <n v="500"/>
  </r>
  <r>
    <s v="KHI/HO/D/MO/MC COMP/P/93856/07/2024"/>
    <m/>
    <x v="24"/>
    <d v="2024-07-26T00:00:00"/>
    <d v="2025-07-26T00:00:00"/>
    <s v="M. MUZAMMAL HUSSAIN"/>
    <s v="SUZUKI-GD-110S"/>
    <n v="8800"/>
    <n v="7155"/>
    <s v="144851"/>
    <d v="2024-07-26T00:00:00"/>
    <s v="MOTORCYCLE  COMPREHENSIVE"/>
    <n v="352000"/>
    <n v="1144.8"/>
    <n v="71.55"/>
    <n v="500"/>
  </r>
  <r>
    <s v="KHI/HO/D/MO/MC COMP/P/93857/07/2024"/>
    <m/>
    <x v="1"/>
    <d v="2024-07-26T00:00:00"/>
    <d v="2025-07-26T00:00:00"/>
    <s v="HAFEEZ ULLAH"/>
    <s v="SUZUKI-GD-110S"/>
    <n v="12320"/>
    <n v="10190"/>
    <s v="146176"/>
    <d v="2024-07-26T00:00:00"/>
    <s v="MOTORCYCLE  COMPREHENSIVE"/>
    <n v="352000"/>
    <n v="1630.4"/>
    <n v="101.9"/>
    <n v="500"/>
  </r>
  <r>
    <s v="KHI/HO/D/MO/MC COMP/P/93859/07/2024"/>
    <m/>
    <x v="19"/>
    <d v="2024-07-26T00:00:00"/>
    <d v="2025-07-26T00:00:00"/>
    <s v="MUSTAFA KHAN"/>
    <s v="SUZUKI-GS 150"/>
    <n v="13370"/>
    <n v="11095"/>
    <s v="300092273"/>
    <d v="2024-07-26T00:00:00"/>
    <s v="MOTORCYCLE  COMPREHENSIVE"/>
    <n v="382000"/>
    <n v="1775.2"/>
    <n v="110.95"/>
    <n v="500"/>
  </r>
  <r>
    <s v="KHI/HO/D/MO/MC COMP/P/93860/07/2024"/>
    <m/>
    <x v="19"/>
    <d v="2025-07-27T00:00:00"/>
    <d v="2026-07-27T00:00:00"/>
    <s v="MUSTAFA KHAN"/>
    <s v="SUZUKI-GS 150"/>
    <n v="13370"/>
    <n v="11095"/>
    <s v="300092273"/>
    <d v="2024-07-26T00:00:00"/>
    <s v="MOTORCYCLE  COMPREHENSIVE"/>
    <n v="382000"/>
    <n v="1775.2"/>
    <n v="110.95"/>
    <n v="500"/>
  </r>
  <r>
    <s v="KHI/HO/D/MO/MC COMP/P/93864/07/2024"/>
    <m/>
    <x v="24"/>
    <d v="2024-07-26T00:00:00"/>
    <d v="2025-07-26T00:00:00"/>
    <s v="M. NEAAM TARIQ"/>
    <s v="SUZUKI-GS 150"/>
    <n v="9550"/>
    <n v="7802"/>
    <s v="30092030"/>
    <d v="2024-07-26T00:00:00"/>
    <s v="MOTORCYCLE  COMPREHENSIVE"/>
    <n v="382000"/>
    <n v="1248.32"/>
    <n v="78.02"/>
    <n v="500"/>
  </r>
  <r>
    <s v="KHI/HO/D/MO/MC COMP/P/93874/07/2024"/>
    <m/>
    <x v="19"/>
    <d v="2024-07-26T00:00:00"/>
    <d v="2025-07-26T00:00:00"/>
    <s v="SHAHID SAJAN"/>
    <s v="SUZUKI-GD-110S"/>
    <n v="12320"/>
    <n v="10190"/>
    <s v="145937"/>
    <d v="2024-07-26T00:00:00"/>
    <s v="MOTORCYCLE  COMPREHENSIVE"/>
    <n v="352000"/>
    <n v="1630.4"/>
    <n v="101.9"/>
    <n v="500"/>
  </r>
  <r>
    <s v="KHI/HO/D/MO/MC COMP/P/93875/07/2024"/>
    <m/>
    <x v="6"/>
    <d v="2024-07-26T00:00:00"/>
    <d v="2025-07-26T00:00:00"/>
    <s v="M Naeem Aslam"/>
    <s v="SUZUKI-GS 150"/>
    <n v="9550"/>
    <n v="7802"/>
    <s v="30092207"/>
    <d v="2024-07-26T00:00:00"/>
    <s v="MOTORCYCLE  COMPREHENSIVE"/>
    <n v="382000"/>
    <n v="1248.32"/>
    <n v="78.02"/>
    <n v="500"/>
  </r>
  <r>
    <s v="KHI/HO/D/MO/MC COMP/P/93877/07/2024"/>
    <m/>
    <x v="17"/>
    <d v="2024-07-26T00:00:00"/>
    <d v="2025-07-26T00:00:00"/>
    <s v="HASSAN MAHMOOD S/O SULTAN MAHMOOD"/>
    <s v="SUZUKI-GSX 125"/>
    <n v="12475"/>
    <n v="10323"/>
    <s v="23102450"/>
    <d v="2024-07-26T00:00:00"/>
    <s v="MOTORCYCLE  COMPREHENSIVE"/>
    <n v="499000"/>
    <n v="1651.68"/>
    <n v="103.23"/>
    <n v="500"/>
  </r>
  <r>
    <s v="KHI/HO/D/MO/MC COMP/P/93880/07/2024"/>
    <m/>
    <x v="2"/>
    <d v="2024-07-26T00:00:00"/>
    <d v="2025-07-26T00:00:00"/>
    <s v="MUHAMMAD SALAHUDDIN"/>
    <s v="SUZUKI-GR150 EURO II"/>
    <n v="19145"/>
    <n v="16073"/>
    <s v="113366"/>
    <d v="2024-07-26T00:00:00"/>
    <s v="MOTORCYCLE  COMPREHENSIVE"/>
    <n v="547000"/>
    <n v="2571.6799999999998"/>
    <n v="160.72999999999999"/>
    <n v="500"/>
  </r>
  <r>
    <s v="KHI/HO/D/MO/MC COMP/P/93886/07/2024"/>
    <m/>
    <x v="7"/>
    <d v="2024-07-26T00:00:00"/>
    <d v="2025-07-26T00:00:00"/>
    <s v="MUHAMMAD IBRAHIM"/>
    <s v="SUZUKI-GS 150"/>
    <n v="13370"/>
    <n v="11095"/>
    <s v="30092162"/>
    <d v="2024-07-26T00:00:00"/>
    <s v="MOTORCYCLE  COMPREHENSIVE"/>
    <n v="382000"/>
    <n v="1775.2"/>
    <n v="110.95"/>
    <n v="500"/>
  </r>
  <r>
    <s v="KHI/HO/D/MO/MC COMP/P/93888/07/2024"/>
    <m/>
    <x v="7"/>
    <d v="2024-07-26T00:00:00"/>
    <d v="2025-07-26T00:00:00"/>
    <s v="MUHAMMAD QASIM"/>
    <s v="SUZUKI-GD-110S"/>
    <n v="12320"/>
    <n v="10190"/>
    <s v="145041"/>
    <d v="2024-07-26T00:00:00"/>
    <s v="MOTORCYCLE  COMPREHENSIVE"/>
    <n v="352000"/>
    <n v="1630.4"/>
    <n v="101.9"/>
    <n v="500"/>
  </r>
  <r>
    <s v="KHI/HO/D/MO/MC COMP/P/93892/07/2024"/>
    <m/>
    <x v="11"/>
    <d v="2024-07-26T00:00:00"/>
    <d v="2025-07-26T00:00:00"/>
    <s v="MUHAMMAD ARSALN"/>
    <s v="SUZUKI-GD-110S"/>
    <n v="12320"/>
    <n v="10190"/>
    <s v="146210"/>
    <d v="2024-07-26T00:00:00"/>
    <s v="MOTORCYCLE  COMPREHENSIVE"/>
    <n v="352000"/>
    <n v="1630.4"/>
    <n v="101.9"/>
    <n v="500"/>
  </r>
  <r>
    <s v="KHI/HO/D/MO/MC COMP/P/93893/07/2024"/>
    <m/>
    <x v="11"/>
    <d v="2025-07-27T00:00:00"/>
    <d v="2026-07-27T00:00:00"/>
    <s v="MUHAMMAD ARSALN"/>
    <s v="SUZUKI-GD-110S"/>
    <n v="12320"/>
    <n v="10190"/>
    <s v="146210"/>
    <d v="2024-07-26T00:00:00"/>
    <s v="MOTORCYCLE  COMPREHENSIVE"/>
    <n v="352000"/>
    <n v="1630.4"/>
    <n v="101.9"/>
    <n v="500"/>
  </r>
  <r>
    <s v="KHI/HO/D/MO/MC COMP/P/93897/07/2024"/>
    <m/>
    <x v="14"/>
    <d v="2024-07-26T00:00:00"/>
    <d v="2025-07-26T00:00:00"/>
    <s v="MUHAMMAD HASSAN ILYAS"/>
    <s v="SUZUKI-GD-110S"/>
    <n v="8800"/>
    <n v="7155"/>
    <s v="145166"/>
    <d v="2024-07-26T00:00:00"/>
    <s v="MOTORCYCLE  COMPREHENSIVE"/>
    <n v="352000"/>
    <n v="1144.8"/>
    <n v="71.55"/>
    <n v="500"/>
  </r>
  <r>
    <s v="KHI/HO/D/MO/MC COMP/P/93898/07/2024"/>
    <m/>
    <x v="1"/>
    <d v="2024-07-26T00:00:00"/>
    <d v="2025-07-26T00:00:00"/>
    <s v="Majid Ahmed"/>
    <s v="SUZUKI-GR150 EURO II"/>
    <n v="19145"/>
    <n v="16073"/>
    <s v="113395"/>
    <d v="2024-07-26T00:00:00"/>
    <s v="MOTORCYCLE  COMPREHENSIVE"/>
    <n v="547000"/>
    <n v="2571.6799999999998"/>
    <n v="160.72999999999999"/>
    <n v="500"/>
  </r>
  <r>
    <s v="KHI/HO/D/MO/MC COMP/P/93901/07/2024"/>
    <m/>
    <x v="14"/>
    <d v="2024-07-26T00:00:00"/>
    <d v="2025-07-26T00:00:00"/>
    <s v="HASHAM NAJAM"/>
    <s v="SUZUKI-GD-110S"/>
    <n v="8800"/>
    <n v="7155"/>
    <s v="145762"/>
    <d v="2024-07-26T00:00:00"/>
    <s v="MOTORCYCLE  COMPREHENSIVE"/>
    <n v="352000"/>
    <n v="1144.8"/>
    <n v="71.55"/>
    <n v="500"/>
  </r>
  <r>
    <s v="KHI/HO/D/MO/MC COMP/P/93903/07/2024"/>
    <m/>
    <x v="7"/>
    <d v="2024-07-26T00:00:00"/>
    <d v="2025-07-26T00:00:00"/>
    <s v="AMIN UDDIN"/>
    <s v="SUZUKI-GD-110S"/>
    <n v="12320"/>
    <n v="10190"/>
    <s v="145575"/>
    <d v="2024-07-26T00:00:00"/>
    <s v="MOTORCYCLE  COMPREHENSIVE"/>
    <n v="352000"/>
    <n v="1630.4"/>
    <n v="101.9"/>
    <n v="500"/>
  </r>
  <r>
    <s v="KHI/HO/D/MO/MC COMP/P/93905/07/2024"/>
    <m/>
    <x v="14"/>
    <d v="2024-07-26T00:00:00"/>
    <d v="2025-07-26T00:00:00"/>
    <s v="GHULAM SABIR"/>
    <s v="SUZUKI-GD-110S"/>
    <n v="8800"/>
    <n v="7155"/>
    <s v="145345"/>
    <d v="2024-07-26T00:00:00"/>
    <s v="MOTORCYCLE  COMPREHENSIVE"/>
    <n v="352000"/>
    <n v="1144.8"/>
    <n v="71.55"/>
    <n v="500"/>
  </r>
  <r>
    <s v="KHI/HO/D/MO/MC COMP/P/93908/07/2024"/>
    <m/>
    <x v="7"/>
    <d v="2024-07-26T00:00:00"/>
    <d v="2025-07-26T00:00:00"/>
    <s v="WASEEM AKRAM"/>
    <s v="SUZUKI-GR150 EURO II"/>
    <n v="19145"/>
    <n v="16073"/>
    <s v="113363"/>
    <d v="2024-07-26T00:00:00"/>
    <s v="MOTORCYCLE  COMPREHENSIVE"/>
    <n v="547000"/>
    <n v="2571.6799999999998"/>
    <n v="160.72999999999999"/>
    <n v="500"/>
  </r>
  <r>
    <s v="KHI/HO/D/MO/MC COMP/P/93909/07/2024"/>
    <m/>
    <x v="7"/>
    <d v="2025-07-27T00:00:00"/>
    <d v="2026-07-27T00:00:00"/>
    <s v="WASEEM AKRAM"/>
    <s v="SUZUKI-GR150 EURO II"/>
    <n v="19145"/>
    <n v="16073"/>
    <s v="113363"/>
    <d v="2024-07-26T00:00:00"/>
    <s v="MOTORCYCLE  COMPREHENSIVE"/>
    <n v="547000"/>
    <n v="2571.6799999999998"/>
    <n v="160.72999999999999"/>
    <n v="500"/>
  </r>
  <r>
    <s v="KHI/HO/D/MO/MC COMP/P/93910/07/2024"/>
    <m/>
    <x v="24"/>
    <d v="2024-07-26T00:00:00"/>
    <d v="2025-07-26T00:00:00"/>
    <s v="M. SHAHBAZ"/>
    <s v="SUZUKI-GS 150"/>
    <n v="9550"/>
    <n v="7802"/>
    <s v="30092044"/>
    <d v="2024-07-26T00:00:00"/>
    <s v="MOTORCYCLE  COMPREHENSIVE"/>
    <n v="382000"/>
    <n v="1248.32"/>
    <n v="78.02"/>
    <n v="500"/>
  </r>
  <r>
    <s v="KHI/HO/D/MO/MC COMP/P/93912/07/2024"/>
    <m/>
    <x v="2"/>
    <d v="2024-07-26T00:00:00"/>
    <d v="2025-07-26T00:00:00"/>
    <s v="ATTA MUHAMMAD"/>
    <s v="SUZUKI-GD-110S"/>
    <n v="12320"/>
    <n v="10190"/>
    <s v="146171"/>
    <d v="2024-07-26T00:00:00"/>
    <s v="MOTORCYCLE  COMPREHENSIVE"/>
    <n v="352000"/>
    <n v="1630.4"/>
    <n v="101.9"/>
    <n v="500"/>
  </r>
  <r>
    <s v="KHI/HO/D/MO/MC COMP/P/93913/07/2024"/>
    <m/>
    <x v="2"/>
    <d v="2025-07-27T00:00:00"/>
    <d v="2026-07-27T00:00:00"/>
    <s v="ATTA MUHAMMAD"/>
    <s v="SUZUKI-GD-110S"/>
    <n v="12320"/>
    <n v="10190"/>
    <s v="146171"/>
    <d v="2024-07-26T00:00:00"/>
    <s v="MOTORCYCLE  COMPREHENSIVE"/>
    <n v="352000"/>
    <n v="1630.4"/>
    <n v="101.9"/>
    <n v="500"/>
  </r>
  <r>
    <s v="KHI/HO/D/MO/MC COMP/P/93914/07/2024"/>
    <m/>
    <x v="7"/>
    <d v="2024-07-26T00:00:00"/>
    <d v="2025-07-26T00:00:00"/>
    <s v="Amin"/>
    <s v="SUZUKI-GD-110S"/>
    <n v="12320"/>
    <n v="10190"/>
    <s v="145866"/>
    <d v="2024-07-26T00:00:00"/>
    <s v="MOTORCYCLE  COMPREHENSIVE"/>
    <n v="352000"/>
    <n v="1630.4"/>
    <n v="101.9"/>
    <n v="500"/>
  </r>
  <r>
    <s v="KHI/HO/D/MO/MC COMP/P/93915/07/2024"/>
    <m/>
    <x v="7"/>
    <d v="2025-07-27T00:00:00"/>
    <d v="2026-07-27T00:00:00"/>
    <s v="Amin"/>
    <s v="SUZUKI-GD-110S"/>
    <n v="12320"/>
    <n v="10190"/>
    <s v="145866"/>
    <d v="2024-07-26T00:00:00"/>
    <s v="MOTORCYCLE  COMPREHENSIVE"/>
    <n v="352000"/>
    <n v="1630.4"/>
    <n v="101.9"/>
    <n v="500"/>
  </r>
  <r>
    <s v="KHI/HO/D/MO/MC COMP/P/93918/07/2024"/>
    <m/>
    <x v="7"/>
    <d v="2024-07-26T00:00:00"/>
    <d v="2025-07-26T00:00:00"/>
    <s v="MIRZA SULEMAN BAIG"/>
    <s v="SUZUKI-GD-110S"/>
    <n v="12320"/>
    <n v="10190"/>
    <s v="145585"/>
    <d v="2024-07-26T00:00:00"/>
    <s v="MOTORCYCLE  COMPREHENSIVE"/>
    <n v="352000"/>
    <n v="1630.4"/>
    <n v="101.9"/>
    <n v="500"/>
  </r>
  <r>
    <s v="KHI/HO/D/MO/MC COMP/P/93919/07/2024"/>
    <m/>
    <x v="18"/>
    <d v="2024-07-26T00:00:00"/>
    <d v="2025-07-26T00:00:00"/>
    <s v="MOAZZAM ALI"/>
    <s v="SUZUKI-GD-110S"/>
    <n v="8800"/>
    <n v="7155"/>
    <s v="146518"/>
    <d v="2024-07-26T00:00:00"/>
    <s v="MOTORCYCLE  COMPREHENSIVE"/>
    <n v="352000"/>
    <n v="1144.8"/>
    <n v="71.55"/>
    <n v="500"/>
  </r>
  <r>
    <s v="KHI/HO/D/MO/MC COMP/P/93920/07/2024"/>
    <m/>
    <x v="18"/>
    <d v="2024-07-26T00:00:00"/>
    <d v="2025-07-26T00:00:00"/>
    <s v="MOAZZAM ALI"/>
    <s v="SUZUKI-GD-110S"/>
    <n v="8800"/>
    <n v="7155"/>
    <s v="146518"/>
    <d v="2024-07-26T00:00:00"/>
    <s v="MOTORCYCLE  COMPREHENSIVE"/>
    <n v="352000"/>
    <n v="1144.8"/>
    <n v="71.55"/>
    <n v="500"/>
  </r>
  <r>
    <s v="KHI/HO/D/MO/MC COMP/P/93922/07/2024"/>
    <m/>
    <x v="7"/>
    <d v="2024-07-26T00:00:00"/>
    <d v="2025-07-26T00:00:00"/>
    <s v="AMIR ALI KHAN"/>
    <s v="SUZUKI-GD-110S"/>
    <n v="12320"/>
    <n v="10190"/>
    <s v="145989"/>
    <d v="2024-07-26T00:00:00"/>
    <s v="MOTORCYCLE  COMPREHENSIVE"/>
    <n v="352000"/>
    <n v="1630.4"/>
    <n v="101.9"/>
    <n v="500"/>
  </r>
  <r>
    <s v="KHI/HO/D/MO/MC COMP/P/93923/07/2024"/>
    <m/>
    <x v="7"/>
    <d v="2025-07-27T00:00:00"/>
    <d v="2026-07-27T00:00:00"/>
    <s v="AMIR ALI KHAN"/>
    <s v="SUZUKI-GD-110S"/>
    <n v="12320"/>
    <n v="10190"/>
    <s v="145989"/>
    <d v="2024-07-26T00:00:00"/>
    <s v="MOTORCYCLE  COMPREHENSIVE"/>
    <n v="352000"/>
    <n v="1630.4"/>
    <n v="101.9"/>
    <n v="500"/>
  </r>
  <r>
    <s v="KHI/HO/D/MO/MC COMP/P/93924/07/2024"/>
    <m/>
    <x v="7"/>
    <d v="2024-07-26T00:00:00"/>
    <d v="2025-07-26T00:00:00"/>
    <s v="SOHAIL AHMED"/>
    <s v="SUZUKI-GS 150"/>
    <n v="13370"/>
    <n v="11095"/>
    <s v="30091746"/>
    <d v="2024-07-26T00:00:00"/>
    <s v="MOTORCYCLE  COMPREHENSIVE"/>
    <n v="382000"/>
    <n v="1775.2"/>
    <n v="110.95"/>
    <n v="500"/>
  </r>
  <r>
    <s v="KHI/HO/D/MO/MC COMP/P/93925/07/2024"/>
    <m/>
    <x v="7"/>
    <d v="2025-07-27T00:00:00"/>
    <d v="2026-07-27T00:00:00"/>
    <s v="SOHAIL AHMED"/>
    <s v="SUZUKI-GS 150"/>
    <n v="13370"/>
    <n v="11095"/>
    <s v="30091746"/>
    <d v="2024-07-26T00:00:00"/>
    <s v="MOTORCYCLE  COMPREHENSIVE"/>
    <n v="382000"/>
    <n v="1775.2"/>
    <n v="110.95"/>
    <n v="500"/>
  </r>
  <r>
    <s v="KHI/HO/D/MO/MC COMP/P/93931/07/2024"/>
    <m/>
    <x v="0"/>
    <d v="2024-07-26T00:00:00"/>
    <d v="2025-07-26T00:00:00"/>
    <s v="MUHAMMAD JUNAID"/>
    <s v="SUZUKI-GS 150"/>
    <n v="13370"/>
    <n v="11095"/>
    <s v="30092270"/>
    <d v="2024-07-26T00:00:00"/>
    <s v="MOTORCYCLE  COMPREHENSIVE"/>
    <n v="382000"/>
    <n v="1775.2"/>
    <n v="110.95"/>
    <n v="500"/>
  </r>
  <r>
    <s v="KHI/HO/D/MO/MC COMP/P/93932/07/2024"/>
    <m/>
    <x v="0"/>
    <d v="2025-07-27T00:00:00"/>
    <d v="2026-07-27T00:00:00"/>
    <s v="MUHAMMAD JUNAID"/>
    <s v="SUZUKI-GS 150"/>
    <n v="13370"/>
    <n v="11095"/>
    <s v="30092270"/>
    <d v="2024-07-26T00:00:00"/>
    <s v="MOTORCYCLE  COMPREHENSIVE"/>
    <n v="382000"/>
    <n v="1775.2"/>
    <n v="110.95"/>
    <n v="500"/>
  </r>
  <r>
    <s v="KHI/HO/D/MO/MC COMP/P/93934/07/2024"/>
    <m/>
    <x v="18"/>
    <d v="2024-07-26T00:00:00"/>
    <d v="2025-07-26T00:00:00"/>
    <s v="MUHAMMAD WASEEM"/>
    <s v="SUZUKI-GD-110S"/>
    <n v="8800"/>
    <n v="7155"/>
    <s v="146515"/>
    <d v="2024-07-26T00:00:00"/>
    <s v="MOTORCYCLE  COMPREHENSIVE"/>
    <n v="352000"/>
    <n v="1144.8"/>
    <n v="71.55"/>
    <n v="500"/>
  </r>
  <r>
    <s v="KHI/HO/D/MO/MC COMP/P/93935/07/2024"/>
    <m/>
    <x v="7"/>
    <d v="2024-07-26T00:00:00"/>
    <d v="2025-07-26T00:00:00"/>
    <s v="RUKHSANA SHAHID"/>
    <s v="SUZUKI-GS 150"/>
    <n v="13370"/>
    <n v="11095"/>
    <s v="30092154"/>
    <d v="2024-07-26T00:00:00"/>
    <s v="MOTORCYCLE  COMPREHENSIVE"/>
    <n v="382000"/>
    <n v="1775.2"/>
    <n v="110.95"/>
    <n v="500"/>
  </r>
  <r>
    <s v="KHI/HO/D/MO/MC COMP/P/93936/07/2024"/>
    <m/>
    <x v="7"/>
    <d v="2025-07-27T00:00:00"/>
    <d v="2026-07-27T00:00:00"/>
    <s v="RUKHSANA SHAHID"/>
    <s v="SUZUKI-GS 150"/>
    <n v="13370"/>
    <n v="11095"/>
    <s v="30092154"/>
    <d v="2024-07-26T00:00:00"/>
    <s v="MOTORCYCLE  COMPREHENSIVE"/>
    <n v="382000"/>
    <n v="1775.2"/>
    <n v="110.95"/>
    <n v="500"/>
  </r>
  <r>
    <s v="KHI/HO/D/MO/MC COMP/P/93937/07/2024"/>
    <m/>
    <x v="7"/>
    <d v="2024-07-26T00:00:00"/>
    <d v="2025-07-26T00:00:00"/>
    <s v="HUNAIN AHMED"/>
    <s v="SUZUKI-GS 150"/>
    <n v="13370"/>
    <n v="11095"/>
    <s v="30092163"/>
    <d v="2024-07-26T00:00:00"/>
    <s v="MOTORCYCLE  COMPREHENSIVE"/>
    <n v="382000"/>
    <n v="1775.2"/>
    <n v="110.95"/>
    <n v="500"/>
  </r>
  <r>
    <s v="KHI/HO/D/MO/MC COMP/P/93938/07/2024"/>
    <m/>
    <x v="7"/>
    <d v="2025-07-27T00:00:00"/>
    <d v="2026-07-27T00:00:00"/>
    <s v="HUNAIN AHMED"/>
    <s v="SUZUKI-GS 150"/>
    <n v="13370"/>
    <n v="11095"/>
    <s v="30092163"/>
    <d v="2024-07-26T00:00:00"/>
    <s v="MOTORCYCLE  COMPREHENSIVE"/>
    <n v="382000"/>
    <n v="1775.2"/>
    <n v="110.95"/>
    <n v="500"/>
  </r>
  <r>
    <s v="KHI/HO/D/MO/MC COMP/P/93944/07/2024"/>
    <m/>
    <x v="11"/>
    <d v="2024-07-26T00:00:00"/>
    <d v="2025-07-26T00:00:00"/>
    <s v="RIZWAN QURESHI"/>
    <s v="SUZUKI-GD-110S"/>
    <n v="12320"/>
    <n v="10190"/>
    <s v="145987"/>
    <d v="2024-07-26T00:00:00"/>
    <s v="MOTORCYCLE  COMPREHENSIVE"/>
    <n v="352000"/>
    <n v="1630.4"/>
    <n v="101.9"/>
    <n v="500"/>
  </r>
  <r>
    <s v="KHI/HO/D/MO/MC COMP/P/93945/07/2024"/>
    <m/>
    <x v="11"/>
    <d v="2025-07-27T00:00:00"/>
    <d v="2026-07-27T00:00:00"/>
    <s v="RIZWAN QURESHI"/>
    <s v="SUZUKI-GD-110S"/>
    <n v="12320"/>
    <n v="10190"/>
    <s v="145987"/>
    <d v="2024-07-26T00:00:00"/>
    <s v="MOTORCYCLE  COMPREHENSIVE"/>
    <n v="352000"/>
    <n v="1630.4"/>
    <n v="101.9"/>
    <n v="500"/>
  </r>
  <r>
    <s v="KHI/HO/D/MO/MC COMP/P/93946/07/2024"/>
    <m/>
    <x v="18"/>
    <d v="2024-07-26T00:00:00"/>
    <d v="2025-07-26T00:00:00"/>
    <s v="MUHAMMAD USMAN SHAHID"/>
    <s v="SUZUKI-GD-110S"/>
    <n v="8800"/>
    <n v="7155"/>
    <s v="144073"/>
    <d v="2024-07-26T00:00:00"/>
    <s v="MOTORCYCLE  COMPREHENSIVE"/>
    <n v="352000"/>
    <n v="1144.8"/>
    <n v="71.55"/>
    <n v="500"/>
  </r>
  <r>
    <s v="KHI/HO/D/MO/MC COMP/P/93948/07/2024"/>
    <m/>
    <x v="4"/>
    <d v="2024-07-26T00:00:00"/>
    <d v="2025-07-26T00:00:00"/>
    <s v="GHULAM AKBAR"/>
    <s v="SUZUKI-GD-110S"/>
    <n v="12320"/>
    <n v="10190"/>
    <s v="146186"/>
    <d v="2024-07-26T00:00:00"/>
    <s v="MOTORCYCLE  COMPREHENSIVE"/>
    <n v="352000"/>
    <n v="1630.4"/>
    <n v="101.9"/>
    <n v="500"/>
  </r>
  <r>
    <s v="KHI/HO/D/MO/MC COMP/P/93949/07/2024"/>
    <m/>
    <x v="11"/>
    <d v="2024-07-26T00:00:00"/>
    <d v="2025-07-26T00:00:00"/>
    <s v="Naeem Sarwar"/>
    <s v="SUZUKI-GS 150"/>
    <n v="13370"/>
    <n v="11095"/>
    <s v="30091933"/>
    <d v="2024-07-26T00:00:00"/>
    <s v="MOTORCYCLE  COMPREHENSIVE"/>
    <n v="382000"/>
    <n v="1775.2"/>
    <n v="110.95"/>
    <n v="500"/>
  </r>
  <r>
    <s v="KHI/HO/D/MO/MC COMP/P/93950/07/2024"/>
    <m/>
    <x v="11"/>
    <d v="2025-07-27T00:00:00"/>
    <d v="2026-07-27T00:00:00"/>
    <s v="Naeem Sarwar"/>
    <s v="SUZUKI-GS 150"/>
    <n v="13370"/>
    <n v="11095"/>
    <s v="30091933"/>
    <d v="2024-07-26T00:00:00"/>
    <s v="MOTORCYCLE  COMPREHENSIVE"/>
    <n v="382000"/>
    <n v="1775.2"/>
    <n v="110.95"/>
    <n v="500"/>
  </r>
  <r>
    <s v="KHI/HO/D/MO/MC COMP/P/93951/07/2024"/>
    <m/>
    <x v="11"/>
    <d v="2024-07-26T00:00:00"/>
    <d v="2025-07-26T00:00:00"/>
    <s v="Imdad Ammar Sherazo"/>
    <s v="SUZUKI-GD-110S"/>
    <n v="12320"/>
    <n v="10190"/>
    <s v="146319"/>
    <d v="2024-07-26T00:00:00"/>
    <s v="MOTORCYCLE  COMPREHENSIVE"/>
    <n v="352000"/>
    <n v="1630.4"/>
    <n v="101.9"/>
    <n v="500"/>
  </r>
  <r>
    <s v="KHI/HO/D/MO/MC COMP/P/93952/07/2024"/>
    <m/>
    <x v="4"/>
    <d v="2024-07-26T00:00:00"/>
    <d v="2025-07-26T00:00:00"/>
    <s v="HAIDER ALI"/>
    <s v="SUZUKI-GD-110S"/>
    <n v="12320"/>
    <n v="10190"/>
    <s v="146185"/>
    <d v="2024-07-26T00:00:00"/>
    <s v="MOTORCYCLE  COMPREHENSIVE"/>
    <n v="352000"/>
    <n v="1630.4"/>
    <n v="101.9"/>
    <n v="500"/>
  </r>
  <r>
    <s v="KHI/HO/D/MO/MC COMP/P/93953/07/2024"/>
    <m/>
    <x v="4"/>
    <d v="2025-07-27T00:00:00"/>
    <d v="2026-07-27T00:00:00"/>
    <s v="HAIDER ALI"/>
    <s v="SUZUKI-GD-110S"/>
    <n v="12320"/>
    <n v="10190"/>
    <s v="146185"/>
    <d v="2024-07-26T00:00:00"/>
    <s v="MOTORCYCLE  COMPREHENSIVE"/>
    <n v="352000"/>
    <n v="1630.4"/>
    <n v="101.9"/>
    <n v="500"/>
  </r>
  <r>
    <s v="KHI/HO/D/MO/MC COMP/P/93955/07/2024"/>
    <m/>
    <x v="0"/>
    <d v="2024-07-27T00:00:00"/>
    <d v="2025-07-27T00:00:00"/>
    <s v="MUHAMMAD FARAZ"/>
    <s v="SUZUKI-GD-110S"/>
    <n v="12320"/>
    <n v="10190"/>
    <s v="146090"/>
    <d v="2024-07-27T00:00:00"/>
    <s v="MOTORCYCLE  COMPREHENSIVE"/>
    <n v="352000"/>
    <n v="1630.4"/>
    <n v="101.9"/>
    <n v="500"/>
  </r>
  <r>
    <s v="KHI/HO/D/MO/MC COMP/P/93956/07/2024"/>
    <m/>
    <x v="0"/>
    <d v="2025-07-28T00:00:00"/>
    <d v="2026-07-28T00:00:00"/>
    <s v="MUHAMMAD FARAZ"/>
    <s v="SUZUKI-GD-110S"/>
    <n v="12320"/>
    <n v="10190"/>
    <s v="146090"/>
    <d v="2024-07-27T00:00:00"/>
    <s v="MOTORCYCLE  COMPREHENSIVE"/>
    <n v="352000"/>
    <n v="1630.4"/>
    <n v="101.9"/>
    <n v="500"/>
  </r>
  <r>
    <s v="KHI/HO/D/MO/MC COMP/P/93957/07/2024"/>
    <m/>
    <x v="0"/>
    <d v="2024-07-27T00:00:00"/>
    <d v="2025-07-27T00:00:00"/>
    <s v="MUHAMMAD JAVED"/>
    <s v="SUZUKI-GR150 EURO II"/>
    <n v="19145"/>
    <n v="16073"/>
    <s v="113322"/>
    <d v="2024-07-27T00:00:00"/>
    <s v="MOTORCYCLE  COMPREHENSIVE"/>
    <n v="547000"/>
    <n v="2571.6799999999998"/>
    <n v="160.72999999999999"/>
    <n v="500"/>
  </r>
  <r>
    <s v="KHI/HO/D/MO/MC COMP/P/93958/07/2024"/>
    <m/>
    <x v="0"/>
    <d v="2025-07-28T00:00:00"/>
    <d v="2026-07-28T00:00:00"/>
    <s v="MUHAMMAD JAVED"/>
    <s v="SUZUKI-GR150 EURO II"/>
    <n v="19145"/>
    <n v="16073"/>
    <s v="113322"/>
    <d v="2024-07-27T00:00:00"/>
    <s v="MOTORCYCLE  COMPREHENSIVE"/>
    <n v="547000"/>
    <n v="2571.6799999999998"/>
    <n v="160.72999999999999"/>
    <n v="500"/>
  </r>
  <r>
    <s v="KHI/HO/D/MO/MC COMP/P/93959/07/2024"/>
    <m/>
    <x v="1"/>
    <d v="2024-07-27T00:00:00"/>
    <d v="2025-07-27T00:00:00"/>
    <s v="MUHAMMAD SAJID JAVED"/>
    <s v="SUZUKI-GR150 EURO II"/>
    <n v="19145"/>
    <n v="16073"/>
    <s v="113396"/>
    <d v="2024-07-27T00:00:00"/>
    <s v="MOTORCYCLE  COMPREHENSIVE"/>
    <n v="547000"/>
    <n v="2571.6799999999998"/>
    <n v="160.72999999999999"/>
    <n v="500"/>
  </r>
  <r>
    <s v="KHI/HO/D/MO/MC COMP/P/93960/07/2024"/>
    <m/>
    <x v="1"/>
    <d v="2025-07-28T00:00:00"/>
    <d v="2026-07-28T00:00:00"/>
    <s v="MUHAMMAD SAJID JAVED"/>
    <s v="SUZUKI-GR150 EURO II"/>
    <n v="19145"/>
    <n v="16073"/>
    <s v="113396"/>
    <d v="2024-07-27T00:00:00"/>
    <s v="MOTORCYCLE  COMPREHENSIVE"/>
    <n v="547000"/>
    <n v="2571.6799999999998"/>
    <n v="160.72999999999999"/>
    <n v="500"/>
  </r>
  <r>
    <s v="KHI/HO/D/MO/MC COMP/P/93961/07/2024"/>
    <m/>
    <x v="1"/>
    <d v="2024-07-27T00:00:00"/>
    <d v="2025-07-27T00:00:00"/>
    <s v="SYED ASHAR ALI"/>
    <s v="SUZUKI-GR150 EURO II"/>
    <n v="19145"/>
    <n v="16073"/>
    <s v="113268"/>
    <d v="2024-07-27T00:00:00"/>
    <s v="MOTORCYCLE  COMPREHENSIVE"/>
    <n v="547000"/>
    <n v="2571.6799999999998"/>
    <n v="160.72999999999999"/>
    <n v="500"/>
  </r>
  <r>
    <s v="KHI/HO/D/MO/MC COMP/P/93962/07/2024"/>
    <m/>
    <x v="1"/>
    <d v="2025-07-28T00:00:00"/>
    <d v="2026-07-28T00:00:00"/>
    <s v="SYED ASHAR ALI"/>
    <s v="SUZUKI-GR150 EURO II"/>
    <n v="19145"/>
    <n v="16073"/>
    <s v="113268"/>
    <d v="2024-07-27T00:00:00"/>
    <s v="MOTORCYCLE  COMPREHENSIVE"/>
    <n v="547000"/>
    <n v="2571.6799999999998"/>
    <n v="160.72999999999999"/>
    <n v="500"/>
  </r>
  <r>
    <s v="KHI/HO/D/MO/MC COMP/P/93963/07/2024"/>
    <m/>
    <x v="2"/>
    <d v="2024-07-27T00:00:00"/>
    <d v="2025-07-27T00:00:00"/>
    <s v="ASAD ULLAH"/>
    <s v="SUZUKI-GD-110S"/>
    <n v="12320"/>
    <n v="10190"/>
    <s v="146169"/>
    <d v="2024-07-27T00:00:00"/>
    <s v="MOTORCYCLE  COMPREHENSIVE"/>
    <n v="352000"/>
    <n v="1630.4"/>
    <n v="101.9"/>
    <n v="500"/>
  </r>
  <r>
    <s v="KHI/HO/D/MO/MC COMP/P/93964/07/2024"/>
    <m/>
    <x v="2"/>
    <d v="2025-07-28T00:00:00"/>
    <d v="2026-07-28T00:00:00"/>
    <s v="ASAD ULLAH"/>
    <s v="SUZUKI-GD-110S"/>
    <n v="12320"/>
    <n v="10190"/>
    <s v="146169"/>
    <d v="2024-07-27T00:00:00"/>
    <s v="MOTORCYCLE  COMPREHENSIVE"/>
    <n v="352000"/>
    <n v="1630.4"/>
    <n v="101.9"/>
    <n v="500"/>
  </r>
  <r>
    <s v="KHI/HO/D/MO/MC COMP/P/93965/07/2024"/>
    <m/>
    <x v="1"/>
    <d v="2024-07-27T00:00:00"/>
    <d v="2025-07-27T00:00:00"/>
    <s v="Syed Taha Abbas Naqvi"/>
    <s v="SUZUKI-GR150 EURO II"/>
    <n v="19145"/>
    <n v="16073"/>
    <s v="113419"/>
    <d v="2024-07-27T00:00:00"/>
    <s v="MOTORCYCLE  COMPREHENSIVE"/>
    <n v="547000"/>
    <n v="2571.6799999999998"/>
    <n v="160.72999999999999"/>
    <n v="500"/>
  </r>
  <r>
    <s v="KHI/HO/D/MO/MC COMP/P/93966/07/2024"/>
    <m/>
    <x v="1"/>
    <d v="2024-07-27T00:00:00"/>
    <d v="2025-07-27T00:00:00"/>
    <s v="PARSHAN KUMAR"/>
    <s v="SUZUKI-GS 150"/>
    <n v="13370"/>
    <n v="11095"/>
    <s v="30092187"/>
    <d v="2024-07-27T00:00:00"/>
    <s v="MOTORCYCLE  COMPREHENSIVE"/>
    <n v="382000"/>
    <n v="1775.2"/>
    <n v="110.95"/>
    <n v="500"/>
  </r>
  <r>
    <s v="KHI/HO/D/MO/MC COMP/P/93967/07/2024"/>
    <m/>
    <x v="1"/>
    <d v="2025-07-28T00:00:00"/>
    <d v="2026-07-28T00:00:00"/>
    <s v="PARSHAN KUMAR"/>
    <s v="SUZUKI-GS 150"/>
    <n v="13370"/>
    <n v="11095"/>
    <s v="30092187"/>
    <d v="2024-07-27T00:00:00"/>
    <s v="MOTORCYCLE  COMPREHENSIVE"/>
    <n v="382000"/>
    <n v="1775.2"/>
    <n v="110.95"/>
    <n v="500"/>
  </r>
  <r>
    <s v="KHI/HO/D/MO/MC COMP/P/93968/07/2024"/>
    <m/>
    <x v="1"/>
    <d v="2024-07-27T00:00:00"/>
    <d v="2025-07-27T00:00:00"/>
    <s v="ABDUL RAUF MANZOOR"/>
    <s v="SUZUKI-GS 150"/>
    <n v="13370"/>
    <n v="11095"/>
    <s v="30092198"/>
    <d v="2024-07-27T00:00:00"/>
    <s v="MOTORCYCLE  COMPREHENSIVE"/>
    <n v="382000"/>
    <n v="1775.2"/>
    <n v="110.95"/>
    <n v="500"/>
  </r>
  <r>
    <s v="KHI/HO/D/MO/MC COMP/P/93969/07/2024"/>
    <m/>
    <x v="1"/>
    <d v="2025-07-28T00:00:00"/>
    <d v="2026-07-28T00:00:00"/>
    <s v="ABDUL RAUF MANZOOR"/>
    <s v="SUZUKI-GS 150"/>
    <n v="13370"/>
    <n v="11095"/>
    <s v="30092198"/>
    <d v="2024-07-27T00:00:00"/>
    <s v="MOTORCYCLE  COMPREHENSIVE"/>
    <n v="382000"/>
    <n v="1775.2"/>
    <n v="110.95"/>
    <n v="500"/>
  </r>
  <r>
    <s v="KHI/HO/D/MO/MC COMP/P/93974/07/2024"/>
    <m/>
    <x v="1"/>
    <d v="2024-07-27T00:00:00"/>
    <d v="2025-07-27T00:00:00"/>
    <s v="Muhammad Yaseen"/>
    <s v="SUZUKI-GD-110S"/>
    <n v="12320"/>
    <n v="10190"/>
    <s v="145907"/>
    <d v="2024-07-27T00:00:00"/>
    <s v="MOTORCYCLE  COMPREHENSIVE"/>
    <n v="352000"/>
    <n v="1630.4"/>
    <n v="101.9"/>
    <n v="500"/>
  </r>
  <r>
    <s v="KHI/HO/D/MO/MC COMP/P/93975/07/2024"/>
    <m/>
    <x v="1"/>
    <d v="2025-07-28T00:00:00"/>
    <d v="2026-07-28T00:00:00"/>
    <s v="Muhammad Yaseen"/>
    <s v="SUZUKI-GD-110S"/>
    <n v="12320"/>
    <n v="10190"/>
    <s v="145907"/>
    <d v="2024-07-27T00:00:00"/>
    <s v="MOTORCYCLE  COMPREHENSIVE"/>
    <n v="352000"/>
    <n v="1630.4"/>
    <n v="101.9"/>
    <n v="500"/>
  </r>
  <r>
    <s v="KHI/HO/D/MO/MC COMP/P/93982/07/2024"/>
    <m/>
    <x v="14"/>
    <d v="2024-07-27T00:00:00"/>
    <d v="2025-07-27T00:00:00"/>
    <s v="ANAS"/>
    <s v="SUZUKI-GD-110S"/>
    <n v="8800"/>
    <n v="7155"/>
    <s v="145748"/>
    <d v="2024-07-27T00:00:00"/>
    <s v="MOTORCYCLE  COMPREHENSIVE"/>
    <n v="352000"/>
    <n v="1144.8"/>
    <n v="71.55"/>
    <n v="500"/>
  </r>
  <r>
    <s v="KHI/HO/D/MO/MC COMP/P/93983/07/2024"/>
    <m/>
    <x v="14"/>
    <d v="2024-07-27T00:00:00"/>
    <d v="2025-07-27T00:00:00"/>
    <s v="ADNAN SALEEM"/>
    <s v="SUZUKI-GD-110S"/>
    <n v="8800"/>
    <n v="7155"/>
    <s v="145365"/>
    <d v="2024-07-27T00:00:00"/>
    <s v="MOTORCYCLE  COMPREHENSIVE"/>
    <n v="352000"/>
    <n v="1144.8"/>
    <n v="71.55"/>
    <n v="500"/>
  </r>
  <r>
    <s v="KHI/HO/D/MO/MC COMP/P/93985/07/2024"/>
    <m/>
    <x v="14"/>
    <d v="2024-07-27T00:00:00"/>
    <d v="2025-07-27T00:00:00"/>
    <s v="MUHAMMAD NADEEM"/>
    <s v="SUZUKI-GD-110S"/>
    <n v="8800"/>
    <n v="7155"/>
    <s v="145756"/>
    <d v="2024-07-27T00:00:00"/>
    <s v="MOTORCYCLE  COMPREHENSIVE"/>
    <n v="352000"/>
    <n v="1144.8"/>
    <n v="71.55"/>
    <n v="500"/>
  </r>
  <r>
    <s v="KHI/HO/D/MO/MC COMP/P/93986/07/2024"/>
    <m/>
    <x v="14"/>
    <d v="2024-07-27T00:00:00"/>
    <d v="2025-07-27T00:00:00"/>
    <s v="SAJJAD AKMAL"/>
    <s v="SUZUKI-GS-150"/>
    <n v="9550"/>
    <n v="7802"/>
    <s v="30091996"/>
    <d v="2024-07-27T00:00:00"/>
    <s v="MOTORCYCLE  COMPREHENSIVE"/>
    <n v="382000"/>
    <n v="1248.32"/>
    <n v="78.02"/>
    <n v="500"/>
  </r>
  <r>
    <s v="KHI/HO/D/MO/MC COMP/P/93987/07/2024"/>
    <m/>
    <x v="14"/>
    <d v="2024-07-27T00:00:00"/>
    <d v="2025-07-27T00:00:00"/>
    <s v="NAVEED AHMAD"/>
    <s v="SUZUKI-GD-110S"/>
    <n v="8800"/>
    <n v="7155"/>
    <s v="145350"/>
    <d v="2024-07-27T00:00:00"/>
    <s v="MOTORCYCLE  COMPREHENSIVE"/>
    <n v="352000"/>
    <n v="1144.8"/>
    <n v="71.55"/>
    <n v="500"/>
  </r>
  <r>
    <s v="KHI/HO/D/MO/MC COMP/P/93988/07/2024"/>
    <m/>
    <x v="14"/>
    <d v="2024-07-27T00:00:00"/>
    <d v="2025-07-27T00:00:00"/>
    <s v="MUNIR HUSNAIN"/>
    <s v="SUZUKI-GD-110S"/>
    <n v="8800"/>
    <n v="7155"/>
    <s v="144283"/>
    <d v="2024-07-27T00:00:00"/>
    <s v="MOTORCYCLE  COMPREHENSIVE"/>
    <n v="352000"/>
    <n v="1144.8"/>
    <n v="71.55"/>
    <n v="500"/>
  </r>
  <r>
    <s v="KHI/HO/D/MO/MC COMP/P/93989/07/2024"/>
    <m/>
    <x v="14"/>
    <d v="2024-07-27T00:00:00"/>
    <d v="2025-07-27T00:00:00"/>
    <s v="MUHAMMAD TAHIR MUNIR"/>
    <s v="SUZUKI-GD-110S"/>
    <n v="8800"/>
    <n v="7155"/>
    <s v="144276"/>
    <d v="2024-07-27T00:00:00"/>
    <s v="MOTORCYCLE  COMPREHENSIVE"/>
    <n v="352000"/>
    <n v="1144.8"/>
    <n v="71.55"/>
    <n v="500"/>
  </r>
  <r>
    <s v="KHI/HO/D/MO/MC COMP/P/93991/07/2024"/>
    <m/>
    <x v="1"/>
    <d v="2024-07-27T00:00:00"/>
    <d v="2025-07-27T00:00:00"/>
    <s v="ASIF WAHEED"/>
    <s v="SUZUKI-GD-110S"/>
    <n v="12320"/>
    <n v="10190"/>
    <s v="146002"/>
    <d v="2024-07-27T00:00:00"/>
    <s v="MOTORCYCLE  COMPREHENSIVE"/>
    <n v="352000"/>
    <n v="1630.4"/>
    <n v="101.9"/>
    <n v="500"/>
  </r>
  <r>
    <s v="KHI/HO/D/MO/MC COMP/P/93992/07/2024"/>
    <m/>
    <x v="1"/>
    <d v="2025-07-28T00:00:00"/>
    <d v="2026-07-28T00:00:00"/>
    <s v="ASIF WAHEED"/>
    <s v="SUZUKI-GD-110S"/>
    <n v="12320"/>
    <n v="10190"/>
    <s v="146002"/>
    <d v="2024-07-27T00:00:00"/>
    <s v="MOTORCYCLE  COMPREHENSIVE"/>
    <n v="352000"/>
    <n v="1630.4"/>
    <n v="101.9"/>
    <n v="500"/>
  </r>
  <r>
    <s v="KHI/HO/D/MO/MC COMP/P/93993/07/2024"/>
    <m/>
    <x v="1"/>
    <d v="2024-07-27T00:00:00"/>
    <d v="2025-07-27T00:00:00"/>
    <s v="SAHHAM RAGADIA"/>
    <s v="SUZUKI-GD-110S"/>
    <n v="12320"/>
    <n v="10190"/>
    <s v="145932"/>
    <d v="2024-07-27T00:00:00"/>
    <s v="MOTORCYCLE  COMPREHENSIVE"/>
    <n v="352000"/>
    <n v="1630.4"/>
    <n v="101.9"/>
    <n v="500"/>
  </r>
  <r>
    <s v="KHI/HO/D/MO/MC COMP/P/93994/07/2024"/>
    <m/>
    <x v="1"/>
    <d v="2025-07-28T00:00:00"/>
    <d v="2026-07-28T00:00:00"/>
    <s v="SAHHAM RAGADIA"/>
    <s v="SUZUKI-GD-110S"/>
    <n v="12320"/>
    <n v="10190"/>
    <s v="145932"/>
    <d v="2024-07-27T00:00:00"/>
    <s v="MOTORCYCLE  COMPREHENSIVE"/>
    <n v="352000"/>
    <n v="1630.4"/>
    <n v="101.9"/>
    <n v="500"/>
  </r>
  <r>
    <s v="KHI/HO/D/MO/MC COMP/P/94022/07/2024"/>
    <m/>
    <x v="5"/>
    <d v="2024-07-29T00:00:00"/>
    <d v="2025-07-29T00:00:00"/>
    <s v="ALEEZAR KHOKHAR"/>
    <s v="SUZUKI-GD-110S"/>
    <n v="8800"/>
    <n v="7155"/>
    <s v="141612"/>
    <d v="2024-07-29T00:00:00"/>
    <s v="MOTORCYCLE  COMPREHENSIVE"/>
    <n v="352000"/>
    <n v="1144.8"/>
    <n v="71.55"/>
    <n v="500"/>
  </r>
  <r>
    <s v="KHI/HO/D/MO/MC COMP/P/94030/07/2024"/>
    <m/>
    <x v="2"/>
    <d v="2024-07-29T00:00:00"/>
    <d v="2025-07-29T00:00:00"/>
    <s v="SHAHID ENGINEERING WORKS"/>
    <s v="SUZUKI-GD-110S"/>
    <n v="12320"/>
    <n v="10190"/>
    <s v="146172"/>
    <d v="2024-07-29T00:00:00"/>
    <s v="MOTORCYCLE  COMPREHENSIVE"/>
    <n v="352000"/>
    <n v="1630.4"/>
    <n v="101.9"/>
    <n v="500"/>
  </r>
  <r>
    <s v="KHI/HO/D/MO/MC COMP/P/94031/07/2024"/>
    <m/>
    <x v="2"/>
    <d v="2025-07-30T00:00:00"/>
    <d v="2026-07-30T00:00:00"/>
    <s v="SHAHID ENGINEERING WORKS"/>
    <s v="SUZUKI-GD-110S"/>
    <n v="12320"/>
    <n v="10190"/>
    <s v="146172"/>
    <d v="2024-07-29T00:00:00"/>
    <s v="MOTORCYCLE  COMPREHENSIVE"/>
    <n v="352000"/>
    <n v="1630.4"/>
    <n v="101.9"/>
    <n v="500"/>
  </r>
  <r>
    <s v="KHI/HO/D/MO/MC COMP/P/94036/07/2024"/>
    <m/>
    <x v="5"/>
    <d v="2024-07-29T00:00:00"/>
    <d v="2025-07-29T00:00:00"/>
    <s v="YOUSAF KHAN"/>
    <s v="SUZUKI-GD-110S"/>
    <n v="8800"/>
    <n v="7155"/>
    <s v="146023"/>
    <d v="2024-07-29T00:00:00"/>
    <s v="MOTORCYCLE  COMPREHENSIVE"/>
    <n v="352000"/>
    <n v="1144.8"/>
    <n v="71.55"/>
    <n v="500"/>
  </r>
  <r>
    <s v="KHI/HO/D/MO/MC COMP/P/94039/07/2024"/>
    <m/>
    <x v="5"/>
    <d v="2024-07-29T00:00:00"/>
    <d v="2025-07-29T00:00:00"/>
    <s v="QAMAR ABBAS"/>
    <s v="SUZUKI-GD-110S"/>
    <n v="8800"/>
    <n v="7155"/>
    <s v="145869"/>
    <d v="2024-07-29T00:00:00"/>
    <s v="MOTORCYCLE  COMPREHENSIVE"/>
    <n v="352000"/>
    <n v="1144.8"/>
    <n v="71.55"/>
    <n v="500"/>
  </r>
  <r>
    <s v="KHI/HO/D/MO/MC COMP/P/94040/07/2024"/>
    <m/>
    <x v="5"/>
    <d v="2024-07-29T00:00:00"/>
    <d v="2025-07-29T00:00:00"/>
    <s v="TAHIR AZIZ"/>
    <s v="SUZUKI-GD-110S"/>
    <n v="8800"/>
    <n v="7155"/>
    <s v="146485"/>
    <d v="2024-07-29T00:00:00"/>
    <s v="MOTORCYCLE  COMPREHENSIVE"/>
    <n v="352000"/>
    <n v="1144.8"/>
    <n v="71.55"/>
    <n v="500"/>
  </r>
  <r>
    <s v="KHI/HO/D/MO/MC COMP/P/94041/07/2024"/>
    <m/>
    <x v="5"/>
    <d v="2024-07-29T00:00:00"/>
    <d v="2025-07-29T00:00:00"/>
    <s v="ZAFAR IQBAL"/>
    <s v="SUZUKI-GD-110S"/>
    <n v="8800"/>
    <n v="7155"/>
    <s v="146003"/>
    <d v="2024-07-29T00:00:00"/>
    <s v="MOTORCYCLE  COMPREHENSIVE"/>
    <n v="352000"/>
    <n v="1144.8"/>
    <n v="71.55"/>
    <n v="500"/>
  </r>
  <r>
    <s v="KHI/HO/D/MO/MC COMP/P/94043/07/2024"/>
    <m/>
    <x v="5"/>
    <d v="2024-07-29T00:00:00"/>
    <d v="2025-07-29T00:00:00"/>
    <s v="MUHAMAMD TAYYAB"/>
    <s v="SUZUKI-GD-110S"/>
    <n v="8800"/>
    <n v="7155"/>
    <s v="146011"/>
    <d v="2024-07-29T00:00:00"/>
    <s v="MOTORCYCLE  COMPREHENSIVE"/>
    <n v="352000"/>
    <n v="1144.8"/>
    <n v="71.55"/>
    <n v="500"/>
  </r>
  <r>
    <s v="KHI/HO/D/MO/MC COMP/P/94047/07/2024"/>
    <m/>
    <x v="10"/>
    <d v="2024-07-29T00:00:00"/>
    <d v="2025-07-29T00:00:00"/>
    <s v="RIZWAN"/>
    <s v="SUZUKI-GD-110S"/>
    <n v="8800"/>
    <n v="7155"/>
    <s v="142951"/>
    <d v="2024-07-29T00:00:00"/>
    <s v="MOTORCYCLE  COMPREHENSIVE"/>
    <n v="352000"/>
    <n v="1144.8"/>
    <n v="71.55"/>
    <n v="500"/>
  </r>
  <r>
    <s v="KHI/HO/D/MO/MC COMP/P/94049/07/2024"/>
    <m/>
    <x v="5"/>
    <d v="2024-07-29T00:00:00"/>
    <d v="2025-07-29T00:00:00"/>
    <s v="UMAR FAROOQ"/>
    <s v="SUZUKI-GD-110S"/>
    <n v="8800"/>
    <n v="7155"/>
    <s v="146017"/>
    <d v="2024-07-29T00:00:00"/>
    <s v="MOTORCYCLE  COMPREHENSIVE"/>
    <n v="352000"/>
    <n v="1144.8"/>
    <n v="71.55"/>
    <n v="500"/>
  </r>
  <r>
    <s v="KHI/HO/D/MO/MC COMP/P/94052/07/2024"/>
    <m/>
    <x v="18"/>
    <d v="2024-07-29T00:00:00"/>
    <d v="2025-07-29T00:00:00"/>
    <s v="HUNAIN TARIQ ASIF"/>
    <s v="SUZUKI-GD-110S"/>
    <n v="8800"/>
    <n v="7155"/>
    <s v="144386"/>
    <d v="2024-07-29T00:00:00"/>
    <s v="MOTORCYCLE  COMPREHENSIVE"/>
    <n v="352000"/>
    <n v="1144.8"/>
    <n v="71.55"/>
    <n v="500"/>
  </r>
  <r>
    <s v="KHI/HO/D/MO/MC COMP/P/94053/07/2024"/>
    <m/>
    <x v="5"/>
    <d v="2024-07-29T00:00:00"/>
    <d v="2025-07-29T00:00:00"/>
    <s v="AHMAD RIAZ"/>
    <s v="SUZUKI-GD-110S"/>
    <n v="8800"/>
    <n v="7155"/>
    <s v="146006"/>
    <d v="2024-07-29T00:00:00"/>
    <s v="MOTORCYCLE  COMPREHENSIVE"/>
    <n v="352000"/>
    <n v="1144.8"/>
    <n v="71.55"/>
    <n v="500"/>
  </r>
  <r>
    <s v="KHI/HO/D/MO/MC COMP/P/94054/07/2024"/>
    <m/>
    <x v="12"/>
    <d v="2024-07-29T00:00:00"/>
    <d v="2025-07-29T00:00:00"/>
    <s v="MUHAMMAD FAROOQ"/>
    <s v="SUZUKI-GS 150"/>
    <n v="13370"/>
    <n v="11095"/>
    <s v="30092264"/>
    <d v="2024-07-29T00:00:00"/>
    <s v="MOTORCYCLE  COMPREHENSIVE"/>
    <n v="382000"/>
    <n v="1775.2"/>
    <n v="110.95"/>
    <n v="500"/>
  </r>
  <r>
    <s v="KHI/HO/D/MO/MC COMP/P/94055/07/2024"/>
    <m/>
    <x v="12"/>
    <d v="2025-07-30T00:00:00"/>
    <d v="2026-07-30T00:00:00"/>
    <s v="MUHAMMAD FAROOQ"/>
    <s v="SUZUKI-GS 150"/>
    <n v="13370"/>
    <n v="11095"/>
    <s v="30092264"/>
    <d v="2024-07-29T00:00:00"/>
    <s v="MOTORCYCLE  COMPREHENSIVE"/>
    <n v="382000"/>
    <n v="1775.2"/>
    <n v="110.95"/>
    <n v="500"/>
  </r>
  <r>
    <s v="KHI/HO/D/MO/MC COMP/P/94056/07/2024"/>
    <m/>
    <x v="5"/>
    <d v="2024-07-29T00:00:00"/>
    <d v="2025-07-29T00:00:00"/>
    <s v="INAMU ULLAH"/>
    <s v="SUZUKI-GR150 EURO II"/>
    <n v="13675"/>
    <n v="11358"/>
    <s v="113400"/>
    <d v="2024-07-29T00:00:00"/>
    <s v="MOTORCYCLE  COMPREHENSIVE"/>
    <n v="547000"/>
    <n v="1817.28"/>
    <n v="113.58"/>
    <n v="500"/>
  </r>
  <r>
    <s v="KHI/HO/D/MO/MC COMP/P/94058/07/2024"/>
    <m/>
    <x v="5"/>
    <d v="2024-07-29T00:00:00"/>
    <d v="2025-07-29T00:00:00"/>
    <s v="RANA NAEEM"/>
    <s v="SUZUKI-GSX 125"/>
    <n v="12475"/>
    <n v="10323"/>
    <s v="23102486"/>
    <d v="2024-07-29T00:00:00"/>
    <s v="MOTORCYCLE  COMPREHENSIVE"/>
    <n v="499000"/>
    <n v="1651.68"/>
    <n v="103.23"/>
    <n v="500"/>
  </r>
  <r>
    <s v="KHI/HO/D/MO/MC COMP/P/94059/07/2024"/>
    <m/>
    <x v="12"/>
    <d v="2024-07-29T00:00:00"/>
    <d v="2025-07-29T00:00:00"/>
    <s v="MUHAMMAD ZEESHAN"/>
    <s v="SUZUKI-GS 150"/>
    <n v="13370"/>
    <n v="11095"/>
    <s v="30092298"/>
    <d v="2024-07-29T00:00:00"/>
    <s v="MOTORCYCLE  COMPREHENSIVE"/>
    <n v="382000"/>
    <n v="1775.2"/>
    <n v="110.95"/>
    <n v="500"/>
  </r>
  <r>
    <s v="KHI/HO/D/MO/MC COMP/P/94060/07/2024"/>
    <m/>
    <x v="12"/>
    <d v="2025-07-30T00:00:00"/>
    <d v="2026-07-30T00:00:00"/>
    <s v="MUHAMMAD ZEESHAN"/>
    <s v="SUZUKI-GS 150"/>
    <n v="13370"/>
    <n v="11095"/>
    <s v="30092298"/>
    <d v="2024-07-29T00:00:00"/>
    <s v="MOTORCYCLE  COMPREHENSIVE"/>
    <n v="382000"/>
    <n v="1775.2"/>
    <n v="110.95"/>
    <n v="500"/>
  </r>
  <r>
    <s v="KHI/HO/D/MO/MC COMP/P/94074/07/2024"/>
    <m/>
    <x v="19"/>
    <d v="2024-07-29T00:00:00"/>
    <d v="2025-07-29T00:00:00"/>
    <s v="MUHAMMAD HUSSAIN"/>
    <s v="SUZUKI-GD-110S"/>
    <n v="12320"/>
    <n v="10190"/>
    <s v="146204"/>
    <d v="2024-07-29T00:00:00"/>
    <s v="MOTORCYCLE  COMPREHENSIVE"/>
    <n v="352000"/>
    <n v="1630.4"/>
    <n v="101.9"/>
    <n v="500"/>
  </r>
  <r>
    <s v="KHI/HO/D/MO/MC COMP/P/94075/07/2024"/>
    <m/>
    <x v="19"/>
    <d v="2025-07-30T00:00:00"/>
    <d v="2026-07-30T00:00:00"/>
    <s v="MUHAMMAD HUSSAIN"/>
    <s v="SUZUKI-GD-110S"/>
    <n v="12320"/>
    <n v="10190"/>
    <s v="146204"/>
    <d v="2024-07-29T00:00:00"/>
    <s v="MOTORCYCLE  COMPREHENSIVE"/>
    <n v="352000"/>
    <n v="1630.4"/>
    <n v="101.9"/>
    <n v="500"/>
  </r>
  <r>
    <s v="KHI/HO/D/MO/MC COMP/P/94080/07/2024"/>
    <m/>
    <x v="27"/>
    <d v="2024-07-29T00:00:00"/>
    <d v="2025-07-29T00:00:00"/>
    <s v="MUHAMMAD WAQAR"/>
    <s v="SUZUKI-GD-110S"/>
    <n v="8800"/>
    <n v="7155"/>
    <s v="145475"/>
    <d v="2024-07-29T00:00:00"/>
    <s v="MOTORCYCLE  COMPREHENSIVE"/>
    <n v="352000"/>
    <n v="1144.8"/>
    <n v="71.55"/>
    <n v="500"/>
  </r>
  <r>
    <s v="KHI/HO/D/MO/MC COMP/P/94081/07/2024"/>
    <m/>
    <x v="22"/>
    <d v="2024-07-29T00:00:00"/>
    <d v="2025-07-29T00:00:00"/>
    <s v="MALIK MUHAMMAD FAISAL"/>
    <s v="SUZUKI-GD-110S"/>
    <n v="8800"/>
    <n v="7155"/>
    <s v="144853"/>
    <d v="2024-07-29T00:00:00"/>
    <s v="MOTORCYCLE  COMPREHENSIVE"/>
    <n v="352000"/>
    <n v="1144.8"/>
    <n v="71.55"/>
    <n v="500"/>
  </r>
  <r>
    <s v="KHI/HO/D/MO/MC COMP/P/94082/07/2024"/>
    <m/>
    <x v="9"/>
    <d v="2024-07-29T00:00:00"/>
    <d v="2025-07-29T00:00:00"/>
    <s v="CH MUHAMMAD USMAN"/>
    <s v="SUZUKI-GS 150"/>
    <n v="9550"/>
    <n v="7802"/>
    <s v="30091872"/>
    <d v="2024-07-29T00:00:00"/>
    <s v="MOTORCYCLE  COMPREHENSIVE"/>
    <n v="382000"/>
    <n v="1248.32"/>
    <n v="78.02"/>
    <n v="500"/>
  </r>
  <r>
    <s v="KHI/HO/D/MO/MC COMP/P/94083/07/2024"/>
    <m/>
    <x v="2"/>
    <d v="2024-07-29T00:00:00"/>
    <d v="2025-07-29T00:00:00"/>
    <s v="AFAQ AFSAR"/>
    <s v="SUZUKI-GD-110S"/>
    <n v="12320"/>
    <n v="10190"/>
    <s v="146388"/>
    <d v="2024-07-29T00:00:00"/>
    <s v="MOTORCYCLE  COMPREHENSIVE"/>
    <n v="352000"/>
    <n v="1630.4"/>
    <n v="101.9"/>
    <n v="500"/>
  </r>
  <r>
    <s v="KHI/HO/D/MO/MC COMP/P/94093/07/2024"/>
    <m/>
    <x v="19"/>
    <d v="2024-07-29T00:00:00"/>
    <d v="2025-07-29T00:00:00"/>
    <s v="NASIR ALI"/>
    <s v="SUZUKI-GR150 EURO II"/>
    <n v="19145"/>
    <n v="16073"/>
    <s v="113340"/>
    <d v="2024-07-29T00:00:00"/>
    <s v="MOTORCYCLE  COMPREHENSIVE"/>
    <n v="547000"/>
    <n v="2571.6799999999998"/>
    <n v="160.72999999999999"/>
    <n v="500"/>
  </r>
  <r>
    <s v="KHI/HO/D/MO/MC COMP/P/94094/07/2024"/>
    <m/>
    <x v="19"/>
    <d v="2025-07-30T00:00:00"/>
    <d v="2026-07-30T00:00:00"/>
    <s v="NASIR ALI"/>
    <s v="SUZUKI-GR150 EURO II"/>
    <n v="19145"/>
    <n v="16073"/>
    <s v="113340"/>
    <d v="2024-07-29T00:00:00"/>
    <s v="MOTORCYCLE  COMPREHENSIVE"/>
    <n v="547000"/>
    <n v="2571.6799999999998"/>
    <n v="160.72999999999999"/>
    <n v="500"/>
  </r>
  <r>
    <s v="KHI/HO/D/MO/MC COMP/P/94098/07/2024"/>
    <m/>
    <x v="5"/>
    <d v="2024-07-29T00:00:00"/>
    <d v="2025-07-29T00:00:00"/>
    <s v="ZEESHAN AHMAD"/>
    <s v="SUZUKI-GD-110S"/>
    <n v="8800"/>
    <n v="7155"/>
    <s v="146028"/>
    <d v="2024-07-29T00:00:00"/>
    <s v="MOTORCYCLE  COMPREHENSIVE"/>
    <n v="352000"/>
    <n v="1144.8"/>
    <n v="71.55"/>
    <n v="500"/>
  </r>
  <r>
    <s v="KHI/HO/D/MO/MC COMP/P/94099/07/2024"/>
    <m/>
    <x v="5"/>
    <d v="2024-07-29T00:00:00"/>
    <d v="2025-07-29T00:00:00"/>
    <s v="MUHAMAMD SALEEM"/>
    <s v="SUZUKI-GD-110S"/>
    <n v="8800"/>
    <n v="7155"/>
    <s v="145856"/>
    <d v="2024-07-29T00:00:00"/>
    <s v="MOTORCYCLE  COMPREHENSIVE"/>
    <n v="352000"/>
    <n v="1144.8"/>
    <n v="71.55"/>
    <n v="500"/>
  </r>
  <r>
    <s v="KHI/HO/D/MO/MC COMP/P/94100/07/2024"/>
    <m/>
    <x v="5"/>
    <d v="2024-07-29T00:00:00"/>
    <d v="2025-07-29T00:00:00"/>
    <s v="RANA MUHAMMAD AHMAD JAVED"/>
    <s v="SUZUKI-GD-110S"/>
    <n v="8800"/>
    <n v="7155"/>
    <s v="146027"/>
    <d v="2024-07-29T00:00:00"/>
    <s v="MOTORCYCLE  COMPREHENSIVE"/>
    <n v="352000"/>
    <n v="1144.8"/>
    <n v="71.55"/>
    <n v="500"/>
  </r>
  <r>
    <s v="KHI/HO/D/MO/MC COMP/P/94101/07/2024"/>
    <m/>
    <x v="5"/>
    <d v="2024-07-29T00:00:00"/>
    <d v="2025-07-29T00:00:00"/>
    <s v="SAKNDAR E AZAM"/>
    <s v="SUZUKI-GD-110S"/>
    <n v="8800"/>
    <n v="7155"/>
    <s v="146013"/>
    <d v="2024-07-29T00:00:00"/>
    <s v="MOTORCYCLE  COMPREHENSIVE"/>
    <n v="352000"/>
    <n v="1144.8"/>
    <n v="71.55"/>
    <n v="500"/>
  </r>
  <r>
    <s v="KHI/HO/D/MO/MC COMP/P/94102/07/2024"/>
    <m/>
    <x v="5"/>
    <d v="2024-07-29T00:00:00"/>
    <d v="2025-07-29T00:00:00"/>
    <s v="SUFYAN AHMAD"/>
    <s v="SUZUKI-GD-110S"/>
    <n v="8800"/>
    <n v="7155"/>
    <s v="146483"/>
    <d v="2024-07-29T00:00:00"/>
    <s v="MOTORCYCLE  COMPREHENSIVE"/>
    <n v="352000"/>
    <n v="1144.8"/>
    <n v="71.55"/>
    <n v="500"/>
  </r>
  <r>
    <s v="KHI/HO/D/MO/MC COMP/P/94103/07/2024"/>
    <m/>
    <x v="5"/>
    <d v="2024-07-29T00:00:00"/>
    <d v="2025-07-29T00:00:00"/>
    <s v="AMMAD ALI"/>
    <s v="SUZUKI-GD-110S"/>
    <n v="8800"/>
    <n v="7155"/>
    <s v="146026"/>
    <d v="2024-07-29T00:00:00"/>
    <s v="MOTORCYCLE  COMPREHENSIVE"/>
    <n v="352000"/>
    <n v="1144.8"/>
    <n v="71.55"/>
    <n v="500"/>
  </r>
  <r>
    <s v="KHI/HO/D/MO/MC COMP/P/94130/07/2024"/>
    <m/>
    <x v="5"/>
    <d v="2024-07-30T00:00:00"/>
    <d v="2025-07-30T00:00:00"/>
    <s v="MUHAMMAD IMRAN"/>
    <s v="SUZUKI-GD-110S"/>
    <n v="8800"/>
    <n v="7155"/>
    <s v="146009"/>
    <d v="2024-07-30T00:00:00"/>
    <s v="MOTORCYCLE  COMPREHENSIVE"/>
    <n v="352000"/>
    <n v="1144.8"/>
    <n v="71.55"/>
    <n v="500"/>
  </r>
  <r>
    <s v="KHI/HO/D/MO/MC COMP/P/94135/07/2024"/>
    <m/>
    <x v="4"/>
    <d v="2024-07-30T00:00:00"/>
    <d v="2025-07-30T00:00:00"/>
    <s v="MUHAMMAD RIAZ"/>
    <s v="SUZUKI-GD-110S"/>
    <n v="12320"/>
    <n v="10190"/>
    <s v="146214"/>
    <d v="2024-07-30T00:00:00"/>
    <s v="MOTORCYCLE  COMPREHENSIVE"/>
    <n v="352000"/>
    <n v="1630.4"/>
    <n v="101.9"/>
    <n v="500"/>
  </r>
  <r>
    <s v="KHI/HO/D/MO/MC COMP/P/94136/07/2024"/>
    <m/>
    <x v="10"/>
    <d v="2024-07-30T00:00:00"/>
    <d v="2025-07-30T00:00:00"/>
    <s v="RIAZ AHMAD"/>
    <s v="SUZUKI-GS 150"/>
    <n v="9550"/>
    <n v="7802"/>
    <s v="30092191"/>
    <d v="2024-07-30T00:00:00"/>
    <s v="MOTORCYCLE  COMPREHENSIVE"/>
    <n v="382000"/>
    <n v="1248.32"/>
    <n v="78.02"/>
    <n v="500"/>
  </r>
  <r>
    <s v="KHI/HO/D/MO/MC COMP/P/94142/07/2024"/>
    <m/>
    <x v="13"/>
    <d v="2024-07-30T00:00:00"/>
    <d v="2025-07-30T00:00:00"/>
    <s v="HAIDER RAZA"/>
    <s v="SUZUKI-GS 150"/>
    <n v="9550"/>
    <n v="7802"/>
    <s v="30091935"/>
    <d v="2024-07-30T00:00:00"/>
    <s v="MOTORCYCLE  COMPREHENSIVE"/>
    <n v="382000"/>
    <n v="1248.32"/>
    <n v="78.02"/>
    <n v="500"/>
  </r>
  <r>
    <s v="KHI/HO/D/MO/MC COMP/P/94144/07/2024"/>
    <m/>
    <x v="13"/>
    <d v="2024-07-30T00:00:00"/>
    <d v="2025-07-30T00:00:00"/>
    <s v="ZAHID SIDDIQUE"/>
    <s v="SUZUKI-GD-110S"/>
    <n v="8800"/>
    <n v="7155"/>
    <s v="145057"/>
    <d v="2024-07-30T00:00:00"/>
    <s v="MOTORCYCLE  COMPREHENSIVE"/>
    <n v="352000"/>
    <n v="1144.8"/>
    <n v="71.55"/>
    <n v="500"/>
  </r>
  <r>
    <s v="KHI/HO/D/MO/MC COMP/P/94145/07/2024"/>
    <m/>
    <x v="13"/>
    <d v="2024-07-30T00:00:00"/>
    <d v="2025-07-30T00:00:00"/>
    <s v="MUHAMMAD SAAD TARIQ"/>
    <s v="SUZUKI-GR150 EURO II"/>
    <n v="13675"/>
    <n v="11358"/>
    <s v="113337"/>
    <d v="2024-07-30T00:00:00"/>
    <s v="MOTORCYCLE  COMPREHENSIVE"/>
    <n v="547000"/>
    <n v="1817.28"/>
    <n v="113.58"/>
    <n v="500"/>
  </r>
  <r>
    <s v="KHI/HO/D/MO/MC COMP/P/94146/07/2024"/>
    <m/>
    <x v="13"/>
    <d v="2024-07-30T00:00:00"/>
    <d v="2025-07-30T00:00:00"/>
    <s v="MUHAMMAD SAAD TARIQ"/>
    <s v="SUZUKI-GR150 EURO II"/>
    <n v="13675"/>
    <n v="11358"/>
    <s v="113337"/>
    <d v="2024-07-30T00:00:00"/>
    <s v="MOTORCYCLE  COMPREHENSIVE"/>
    <n v="547000"/>
    <n v="1817.28"/>
    <n v="113.58"/>
    <n v="500"/>
  </r>
  <r>
    <s v="KHI/HO/D/MO/MC COMP/P/94148/07/2024"/>
    <m/>
    <x v="13"/>
    <d v="2024-07-30T00:00:00"/>
    <d v="2025-07-30T00:00:00"/>
    <s v="MUHAMMAD SHUBAN"/>
    <s v="SUZUKI-GD-110S"/>
    <n v="8800"/>
    <n v="7155"/>
    <s v="145998"/>
    <d v="2024-07-30T00:00:00"/>
    <s v="MOTORCYCLE  COMPREHENSIVE"/>
    <n v="352000"/>
    <n v="1144.8"/>
    <n v="71.55"/>
    <n v="500"/>
  </r>
  <r>
    <s v="KHI/HO/D/MO/MC COMP/P/94149/07/2024"/>
    <m/>
    <x v="13"/>
    <d v="2024-07-30T00:00:00"/>
    <d v="2025-07-30T00:00:00"/>
    <s v="SALMAN HANIF"/>
    <s v="SUZUKI-GS 150"/>
    <n v="9550"/>
    <n v="7802"/>
    <s v="30091936"/>
    <d v="2024-07-30T00:00:00"/>
    <s v="MOTORCYCLE  COMPREHENSIVE"/>
    <n v="382000"/>
    <n v="1248.32"/>
    <n v="78.02"/>
    <n v="500"/>
  </r>
  <r>
    <s v="KHI/HO/D/MO/MC COMP/P/94151/07/2024"/>
    <m/>
    <x v="13"/>
    <d v="2024-07-30T00:00:00"/>
    <d v="2025-07-30T00:00:00"/>
    <s v="LIAQAT ALI"/>
    <s v="SUZUKI-GR150 EURO II"/>
    <n v="13675"/>
    <n v="11358"/>
    <s v="113320"/>
    <d v="2024-07-30T00:00:00"/>
    <s v="MOTORCYCLE  COMPREHENSIVE"/>
    <n v="547000"/>
    <n v="1817.28"/>
    <n v="113.58"/>
    <n v="500"/>
  </r>
  <r>
    <s v="KHI/HO/D/MO/MC COMP/P/94152/07/2024"/>
    <m/>
    <x v="13"/>
    <d v="2024-07-30T00:00:00"/>
    <d v="2025-07-30T00:00:00"/>
    <s v="ANAS MANZOOR"/>
    <s v="SUZUKI-GR150 EURO II"/>
    <n v="13675"/>
    <n v="11358"/>
    <s v="113364"/>
    <d v="2024-07-30T00:00:00"/>
    <s v="MOTORCYCLE  COMPREHENSIVE"/>
    <n v="547000"/>
    <n v="1817.28"/>
    <n v="113.58"/>
    <n v="500"/>
  </r>
  <r>
    <s v="KHI/HO/D/MO/MC COMP/P/94153/07/2024"/>
    <m/>
    <x v="11"/>
    <d v="2024-07-30T00:00:00"/>
    <d v="2025-07-30T00:00:00"/>
    <s v="JUNAID AHMED"/>
    <s v="SUZUKI-GD-110S"/>
    <n v="12320"/>
    <n v="10190"/>
    <s v="146492"/>
    <d v="2024-07-30T00:00:00"/>
    <s v="MOTORCYCLE  COMPREHENSIVE"/>
    <n v="352000"/>
    <n v="1630.4"/>
    <n v="101.9"/>
    <n v="500"/>
  </r>
  <r>
    <s v="KHI/HO/D/MO/MC COMP/P/94154/07/2024"/>
    <m/>
    <x v="11"/>
    <d v="2025-07-31T00:00:00"/>
    <d v="2026-07-31T00:00:00"/>
    <s v="JUNAID AHMED"/>
    <s v="SUZUKI-GD-110S"/>
    <n v="12320"/>
    <n v="10190"/>
    <s v="146492"/>
    <d v="2024-07-30T00:00:00"/>
    <s v="MOTORCYCLE  COMPREHENSIVE"/>
    <n v="352000"/>
    <n v="1630.4"/>
    <n v="101.9"/>
    <n v="500"/>
  </r>
  <r>
    <s v="KHI/HO/D/MO/MC COMP/P/94156/07/2024"/>
    <m/>
    <x v="19"/>
    <d v="2024-07-30T00:00:00"/>
    <d v="2025-07-30T00:00:00"/>
    <s v="MUHAMMAD BILAL BALOCH"/>
    <s v="SUZUKI-GD-110S"/>
    <n v="12320"/>
    <n v="10190"/>
    <s v="146202"/>
    <d v="2024-07-30T00:00:00"/>
    <s v="MOTORCYCLE  COMPREHENSIVE"/>
    <n v="352000"/>
    <n v="1630.4"/>
    <n v="101.9"/>
    <n v="500"/>
  </r>
  <r>
    <s v="KHI/HO/D/MO/MC COMP/P/94157/07/2024"/>
    <m/>
    <x v="19"/>
    <d v="2025-07-31T00:00:00"/>
    <d v="2026-07-31T00:00:00"/>
    <s v="MUHAMMAD BILAL BALOCH"/>
    <s v="SUZUKI-GD-110S"/>
    <n v="12320"/>
    <n v="10190"/>
    <s v="146202"/>
    <d v="2024-07-30T00:00:00"/>
    <s v="MOTORCYCLE  COMPREHENSIVE"/>
    <n v="352000"/>
    <n v="1630.4"/>
    <n v="101.9"/>
    <n v="500"/>
  </r>
  <r>
    <s v="KHI/HO/D/MO/MC COMP/P/94159/07/2024"/>
    <m/>
    <x v="17"/>
    <d v="2024-07-30T00:00:00"/>
    <d v="2025-07-30T00:00:00"/>
    <s v="FAISAL IMRAN S/O MALIK MUHAMMAD ASHRAF"/>
    <s v="SUZUKI-GD-110S"/>
    <n v="8800"/>
    <n v="7155"/>
    <s v="138798"/>
    <d v="2024-07-30T00:00:00"/>
    <s v="MOTORCYCLE  COMPREHENSIVE"/>
    <n v="352000"/>
    <n v="1144.8"/>
    <n v="71.55"/>
    <n v="500"/>
  </r>
  <r>
    <s v="KHI/HO/D/MO/MC COMP/P/94161/07/2024"/>
    <m/>
    <x v="15"/>
    <d v="2024-07-30T00:00:00"/>
    <d v="2025-07-30T00:00:00"/>
    <s v="MUHAMMAD ILYAS JAN"/>
    <s v="SUZUKI-GD-110S"/>
    <n v="8800"/>
    <n v="7155"/>
    <s v="145562"/>
    <d v="2024-07-30T00:00:00"/>
    <s v="MOTORCYCLE  COMPREHENSIVE"/>
    <n v="352000"/>
    <n v="1144.8"/>
    <n v="71.55"/>
    <n v="500"/>
  </r>
  <r>
    <s v="KHI/HO/D/MO/MC COMP/P/94163/07/2024"/>
    <m/>
    <x v="15"/>
    <d v="2024-07-30T00:00:00"/>
    <d v="2025-07-30T00:00:00"/>
    <s v="MEHAR WASIQ TAHIR"/>
    <s v="SUZUKI-GD-110S"/>
    <n v="8800"/>
    <n v="7155"/>
    <s v="145096"/>
    <d v="2024-07-30T00:00:00"/>
    <s v="MOTORCYCLE  COMPREHENSIVE"/>
    <n v="352000"/>
    <n v="1144.8"/>
    <n v="71.55"/>
    <n v="500"/>
  </r>
  <r>
    <s v="KHI/HO/D/MO/MC COMP/P/94165/07/2024"/>
    <m/>
    <x v="15"/>
    <d v="2024-07-30T00:00:00"/>
    <d v="2025-07-30T00:00:00"/>
    <s v="SYED QAISAR HUSSAIN SHAH"/>
    <s v="SUZUKI-GD-110S"/>
    <n v="8800"/>
    <n v="7155"/>
    <s v="145304"/>
    <d v="2024-07-30T00:00:00"/>
    <s v="MOTORCYCLE  COMPREHENSIVE"/>
    <n v="352000"/>
    <n v="1144.8"/>
    <n v="71.55"/>
    <n v="500"/>
  </r>
  <r>
    <s v="KHI/HO/D/MO/MC COMP/P/94173/07/2024"/>
    <m/>
    <x v="11"/>
    <d v="2024-07-30T00:00:00"/>
    <d v="2025-07-30T00:00:00"/>
    <s v="DAWOOD FAROOQ"/>
    <s v="SUZUKI-GD-110S"/>
    <n v="12320"/>
    <n v="10190"/>
    <s v="145988"/>
    <d v="2024-07-30T00:00:00"/>
    <s v="MOTORCYCLE  COMPREHENSIVE"/>
    <n v="352000"/>
    <n v="1630.4"/>
    <n v="101.9"/>
    <n v="500"/>
  </r>
  <r>
    <s v="KHI/HO/D/MO/MC COMP/P/94175/07/2024"/>
    <m/>
    <x v="19"/>
    <d v="2024-07-30T00:00:00"/>
    <d v="2025-07-30T00:00:00"/>
    <s v="MUHAMMAD ASIF"/>
    <s v="SUZUKI-GR150 EURO II"/>
    <n v="19145"/>
    <n v="16073"/>
    <s v="113221"/>
    <d v="2024-07-30T00:00:00"/>
    <s v="MOTORCYCLE  COMPREHENSIVE"/>
    <n v="547000"/>
    <n v="2571.6799999999998"/>
    <n v="160.72999999999999"/>
    <n v="500"/>
  </r>
  <r>
    <s v="KHI/HO/D/MO/MC COMP/P/94180/07/2024"/>
    <m/>
    <x v="19"/>
    <d v="2024-07-30T00:00:00"/>
    <d v="2025-07-30T00:00:00"/>
    <s v="Dilawar Khan# 42101-2306803-1"/>
    <s v="SUZUKI-GD-110S"/>
    <n v="12320"/>
    <n v="10190"/>
    <s v="146097"/>
    <d v="2024-07-30T00:00:00"/>
    <s v="MOTORCYCLE  COMPREHENSIVE"/>
    <n v="352000"/>
    <n v="1630.4"/>
    <n v="101.9"/>
    <n v="500"/>
  </r>
  <r>
    <s v="KHI/HO/D/MO/MC COMP/P/94181/07/2024"/>
    <m/>
    <x v="19"/>
    <d v="2025-07-31T00:00:00"/>
    <d v="2026-07-31T00:00:00"/>
    <s v="Dilawar Khan# 42101-2306803-1"/>
    <s v="SUZUKI-GD-110S"/>
    <n v="12320"/>
    <n v="10190"/>
    <s v="146097"/>
    <d v="2024-07-30T00:00:00"/>
    <s v="MOTORCYCLE  COMPREHENSIVE"/>
    <n v="352000"/>
    <n v="1630.4"/>
    <n v="101.9"/>
    <n v="500"/>
  </r>
  <r>
    <s v="KHI/HO/D/MO/MC COMP/P/94200/07/2024"/>
    <m/>
    <x v="27"/>
    <d v="2024-07-30T00:00:00"/>
    <d v="2025-07-30T00:00:00"/>
    <s v="FAISAL MAHMOOD"/>
    <s v="SUZUKI-GD-110S"/>
    <n v="8800"/>
    <n v="7155"/>
    <s v="145480"/>
    <d v="2024-07-30T00:00:00"/>
    <s v="MOTORCYCLE  COMPREHENSIVE"/>
    <n v="352000"/>
    <n v="1144.8"/>
    <n v="71.55"/>
    <n v="500"/>
  </r>
  <r>
    <s v="KHI/HO/D/MO/MC COMP/P/94204/07/2024"/>
    <m/>
    <x v="0"/>
    <d v="2024-07-30T00:00:00"/>
    <d v="2025-07-30T00:00:00"/>
    <s v="MUHAMMAD SUFIYAN SHEKIH"/>
    <s v="SUZUKI-GS 150"/>
    <n v="13370"/>
    <n v="11095"/>
    <s v="30092426"/>
    <d v="2024-07-30T00:00:00"/>
    <s v="MOTORCYCLE  COMPREHENSIVE"/>
    <n v="382000"/>
    <n v="1775.2"/>
    <n v="110.95"/>
    <n v="500"/>
  </r>
  <r>
    <s v="KHI/HO/D/MO/MC COMP/P/94216/07/2024"/>
    <m/>
    <x v="11"/>
    <d v="2023-09-09T00:00:00"/>
    <d v="2024-09-09T00:00:00"/>
    <s v="DYNAMIC SUPPLY CHAIN_x000a_CNIC # 42101-4985208-9_x000a_CELL # 0321-2238529 / 0333-3800537"/>
    <s v="SUZUKI-GD-110S"/>
    <n v="11725"/>
    <n v="9676"/>
    <s v="E487-135326"/>
    <d v="2024-07-30T00:00:00"/>
    <s v="MOTORCYCLE  COMPREHENSIVE"/>
    <n v="335000"/>
    <n v="1548.16"/>
    <n v="96.76"/>
    <n v="500"/>
  </r>
  <r>
    <s v="KHI/HO/D/MO/MC COMP/P/94222/07/2024"/>
    <m/>
    <x v="2"/>
    <d v="2024-07-30T00:00:00"/>
    <d v="2025-07-30T00:00:00"/>
    <s v="SHEIKH MUHAMMAD YOUSUF MAGOON"/>
    <s v="SUZUKI-GSX 125"/>
    <n v="17465"/>
    <n v="14625"/>
    <s v="23100068"/>
    <d v="2024-07-30T00:00:00"/>
    <s v="MOTORCYCLE  COMPREHENSIVE"/>
    <n v="499000"/>
    <n v="2340"/>
    <n v="146.25"/>
    <n v="500"/>
  </r>
  <r>
    <s v="KHI/HO/D/MO/MC COMP/P/94223/07/2024"/>
    <m/>
    <x v="11"/>
    <d v="2023-02-11T00:00:00"/>
    <d v="2024-02-11T00:00:00"/>
    <s v="MUHAMMAD SALEEM_x000a_CNIC # 42301-0907430-1_x000a_CELL # 0322-4344412 / 0312-4344412"/>
    <s v="SUZUKI-GR150 EURO II"/>
    <n v="13475"/>
    <n v="11185"/>
    <s v="G42B-111082"/>
    <d v="2024-07-30T00:00:00"/>
    <s v="MOTORCYCLE  COMPREHENSIVE"/>
    <n v="385000"/>
    <n v="1789.6"/>
    <n v="111.85"/>
    <n v="500"/>
  </r>
  <r>
    <s v="KHI/HO/D/MO/MC COMP/P/94227/07/2024"/>
    <m/>
    <x v="11"/>
    <d v="2024-02-11T00:00:00"/>
    <d v="2025-02-11T00:00:00"/>
    <s v="MUHAMMAD SALEEM_x000a_CNIC # 42301-0907430-1_x000a_CELL # 0322-4344412 / 0312-4344412"/>
    <s v="SUZUKI-GR150 EURO II"/>
    <n v="13475"/>
    <n v="11185"/>
    <s v=" G42B-111082"/>
    <d v="2024-07-30T00:00:00"/>
    <s v="MOTORCYCLE  COMPREHENSIVE"/>
    <n v="385000"/>
    <n v="1789.6"/>
    <n v="111.85"/>
    <n v="500"/>
  </r>
  <r>
    <s v="KHI/HO/D/MO/MC COMP/P/94229/07/2024"/>
    <m/>
    <x v="0"/>
    <d v="2024-07-30T00:00:00"/>
    <d v="2025-07-30T00:00:00"/>
    <s v="OWAIS ALI"/>
    <s v="SUZUKI-GS 150"/>
    <n v="13370"/>
    <n v="11095"/>
    <s v="30092428"/>
    <d v="2024-07-30T00:00:00"/>
    <s v="MOTORCYCLE  COMPREHENSIVE"/>
    <n v="382000"/>
    <n v="1775.2"/>
    <n v="110.95"/>
    <n v="500"/>
  </r>
  <r>
    <s v="KHI/HO/D/MO/MC COMP/P/94231/07/2024"/>
    <m/>
    <x v="0"/>
    <d v="2024-07-30T00:00:00"/>
    <d v="2025-07-30T00:00:00"/>
    <s v="SYED MUHAMMAD ARSHAD"/>
    <s v="SUZUKI-GD-110S"/>
    <n v="12320"/>
    <n v="10190"/>
    <s v="146377"/>
    <d v="2024-07-30T00:00:00"/>
    <s v="MOTORCYCLE  COMPREHENSIVE"/>
    <n v="352000"/>
    <n v="1630.4"/>
    <n v="101.9"/>
    <n v="500"/>
  </r>
  <r>
    <s v="KHI/HO/D/MO/MC COMP/P/94232/07/2024"/>
    <m/>
    <x v="0"/>
    <d v="2025-07-31T00:00:00"/>
    <d v="2026-07-31T00:00:00"/>
    <s v="SYED MUHAMMAD ARSHAD"/>
    <s v="SUZUKI-GD-110S"/>
    <n v="12320"/>
    <n v="10190"/>
    <s v="146377"/>
    <d v="2024-07-30T00:00:00"/>
    <s v="MOTORCYCLE  COMPREHENSIVE"/>
    <n v="352000"/>
    <n v="1630.4"/>
    <n v="101.9"/>
    <n v="500"/>
  </r>
  <r>
    <s v="KHI/HO/D/MO/MC COMP/P/94238/07/2024"/>
    <m/>
    <x v="3"/>
    <d v="2024-07-30T00:00:00"/>
    <d v="2025-07-30T00:00:00"/>
    <s v="Muhammad Abdullah Chundrigar"/>
    <s v="SUZUKI-GD-110S"/>
    <n v="12320"/>
    <n v="10190"/>
    <s v="145901"/>
    <d v="2024-07-30T00:00:00"/>
    <s v="MOTORCYCLE  COMPREHENSIVE"/>
    <n v="352000"/>
    <n v="1630.4"/>
    <n v="101.9"/>
    <n v="500"/>
  </r>
  <r>
    <s v="KHI/HO/D/MO/MC COMP/P/94239/07/2024"/>
    <m/>
    <x v="3"/>
    <d v="2024-07-30T00:00:00"/>
    <d v="2025-07-30T00:00:00"/>
    <s v="Shoaib Hussain"/>
    <s v="SUZUKI-GD-110S"/>
    <n v="12320"/>
    <n v="10190"/>
    <s v="146122"/>
    <d v="2024-07-30T00:00:00"/>
    <s v="MOTORCYCLE  COMPREHENSIVE"/>
    <n v="352000"/>
    <n v="1630.4"/>
    <n v="101.9"/>
    <n v="500"/>
  </r>
  <r>
    <s v="KHI/HO/D/MO/MC COMP/P/94251/07/2024"/>
    <m/>
    <x v="4"/>
    <d v="2024-07-31T00:00:00"/>
    <d v="2025-07-31T00:00:00"/>
    <s v="ZAHID ALI"/>
    <s v="SUZUKI-GD-110S"/>
    <n v="12320"/>
    <n v="10190"/>
    <s v="146362"/>
    <d v="2024-07-31T00:00:00"/>
    <s v="MOTORCYCLE  COMPREHENSIVE"/>
    <n v="352000"/>
    <n v="1630.4"/>
    <n v="101.9"/>
    <n v="500"/>
  </r>
  <r>
    <s v="KHI/HO/D/MO/MC COMP/P/94252/07/2024"/>
    <m/>
    <x v="4"/>
    <d v="2025-08-01T00:00:00"/>
    <d v="2026-08-01T00:00:00"/>
    <s v="ZAHID ALI"/>
    <s v="SUZUKI-GD-110S"/>
    <n v="12320"/>
    <n v="10190"/>
    <s v="146362"/>
    <d v="2024-07-31T00:00:00"/>
    <s v="MOTORCYCLE  COMPREHENSIVE"/>
    <n v="352000"/>
    <n v="1630.4"/>
    <n v="101.9"/>
    <n v="500"/>
  </r>
  <r>
    <s v="KHI/HO/D/MO/MC COMP/P/94255/07/2024"/>
    <m/>
    <x v="2"/>
    <d v="2024-07-31T00:00:00"/>
    <d v="2025-07-31T00:00:00"/>
    <s v="MUHAMMMAD ZUBAIR"/>
    <s v="SUZUKI-GD-110S"/>
    <n v="12320"/>
    <n v="10190"/>
    <s v="146104"/>
    <d v="2024-07-31T00:00:00"/>
    <s v="MOTORCYCLE  COMPREHENSIVE"/>
    <n v="352000"/>
    <n v="1630.4"/>
    <n v="101.9"/>
    <n v="500"/>
  </r>
  <r>
    <s v="KHI/HO/D/MO/MC COMP/P/94273/07/2024"/>
    <m/>
    <x v="11"/>
    <d v="2024-07-31T00:00:00"/>
    <d v="2025-07-31T00:00:00"/>
    <s v="SAEED REHMAN"/>
    <s v="SUZUKI-GD-110S"/>
    <n v="12320"/>
    <n v="10190"/>
    <s v="146209"/>
    <d v="2024-07-31T00:00:00"/>
    <s v="MOTORCYCLE  COMPREHENSIVE"/>
    <n v="352000"/>
    <n v="1630.4"/>
    <n v="101.9"/>
    <n v="500"/>
  </r>
  <r>
    <s v="KHI/HO/D/MO/MC COMP/P/94274/07/2024"/>
    <m/>
    <x v="11"/>
    <d v="2025-08-01T00:00:00"/>
    <d v="2026-08-01T00:00:00"/>
    <s v="SAEED REHMAN"/>
    <s v="SUZUKI-GD-110S"/>
    <n v="12320"/>
    <n v="10190"/>
    <s v="146209"/>
    <d v="2024-07-31T00:00:00"/>
    <s v="MOTORCYCLE  COMPREHENSIVE"/>
    <n v="352000"/>
    <n v="1630.4"/>
    <n v="101.9"/>
    <n v="500"/>
  </r>
  <r>
    <s v="KHI/HO/D/MO/MC COMP/P/94276/07/2024"/>
    <m/>
    <x v="15"/>
    <d v="2024-07-31T00:00:00"/>
    <d v="2025-07-31T00:00:00"/>
    <s v="SYED KHIZAR HAYAT"/>
    <s v="SUZUKI-GD-110S"/>
    <n v="8800"/>
    <n v="7155"/>
    <s v="145506"/>
    <d v="2024-07-31T00:00:00"/>
    <s v="MOTORCYCLE  COMPREHENSIVE"/>
    <n v="352000"/>
    <n v="1144.8"/>
    <n v="71.55"/>
    <n v="500"/>
  </r>
  <r>
    <s v="KHI/HO/D/MO/MC COMP/P/94278/07/2024"/>
    <m/>
    <x v="15"/>
    <d v="2024-07-31T00:00:00"/>
    <d v="2025-07-31T00:00:00"/>
    <s v="MUHAMMAD MASOOM MUGHAL"/>
    <s v="SUZUKI-GD-110S"/>
    <n v="8800"/>
    <n v="7155"/>
    <s v="145823"/>
    <d v="2024-07-31T00:00:00"/>
    <s v="MOTORCYCLE  COMPREHENSIVE"/>
    <n v="352000"/>
    <n v="1144.8"/>
    <n v="71.55"/>
    <n v="500"/>
  </r>
  <r>
    <s v="KHI/HO/D/MO/MC COMP/P/94280/07/2024"/>
    <m/>
    <x v="15"/>
    <d v="2024-07-31T00:00:00"/>
    <d v="2025-07-31T00:00:00"/>
    <s v="NAZIR AHMAD"/>
    <s v="SUZUKI-GD-110S"/>
    <n v="8800"/>
    <n v="7155"/>
    <s v="145570"/>
    <d v="2024-07-31T00:00:00"/>
    <s v="MOTORCYCLE  COMPREHENSIVE"/>
    <n v="352000"/>
    <n v="1144.8"/>
    <n v="71.55"/>
    <n v="500"/>
  </r>
  <r>
    <s v="KHI/HO/D/MO/MC COMP/P/94281/07/2024"/>
    <m/>
    <x v="15"/>
    <d v="2024-07-31T00:00:00"/>
    <d v="2025-07-31T00:00:00"/>
    <s v="NAZIR AHMAD"/>
    <s v="SUZUKI-GD-110S"/>
    <n v="8800"/>
    <n v="7155"/>
    <s v="145570"/>
    <d v="2024-07-31T00:00:00"/>
    <s v="MOTORCYCLE  COMPREHENSIVE"/>
    <n v="352000"/>
    <n v="1144.8"/>
    <n v="71.55"/>
    <n v="500"/>
  </r>
  <r>
    <s v="KHI/HO/D/MO/MC COMP/P/94283/07/2024"/>
    <m/>
    <x v="15"/>
    <d v="2024-07-31T00:00:00"/>
    <d v="2025-07-31T00:00:00"/>
    <s v="MUHAMMAD MUJTABA ASLAM"/>
    <s v="SUZUKI-GS 150"/>
    <n v="9550"/>
    <n v="7802"/>
    <s v="30091558"/>
    <d v="2024-07-31T00:00:00"/>
    <s v="MOTORCYCLE  COMPREHENSIVE"/>
    <n v="382000"/>
    <n v="1248.32"/>
    <n v="78.02"/>
    <n v="500"/>
  </r>
  <r>
    <s v="KHI/HO/D/MO/MC COMP/P/94285/07/2024"/>
    <m/>
    <x v="15"/>
    <d v="2024-07-31T00:00:00"/>
    <d v="2025-07-31T00:00:00"/>
    <s v="WASEEM ALI"/>
    <s v="SUZUKI-GD-110S"/>
    <n v="8800"/>
    <n v="7155"/>
    <s v="145266"/>
    <d v="2024-07-31T00:00:00"/>
    <s v="MOTORCYCLE  COMPREHENSIVE"/>
    <n v="352000"/>
    <n v="1144.8"/>
    <n v="71.55"/>
    <n v="500"/>
  </r>
  <r>
    <s v="KHI/HO/D/MO/MC COMP/P/94287/07/2024"/>
    <m/>
    <x v="15"/>
    <d v="2024-07-31T00:00:00"/>
    <d v="2025-07-31T00:00:00"/>
    <s v="MUHAMMAD SALIH SIDDIQUE"/>
    <s v="SUZUKI-GS 150"/>
    <n v="9550"/>
    <n v="7802"/>
    <s v="30091566"/>
    <d v="2024-07-31T00:00:00"/>
    <s v="MOTORCYCLE  COMPREHENSIVE"/>
    <n v="382000"/>
    <n v="1248.32"/>
    <n v="78.02"/>
    <n v="500"/>
  </r>
  <r>
    <s v="KHI/HO/D/MO/MC COMP/P/94290/07/2024"/>
    <m/>
    <x v="15"/>
    <d v="2024-07-31T00:00:00"/>
    <d v="2025-07-31T00:00:00"/>
    <s v="FAIZAN"/>
    <s v="SUZUKI-GD-110S"/>
    <n v="8800"/>
    <n v="7155"/>
    <s v="145837"/>
    <d v="2024-07-31T00:00:00"/>
    <s v="MOTORCYCLE  COMPREHENSIVE"/>
    <n v="352000"/>
    <n v="1144.8"/>
    <n v="71.55"/>
    <n v="500"/>
  </r>
  <r>
    <s v="KHI/HO/D/MO/MC COMP/P/94292/07/2024"/>
    <m/>
    <x v="15"/>
    <d v="2024-07-31T00:00:00"/>
    <d v="2025-07-31T00:00:00"/>
    <s v="NUSRAT UL HAQ BUTT"/>
    <s v="SUZUKI-GD-110S"/>
    <n v="8800"/>
    <n v="7155"/>
    <s v="145515"/>
    <d v="2024-07-31T00:00:00"/>
    <s v="MOTORCYCLE  COMPREHENSIVE"/>
    <n v="352000"/>
    <n v="1144.8"/>
    <n v="71.55"/>
    <n v="500"/>
  </r>
  <r>
    <s v="KHI/HO/D/MO/MC COMP/P/94293/07/2024"/>
    <m/>
    <x v="11"/>
    <d v="2024-07-31T00:00:00"/>
    <d v="2025-07-31T00:00:00"/>
    <s v="ASIF KHAN"/>
    <s v="SUZUKI-GS 150"/>
    <n v="13370"/>
    <n v="11095"/>
    <s v="30092413"/>
    <d v="2024-07-31T00:00:00"/>
    <s v="MOTORCYCLE  COMPREHENSIVE"/>
    <n v="382000"/>
    <n v="1775.2"/>
    <n v="110.95"/>
    <n v="500"/>
  </r>
  <r>
    <s v="KHI/HO/D/MO/MC COMP/P/94311/07/2024"/>
    <m/>
    <x v="2"/>
    <d v="2024-07-31T00:00:00"/>
    <d v="2025-07-31T00:00:00"/>
    <s v="ADNAN"/>
    <s v="SUZUKI-GD-110S"/>
    <n v="12320"/>
    <n v="10190"/>
    <s v="146392"/>
    <d v="2024-07-31T00:00:00"/>
    <s v="MOTORCYCLE  COMPREHENSIVE"/>
    <n v="352000"/>
    <n v="1630.4"/>
    <n v="101.9"/>
    <n v="500"/>
  </r>
  <r>
    <s v="KHI/HO/D/MO/MC COMP/P/94312/07/2024"/>
    <m/>
    <x v="2"/>
    <d v="2025-08-01T00:00:00"/>
    <d v="2026-08-01T00:00:00"/>
    <s v="ADNAN"/>
    <s v="SUZUKI-GD-110S"/>
    <n v="12320"/>
    <n v="10190"/>
    <s v="146392"/>
    <d v="2024-07-31T00:00:00"/>
    <s v="MOTORCYCLE  COMPREHENSIVE"/>
    <n v="352000"/>
    <n v="1630.4"/>
    <n v="101.9"/>
    <n v="500"/>
  </r>
  <r>
    <s v="KHI/HO/D/MO/MC COMP/P/94313/07/2024"/>
    <m/>
    <x v="19"/>
    <d v="2024-07-31T00:00:00"/>
    <d v="2025-07-31T00:00:00"/>
    <s v="MURTAZA"/>
    <s v="SUZUKI-GD-110S"/>
    <n v="12320"/>
    <n v="10190"/>
    <s v="145927"/>
    <d v="2024-07-31T00:00:00"/>
    <s v="MOTORCYCLE  COMPREHENSIVE"/>
    <n v="352000"/>
    <n v="1630.4"/>
    <n v="101.9"/>
    <n v="500"/>
  </r>
  <r>
    <s v="KHI/HO/D/MO/MC COMP/P/94315/07/2024"/>
    <m/>
    <x v="19"/>
    <d v="2024-07-31T00:00:00"/>
    <d v="2025-07-31T00:00:00"/>
    <s v="Muhammad Imran(4230123850919)"/>
    <s v="SUZUKI-GD-110S"/>
    <n v="12320"/>
    <n v="10190"/>
    <s v="146081"/>
    <d v="2024-07-31T00:00:00"/>
    <s v="MOTORCYCLE  COMPREHENSIVE"/>
    <n v="352000"/>
    <n v="1630.4"/>
    <n v="101.9"/>
    <n v="500"/>
  </r>
  <r>
    <s v="KHI/HO/D/MO/MC COMP/P/94316/07/2024"/>
    <m/>
    <x v="4"/>
    <d v="2024-07-31T00:00:00"/>
    <d v="2025-07-31T00:00:00"/>
    <s v="KHURRAM SAEED"/>
    <s v="SUZUKI-GS 150"/>
    <n v="13370"/>
    <n v="11095"/>
    <s v="30092354"/>
    <d v="2024-07-31T00:00:00"/>
    <s v="MOTORCYCLE  COMPREHENSIVE"/>
    <n v="382000"/>
    <n v="1775.2"/>
    <n v="110.95"/>
    <n v="500"/>
  </r>
  <r>
    <s v="KHI/HO/D/MO/MC COMP/P/94317/07/2024"/>
    <m/>
    <x v="4"/>
    <d v="2025-08-01T00:00:00"/>
    <d v="2026-08-01T00:00:00"/>
    <s v="KHURRAM SAEED"/>
    <s v="SUZUKI-GS 150"/>
    <n v="13370"/>
    <n v="11095"/>
    <s v="30092354"/>
    <d v="2024-07-31T00:00:00"/>
    <s v="MOTORCYCLE  COMPREHENSIVE"/>
    <n v="382000"/>
    <n v="1775.2"/>
    <n v="110.95"/>
    <n v="500"/>
  </r>
  <r>
    <s v="KHI/HO/D/MO/MC COMP/P/94387/08/2024"/>
    <m/>
    <x v="12"/>
    <d v="2024-07-31T00:00:00"/>
    <d v="2025-07-31T00:00:00"/>
    <s v="Muhammad Waqas_x000a_CNIC # 42201-1052500-9_x000a_CELL # 0321-2528707"/>
    <s v="SUZUKI-GR150 EURO II"/>
    <n v="19145"/>
    <n v="16073"/>
    <s v="G42B-112885"/>
    <d v="2024-08-01T00:00:00"/>
    <s v="MOTORCYCLE  COMPREHENSIVE"/>
    <n v="547000"/>
    <n v="2571.6799999999998"/>
    <n v="160.72999999999999"/>
    <n v="500"/>
  </r>
  <r>
    <s v="KHI/HO/D/MO/MC COMP/P/94393/08/2024"/>
    <m/>
    <x v="28"/>
    <d v="2024-07-31T00:00:00"/>
    <d v="2025-07-31T00:00:00"/>
    <s v="Abdul Qadeer_x000a_CNIC # 42201-5617304-3_x000a_CELL # 0315-9998590"/>
    <s v="SUZUKI-GD-110S"/>
    <n v="12320"/>
    <n v="10190"/>
    <s v="E487-146091"/>
    <d v="2024-08-01T00:00:00"/>
    <s v="MOTORCYCLE  COMPREHENSIVE"/>
    <n v="352000"/>
    <n v="1630.4"/>
    <n v="101.9"/>
    <n v="500"/>
  </r>
  <r>
    <s v="KHI/HO/D/MO/MC COMP/P/94395/08/2024"/>
    <m/>
    <x v="19"/>
    <d v="2024-07-31T00:00:00"/>
    <d v="2025-07-31T00:00:00"/>
    <s v="Muhammad Anas_x000a_CNIC # 42201-5025020-9_x000a_CELL # 0346-3117773"/>
    <s v="SUZUKI-GD-110S"/>
    <n v="12320"/>
    <n v="10190"/>
    <s v="E487-146096"/>
    <d v="2024-08-01T00:00:00"/>
    <s v="MOTORCYCLE  COMPREHENSIVE"/>
    <n v="352000"/>
    <n v="1630.4"/>
    <n v="101.9"/>
    <n v="500"/>
  </r>
  <r>
    <s v="KHI/HO/D/MO/MC COMP/P/94402/08/2024"/>
    <m/>
    <x v="28"/>
    <d v="2024-07-31T00:00:00"/>
    <d v="2025-07-30T00:00:00"/>
    <s v="Muhammad Aizaz Khan_x000a_CNIC # 42201-5645312-3_x000a_CELL # 03133624050"/>
    <s v="SUZUKI-GS 150"/>
    <n v="13370"/>
    <n v="11095"/>
    <s v="PKG30092431"/>
    <d v="2024-08-01T00:00:00"/>
    <s v="MOTORCYCLE  COMPREHENSIVE"/>
    <n v="382000"/>
    <n v="1775.2"/>
    <n v="110.95"/>
    <n v="500"/>
  </r>
  <r>
    <s v="KHI/HO/D/MO/MC COMP/P/94404/08/2024"/>
    <m/>
    <x v="28"/>
    <d v="2025-07-31T00:00:00"/>
    <d v="2026-07-30T00:00:00"/>
    <s v="Muhammad Aizaz Khan_x000a_CNIC # 42201-5645312-3_x000a_CELL # 03133624050"/>
    <s v="SUZUKI-GS 150"/>
    <n v="13370"/>
    <n v="11095"/>
    <s v="PKG30092431"/>
    <d v="2024-08-01T00:00:00"/>
    <s v="MOTORCYCLE  COMPREHENSIVE"/>
    <n v="382000"/>
    <n v="1775.2"/>
    <n v="110.95"/>
    <n v="500"/>
  </r>
  <r>
    <s v="KHI/HO/D/MO/MC COMP/P/94413/08/2024"/>
    <m/>
    <x v="28"/>
    <d v="2024-07-31T00:00:00"/>
    <d v="2025-07-31T00:00:00"/>
    <s v="Muhammad Rizwan_x000a_CNIC # 42201-7045226-7_x000a_CELL # 03453204801"/>
    <s v="SUZUKI-GD-110S"/>
    <n v="12320"/>
    <n v="10190"/>
    <s v="E487-145801"/>
    <d v="2024-08-01T00:00:00"/>
    <s v="MOTORCYCLE  COMPREHENSIVE"/>
    <n v="352000"/>
    <n v="1630.4"/>
    <n v="101.9"/>
    <n v="500"/>
  </r>
  <r>
    <s v="KHI/HO/D/MO/MC COMP/P/94418/08/2024"/>
    <m/>
    <x v="28"/>
    <d v="2024-07-31T00:00:00"/>
    <d v="2025-07-31T00:00:00"/>
    <s v="Muhammad Shakeel_x000a_CNIC # 42201-5644759-9_x000a_CELL # 03161273500"/>
    <s v="SUZUKI-GS 150"/>
    <n v="13370"/>
    <n v="11095"/>
    <s v="PKG-30092439"/>
    <d v="2024-08-01T00:00:00"/>
    <s v="MOTORCYCLE  COMPREHENSIVE"/>
    <n v="382000"/>
    <n v="1775.2"/>
    <n v="110.95"/>
    <n v="500"/>
  </r>
  <r>
    <s v="KHI/HO/D/MO/MC COMP/P/94420/08/2024"/>
    <m/>
    <x v="29"/>
    <d v="2025-07-31T00:00:00"/>
    <d v="2026-07-31T00:00:00"/>
    <s v="Muhammad Anas_x000a_CNIC #  42201-5025020-9_x000a_CELL #  0346-3117773"/>
    <s v="SUZUKI-GD-110S"/>
    <n v="12320"/>
    <n v="10190"/>
    <s v=" E487-146096"/>
    <d v="2024-08-01T00:00:00"/>
    <s v="MOTORCYCLE  COMPREHENSIVE"/>
    <n v="352000"/>
    <n v="1630.4"/>
    <n v="101.9"/>
    <n v="500"/>
  </r>
  <r>
    <s v="KHI/HO/D/MO/MC COMP/P/94424/08/2024"/>
    <m/>
    <x v="28"/>
    <d v="2024-07-31T00:00:00"/>
    <d v="2025-07-31T00:00:00"/>
    <s v="Muhammad Shoukat _x000a_CNIC # 42201-3918577-1_x000a_CELL # 0322-2229975"/>
    <s v="SUZUKI-GR150 EURO II"/>
    <n v="19145"/>
    <n v="16073"/>
    <s v="G42B-113386"/>
    <d v="2024-08-01T00:00:00"/>
    <s v="MOTORCYCLE  COMPREHENSIVE"/>
    <n v="547000"/>
    <n v="2571.6799999999998"/>
    <n v="160.72999999999999"/>
    <n v="500"/>
  </r>
  <r>
    <s v="KHI/HO/D/MO/MC COMP/P/94425/08/2024"/>
    <m/>
    <x v="28"/>
    <d v="2025-07-31T00:00:00"/>
    <d v="2026-07-31T00:00:00"/>
    <s v="Muhammad Shoukat _x000a_CNIC # 42201-3918577-1_x000a_CELL # 0322-2229975"/>
    <s v="SUZUKI-GR150 EURO II"/>
    <n v="19145"/>
    <n v="16073"/>
    <s v=" G42B-113386"/>
    <d v="2024-08-01T00:00:00"/>
    <s v="MOTORCYCLE  COMPREHENSIVE"/>
    <n v="547000"/>
    <n v="2571.6799999999998"/>
    <n v="160.72999999999999"/>
    <n v="500"/>
  </r>
  <r>
    <s v="KHI/HO/D/MO/MC COMP/P/94428/08/2024"/>
    <m/>
    <x v="28"/>
    <d v="2024-07-31T00:00:00"/>
    <d v="2025-07-31T00:00:00"/>
    <s v="Rauf Zaman_x000a_CNIC # 42201-0424544-9_x000a_CELL # 0311-1122321"/>
    <s v="SUZUKI-GS 150"/>
    <n v="13370"/>
    <n v="11095"/>
    <s v="PKG-30092433"/>
    <d v="2024-08-01T00:00:00"/>
    <s v="MOTORCYCLE  COMPREHENSIVE"/>
    <n v="382000"/>
    <n v="1775.2"/>
    <n v="110.95"/>
    <n v="500"/>
  </r>
  <r>
    <s v="KHI/HO/D/MO/MC COMP/P/94429/08/2024"/>
    <m/>
    <x v="28"/>
    <d v="2025-07-31T00:00:00"/>
    <d v="2026-07-30T00:00:00"/>
    <s v="Rauf Zaman_x000a_CNIC # 42201-0424544-9_x000a_CELL # 0311-1122321"/>
    <s v="SUZUKI-GS 150"/>
    <n v="13370"/>
    <n v="11095"/>
    <s v=" PKG-30092433"/>
    <d v="2024-08-01T00:00:00"/>
    <s v="MOTORCYCLE  COMPREHENSIVE"/>
    <n v="382000"/>
    <n v="1775.2"/>
    <n v="110.95"/>
    <n v="500"/>
  </r>
  <r>
    <s v="KHI/HO/D/MO/MC COMP/P/94434/08/2024"/>
    <m/>
    <x v="28"/>
    <d v="2024-07-31T00:00:00"/>
    <d v="2025-07-30T00:00:00"/>
    <s v="Shahid Khan_x000a_CNIC # 14301-7640296-9_x000a_CELL # 0320-2070165"/>
    <s v="SUZUKI-GD-110S"/>
    <n v="12320"/>
    <n v="10190"/>
    <s v="E487-146092"/>
    <d v="2024-08-01T00:00:00"/>
    <s v="MOTORCYCLE  COMPREHENSIVE"/>
    <n v="352000"/>
    <n v="1630.4"/>
    <n v="101.9"/>
    <n v="500"/>
  </r>
  <r>
    <s v="KHI/HO/D/MO/MC COMP/P/94435/08/2024"/>
    <m/>
    <x v="28"/>
    <d v="2025-07-31T00:00:00"/>
    <d v="2026-07-30T00:00:00"/>
    <s v="Shahid Khan_x000a_CNIC # 14301-7640296-9_x000a_CELL # 0320-2070165"/>
    <s v="SUZUKI-GD-110S"/>
    <n v="12320"/>
    <n v="10190"/>
    <s v="E487-146092"/>
    <d v="2024-08-01T00:00:00"/>
    <s v="MOTORCYCLE  COMPREHENSIVE"/>
    <n v="352000"/>
    <n v="1630.4"/>
    <n v="101.9"/>
    <n v="500"/>
  </r>
  <r>
    <s v="KHI/HO/D/MO/MC COMP/P/93424/07/2024"/>
    <m/>
    <x v="18"/>
    <d v="2024-07-20T00:00:00"/>
    <d v="2025-07-30T00:00:00"/>
    <s v="Fiaz Ahmed"/>
    <s v="SUZUKI-GD-110S"/>
    <n v="8800"/>
    <n v="7155"/>
    <n v="144791"/>
    <d v="2024-07-20T00:00:00"/>
    <s v="MOTORCYCLE  COMPREHENSIVE"/>
    <n v="352000"/>
    <n v="1144.8"/>
    <n v="71.55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89E7A-B3C8-4602-955D-083811E00A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owroom">
  <location ref="A3:C34" firstHeaderRow="0" firstDataRow="1" firstDataCol="1"/>
  <pivotFields count="16">
    <pivotField dataField="1" showAll="0"/>
    <pivotField showAll="0"/>
    <pivotField axis="axisRow" showAll="0">
      <items count="31">
        <item x="12"/>
        <item x="19"/>
        <item x="14"/>
        <item x="5"/>
        <item x="7"/>
        <item x="0"/>
        <item x="11"/>
        <item x="4"/>
        <item x="2"/>
        <item x="1"/>
        <item x="10"/>
        <item x="9"/>
        <item x="21"/>
        <item x="26"/>
        <item x="3"/>
        <item x="18"/>
        <item x="8"/>
        <item x="6"/>
        <item x="27"/>
        <item x="24"/>
        <item x="23"/>
        <item x="20"/>
        <item x="17"/>
        <item x="13"/>
        <item x="15"/>
        <item x="22"/>
        <item x="16"/>
        <item x="25"/>
        <item x="28"/>
        <item x="29"/>
        <item t="default"/>
      </items>
    </pivotField>
    <pivotField numFmtId="166" showAll="0"/>
    <pivotField numFmtId="166" showAll="0"/>
    <pivotField showAll="0"/>
    <pivotField showAll="0"/>
    <pivotField dataField="1" numFmtId="37" showAll="0"/>
    <pivotField numFmtId="37" showAll="0"/>
    <pivotField showAll="0"/>
    <pivotField showAll="0"/>
    <pivotField showAll="0"/>
    <pivotField showAll="0"/>
    <pivotField numFmtId="165"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olicies" fld="0" subtotal="count" baseField="0" baseItem="0"/>
    <dataField name="Net Premium" fld="7" baseField="0" baseItem="0" numFmtId="165"/>
  </dataFields>
  <formats count="2">
    <format dxfId="42">
      <pivotArea outline="0" collapsedLevelsAreSubtotals="1" fieldPosition="0"/>
    </format>
    <format dxfId="41">
      <pivotArea dataOnly="0" labelOnly="1" outline="0" axis="axisValues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workbookViewId="0">
      <selection activeCell="H31" sqref="H31"/>
    </sheetView>
  </sheetViews>
  <sheetFormatPr defaultColWidth="0" defaultRowHeight="15" zeroHeight="1" x14ac:dyDescent="0.25"/>
  <cols>
    <col min="1" max="1" width="4.28515625" customWidth="1"/>
    <col min="2" max="2" width="0.5703125" customWidth="1"/>
    <col min="3" max="10" width="8.85546875" customWidth="1"/>
    <col min="11" max="11" width="12.5703125" customWidth="1"/>
    <col min="12" max="12" width="0.5703125" customWidth="1"/>
    <col min="13" max="13" width="4.140625" customWidth="1"/>
    <col min="14" max="21" width="0" hidden="1" customWidth="1"/>
    <col min="22" max="16384" width="8.85546875" hidden="1"/>
  </cols>
  <sheetData>
    <row r="1" spans="2:21" x14ac:dyDescent="0.25"/>
    <row r="2" spans="2:21" x14ac:dyDescent="0.25"/>
    <row r="3" spans="2:21" x14ac:dyDescent="0.25"/>
    <row r="4" spans="2:21" x14ac:dyDescent="0.25"/>
    <row r="5" spans="2:21" x14ac:dyDescent="0.25"/>
    <row r="6" spans="2:21" x14ac:dyDescent="0.25"/>
    <row r="7" spans="2:21" ht="15.75" thickBot="1" x14ac:dyDescent="0.3"/>
    <row r="8" spans="2:21" ht="3" customHeight="1" thickBot="1" x14ac:dyDescent="0.3">
      <c r="B8" s="17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2:21" ht="19.5" thickBot="1" x14ac:dyDescent="0.35">
      <c r="B9" s="20"/>
      <c r="C9" s="50" t="s">
        <v>2481</v>
      </c>
      <c r="D9" s="51"/>
      <c r="E9" s="51"/>
      <c r="F9" s="51"/>
      <c r="G9" s="51"/>
      <c r="H9" s="51"/>
      <c r="I9" s="51"/>
      <c r="J9" s="51"/>
      <c r="K9" s="52"/>
      <c r="L9" s="21"/>
    </row>
    <row r="10" spans="2:21" ht="15.75" thickBot="1" x14ac:dyDescent="0.3">
      <c r="B10" s="20"/>
      <c r="C10" s="5"/>
      <c r="D10" s="6"/>
      <c r="E10" s="6"/>
      <c r="F10" s="6"/>
      <c r="G10" s="6"/>
      <c r="H10" s="6"/>
      <c r="I10" s="6"/>
      <c r="J10" s="6"/>
      <c r="K10" s="7"/>
      <c r="L10" s="21"/>
    </row>
    <row r="11" spans="2:21" s="11" customFormat="1" ht="23.45" customHeight="1" thickBot="1" x14ac:dyDescent="0.3">
      <c r="B11" s="22"/>
      <c r="C11" s="53" t="s">
        <v>2482</v>
      </c>
      <c r="D11" s="54"/>
      <c r="E11" s="54"/>
      <c r="F11" s="54"/>
      <c r="G11" s="54"/>
      <c r="H11" s="54"/>
      <c r="I11" s="54"/>
      <c r="J11" s="54"/>
      <c r="K11" s="55"/>
      <c r="L11" s="23"/>
    </row>
    <row r="12" spans="2:21" ht="15.75" thickBot="1" x14ac:dyDescent="0.3">
      <c r="B12" s="20"/>
      <c r="C12" s="5"/>
      <c r="D12" s="6"/>
      <c r="E12" s="6"/>
      <c r="F12" s="6"/>
      <c r="G12" s="6"/>
      <c r="H12" s="6"/>
      <c r="I12" s="6"/>
      <c r="J12" s="6"/>
      <c r="K12" s="7"/>
      <c r="L12" s="21"/>
    </row>
    <row r="13" spans="2:21" ht="15.75" thickBot="1" x14ac:dyDescent="0.3">
      <c r="B13" s="20"/>
      <c r="C13" s="59" t="s">
        <v>44</v>
      </c>
      <c r="D13" s="60"/>
      <c r="E13" s="59" t="s">
        <v>45</v>
      </c>
      <c r="F13" s="60"/>
      <c r="G13" s="59" t="s">
        <v>46</v>
      </c>
      <c r="H13" s="60"/>
      <c r="I13" s="59" t="s">
        <v>47</v>
      </c>
      <c r="J13" s="61"/>
      <c r="K13" s="60"/>
      <c r="L13" s="21"/>
      <c r="M13" s="8"/>
      <c r="N13" s="8"/>
      <c r="O13" s="8"/>
      <c r="P13" s="8"/>
      <c r="Q13" s="8"/>
      <c r="R13" s="8"/>
      <c r="S13" s="8"/>
      <c r="T13" s="8"/>
      <c r="U13" s="8"/>
    </row>
    <row r="14" spans="2:21" ht="15.75" thickBot="1" x14ac:dyDescent="0.3">
      <c r="B14" s="20"/>
      <c r="C14" s="72"/>
      <c r="D14" s="73"/>
      <c r="E14" s="73"/>
      <c r="F14" s="73"/>
      <c r="G14" s="73"/>
      <c r="H14" s="73"/>
      <c r="I14" s="73"/>
      <c r="J14" s="73"/>
      <c r="K14" s="74"/>
      <c r="L14" s="21"/>
    </row>
    <row r="15" spans="2:21" ht="15.75" thickBot="1" x14ac:dyDescent="0.3">
      <c r="B15" s="20"/>
      <c r="C15" s="62" t="s">
        <v>0</v>
      </c>
      <c r="D15" s="63"/>
      <c r="E15" s="64" t="s">
        <v>3</v>
      </c>
      <c r="F15" s="65"/>
      <c r="G15" s="65"/>
      <c r="H15" s="65"/>
      <c r="I15" s="65"/>
      <c r="J15" s="65"/>
      <c r="K15" s="66"/>
      <c r="L15" s="21"/>
    </row>
    <row r="16" spans="2:21" ht="15.75" thickBot="1" x14ac:dyDescent="0.3">
      <c r="B16" s="20"/>
      <c r="C16" s="15"/>
      <c r="D16" s="16"/>
      <c r="E16" s="6"/>
      <c r="F16" s="6"/>
      <c r="G16" s="6"/>
      <c r="H16" s="6"/>
      <c r="I16" s="6"/>
      <c r="J16" s="6"/>
      <c r="K16" s="7"/>
      <c r="L16" s="21"/>
    </row>
    <row r="17" spans="2:12" ht="15.75" thickBot="1" x14ac:dyDescent="0.3">
      <c r="B17" s="20"/>
      <c r="C17" s="64" t="s">
        <v>1</v>
      </c>
      <c r="D17" s="66"/>
      <c r="E17" s="12" t="s">
        <v>4</v>
      </c>
      <c r="F17" s="13"/>
      <c r="G17" s="13"/>
      <c r="H17" s="13"/>
      <c r="I17" s="13"/>
      <c r="J17" s="13"/>
      <c r="K17" s="14"/>
      <c r="L17" s="21"/>
    </row>
    <row r="18" spans="2:12" x14ac:dyDescent="0.25">
      <c r="B18" s="20"/>
      <c r="C18" s="8"/>
      <c r="D18" s="8"/>
      <c r="L18" s="21"/>
    </row>
    <row r="19" spans="2:12" ht="15.75" thickBot="1" x14ac:dyDescent="0.3">
      <c r="B19" s="20"/>
      <c r="C19" s="8"/>
      <c r="D19" s="8"/>
      <c r="L19" s="21"/>
    </row>
    <row r="20" spans="2:12" ht="15.75" thickBot="1" x14ac:dyDescent="0.3">
      <c r="B20" s="20"/>
      <c r="C20" s="64" t="s">
        <v>5</v>
      </c>
      <c r="D20" s="66"/>
      <c r="E20" s="64" t="s">
        <v>6</v>
      </c>
      <c r="F20" s="66"/>
      <c r="H20" s="64" t="s">
        <v>9</v>
      </c>
      <c r="I20" s="66"/>
      <c r="J20" s="64" t="s">
        <v>10</v>
      </c>
      <c r="K20" s="66"/>
      <c r="L20" s="21"/>
    </row>
    <row r="21" spans="2:12" ht="15.75" thickBot="1" x14ac:dyDescent="0.3">
      <c r="B21" s="20"/>
      <c r="C21" s="75" t="s">
        <v>7</v>
      </c>
      <c r="D21" s="76"/>
      <c r="E21" s="64" t="s">
        <v>6</v>
      </c>
      <c r="F21" s="66"/>
      <c r="H21" s="64" t="s">
        <v>11</v>
      </c>
      <c r="I21" s="66"/>
      <c r="J21" s="64">
        <f>Detail!A1</f>
        <v>960</v>
      </c>
      <c r="K21" s="66"/>
      <c r="L21" s="21"/>
    </row>
    <row r="22" spans="2:12" ht="15.75" thickBot="1" x14ac:dyDescent="0.3">
      <c r="B22" s="20"/>
      <c r="C22" s="75" t="s">
        <v>8</v>
      </c>
      <c r="D22" s="76"/>
      <c r="E22" s="64" t="s">
        <v>6</v>
      </c>
      <c r="F22" s="66"/>
      <c r="L22" s="21"/>
    </row>
    <row r="23" spans="2:12" ht="15.75" thickBot="1" x14ac:dyDescent="0.3">
      <c r="B23" s="20"/>
      <c r="L23" s="21"/>
    </row>
    <row r="24" spans="2:12" ht="15.75" thickBot="1" x14ac:dyDescent="0.3">
      <c r="B24" s="20"/>
      <c r="C24" s="56"/>
      <c r="D24" s="57"/>
      <c r="E24" s="57"/>
      <c r="F24" s="57"/>
      <c r="G24" s="57"/>
      <c r="H24" s="57"/>
      <c r="I24" s="57"/>
      <c r="J24" s="57"/>
      <c r="K24" s="58"/>
      <c r="L24" s="21"/>
    </row>
    <row r="25" spans="2:12" ht="15.75" thickBot="1" x14ac:dyDescent="0.3">
      <c r="B25" s="20"/>
      <c r="C25" s="67" t="s">
        <v>2</v>
      </c>
      <c r="D25" s="68"/>
      <c r="L25" s="21"/>
    </row>
    <row r="26" spans="2:12" ht="15.75" thickBot="1" x14ac:dyDescent="0.3">
      <c r="B26" s="20"/>
      <c r="L26" s="21"/>
    </row>
    <row r="27" spans="2:12" ht="15.75" thickBot="1" x14ac:dyDescent="0.3">
      <c r="B27" s="20"/>
      <c r="C27" s="48" t="s">
        <v>12</v>
      </c>
      <c r="D27" s="49"/>
      <c r="J27" s="9"/>
      <c r="K27" s="29">
        <f>Detail!I1</f>
        <v>9478946</v>
      </c>
      <c r="L27" s="21"/>
    </row>
    <row r="28" spans="2:12" ht="15.75" thickBot="1" x14ac:dyDescent="0.3">
      <c r="B28" s="20"/>
      <c r="C28" s="48" t="s">
        <v>2480</v>
      </c>
      <c r="D28" s="49"/>
      <c r="J28" s="9"/>
      <c r="K28" s="29">
        <f>Detail!N1</f>
        <v>985808.800000004</v>
      </c>
      <c r="L28" s="21"/>
    </row>
    <row r="29" spans="2:12" ht="15.75" thickBot="1" x14ac:dyDescent="0.3">
      <c r="B29" s="20"/>
      <c r="C29" s="48" t="s">
        <v>13</v>
      </c>
      <c r="D29" s="49"/>
      <c r="J29" s="9"/>
      <c r="K29" s="29">
        <f>Detail!O1</f>
        <v>61613.05000000025</v>
      </c>
      <c r="L29" s="21"/>
    </row>
    <row r="30" spans="2:12" ht="15.75" thickBot="1" x14ac:dyDescent="0.3">
      <c r="B30" s="20"/>
      <c r="C30" s="48" t="s">
        <v>14</v>
      </c>
      <c r="D30" s="49"/>
      <c r="J30" s="9"/>
      <c r="K30" s="29">
        <f>Detail!P1</f>
        <v>311000</v>
      </c>
      <c r="L30" s="21"/>
    </row>
    <row r="31" spans="2:12" ht="15.75" thickBot="1" x14ac:dyDescent="0.3">
      <c r="B31" s="20"/>
      <c r="C31" s="67" t="s">
        <v>15</v>
      </c>
      <c r="D31" s="68"/>
      <c r="J31" s="9"/>
      <c r="K31" s="29">
        <f>Detail!H1</f>
        <v>11475480</v>
      </c>
      <c r="L31" s="21"/>
    </row>
    <row r="32" spans="2:12" x14ac:dyDescent="0.25">
      <c r="B32" s="20"/>
      <c r="L32" s="21"/>
    </row>
    <row r="33" spans="2:12" ht="15.75" thickBot="1" x14ac:dyDescent="0.3">
      <c r="B33" s="20"/>
      <c r="L33" s="21"/>
    </row>
    <row r="34" spans="2:12" s="10" customFormat="1" ht="15.75" thickBot="1" x14ac:dyDescent="0.3">
      <c r="B34" s="24"/>
      <c r="C34" s="69" t="str">
        <f>CONCATENATE(C36,F36,C37)</f>
        <v>Payment Of PKR. Rs. 11,475,480/- be cheque in favour of M/s. Salaam Takaful Limited.</v>
      </c>
      <c r="D34" s="70"/>
      <c r="E34" s="70"/>
      <c r="F34" s="70"/>
      <c r="G34" s="70"/>
      <c r="H34" s="70"/>
      <c r="I34" s="70"/>
      <c r="J34" s="70"/>
      <c r="K34" s="71"/>
      <c r="L34" s="25"/>
    </row>
    <row r="35" spans="2:12" s="10" customFormat="1" ht="3" customHeight="1" thickBot="1" x14ac:dyDescent="0.3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2:12" s="10" customFormat="1" hidden="1" x14ac:dyDescent="0.25">
      <c r="C36" s="10" t="s">
        <v>48</v>
      </c>
      <c r="F36" s="10" t="str">
        <f>TEXT(K31,"##,###,###")</f>
        <v>11,475,480</v>
      </c>
    </row>
    <row r="37" spans="2:12" s="10" customFormat="1" hidden="1" x14ac:dyDescent="0.25">
      <c r="C37" s="10" t="s">
        <v>16</v>
      </c>
    </row>
    <row r="38" spans="2:12" s="10" customFormat="1" x14ac:dyDescent="0.25"/>
  </sheetData>
  <mergeCells count="28">
    <mergeCell ref="C31:D31"/>
    <mergeCell ref="C34:K34"/>
    <mergeCell ref="C14:K14"/>
    <mergeCell ref="C17:D17"/>
    <mergeCell ref="C20:D20"/>
    <mergeCell ref="C21:D21"/>
    <mergeCell ref="C22:D22"/>
    <mergeCell ref="E20:F20"/>
    <mergeCell ref="E21:F21"/>
    <mergeCell ref="E22:F22"/>
    <mergeCell ref="H20:I20"/>
    <mergeCell ref="H21:I21"/>
    <mergeCell ref="J20:K20"/>
    <mergeCell ref="J21:K21"/>
    <mergeCell ref="C25:D25"/>
    <mergeCell ref="C27:D27"/>
    <mergeCell ref="C28:D28"/>
    <mergeCell ref="C29:D29"/>
    <mergeCell ref="C30:D30"/>
    <mergeCell ref="C9:K9"/>
    <mergeCell ref="C11:K11"/>
    <mergeCell ref="C24:K24"/>
    <mergeCell ref="G13:H13"/>
    <mergeCell ref="I13:K13"/>
    <mergeCell ref="E13:F13"/>
    <mergeCell ref="C13:D13"/>
    <mergeCell ref="C15:D15"/>
    <mergeCell ref="E15:K15"/>
  </mergeCells>
  <pageMargins left="0.7" right="0.7" top="0.75" bottom="0.75" header="0.3" footer="0.3"/>
  <pageSetup paperSize="9" scale="98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009E-9C6E-46E0-AFC2-BF11BA307D51}">
  <dimension ref="A3:C44"/>
  <sheetViews>
    <sheetView topLeftCell="A14" workbookViewId="0">
      <selection activeCell="B4" sqref="B4:B34"/>
    </sheetView>
  </sheetViews>
  <sheetFormatPr defaultRowHeight="15" x14ac:dyDescent="0.25"/>
  <cols>
    <col min="1" max="1" width="35.7109375" bestFit="1" customWidth="1"/>
    <col min="2" max="2" width="14.140625" style="1" bestFit="1" customWidth="1"/>
    <col min="3" max="3" width="12.85546875" bestFit="1" customWidth="1"/>
    <col min="4" max="4" width="5.28515625" bestFit="1" customWidth="1"/>
    <col min="5" max="5" width="12.140625" bestFit="1" customWidth="1"/>
    <col min="6" max="6" width="8.85546875" bestFit="1" customWidth="1"/>
    <col min="7" max="7" width="10.42578125" bestFit="1" customWidth="1"/>
    <col min="8" max="8" width="18" bestFit="1" customWidth="1"/>
    <col min="9" max="9" width="16.85546875" bestFit="1" customWidth="1"/>
    <col min="10" max="10" width="10.7109375" bestFit="1" customWidth="1"/>
    <col min="11" max="11" width="11.28515625" bestFit="1" customWidth="1"/>
    <col min="12" max="12" width="8.5703125" bestFit="1" customWidth="1"/>
    <col min="13" max="13" width="10.7109375" bestFit="1" customWidth="1"/>
    <col min="14" max="14" width="10.5703125" bestFit="1" customWidth="1"/>
    <col min="15" max="15" width="10.7109375" bestFit="1" customWidth="1"/>
    <col min="16" max="16" width="10.5703125" bestFit="1" customWidth="1"/>
    <col min="17" max="17" width="10.7109375" bestFit="1" customWidth="1"/>
    <col min="18" max="18" width="10.5703125" bestFit="1" customWidth="1"/>
    <col min="19" max="19" width="10.7109375" bestFit="1" customWidth="1"/>
    <col min="20" max="20" width="10.5703125" bestFit="1" customWidth="1"/>
    <col min="21" max="21" width="10.7109375" bestFit="1" customWidth="1"/>
    <col min="22" max="22" width="10.5703125" bestFit="1" customWidth="1"/>
    <col min="23" max="23" width="10.7109375" bestFit="1" customWidth="1"/>
    <col min="24" max="24" width="10.5703125" bestFit="1" customWidth="1"/>
    <col min="25" max="25" width="10.7109375" bestFit="1" customWidth="1"/>
    <col min="26" max="26" width="10.5703125" bestFit="1" customWidth="1"/>
    <col min="27" max="27" width="10.7109375" bestFit="1" customWidth="1"/>
    <col min="28" max="28" width="10.5703125" bestFit="1" customWidth="1"/>
    <col min="29" max="29" width="10.7109375" bestFit="1" customWidth="1"/>
    <col min="30" max="30" width="10.5703125" bestFit="1" customWidth="1"/>
    <col min="31" max="31" width="10.7109375" bestFit="1" customWidth="1"/>
    <col min="32" max="32" width="10.5703125" bestFit="1" customWidth="1"/>
    <col min="33" max="33" width="7.85546875" bestFit="1" customWidth="1"/>
    <col min="34" max="34" width="10.7109375" bestFit="1" customWidth="1"/>
    <col min="35" max="35" width="11.7109375" bestFit="1" customWidth="1"/>
    <col min="36" max="36" width="10.7109375" bestFit="1" customWidth="1"/>
    <col min="37" max="37" width="11.7109375" bestFit="1" customWidth="1"/>
    <col min="38" max="38" width="10.7109375" bestFit="1" customWidth="1"/>
    <col min="39" max="39" width="11.7109375" bestFit="1" customWidth="1"/>
    <col min="40" max="40" width="10.7109375" bestFit="1" customWidth="1"/>
    <col min="41" max="41" width="11.7109375" bestFit="1" customWidth="1"/>
    <col min="42" max="42" width="10.7109375" bestFit="1" customWidth="1"/>
    <col min="43" max="43" width="11.7109375" bestFit="1" customWidth="1"/>
    <col min="44" max="44" width="10.7109375" bestFit="1" customWidth="1"/>
    <col min="45" max="45" width="11.7109375" bestFit="1" customWidth="1"/>
    <col min="46" max="46" width="10.7109375" bestFit="1" customWidth="1"/>
    <col min="47" max="47" width="11.7109375" bestFit="1" customWidth="1"/>
    <col min="48" max="48" width="10.7109375" bestFit="1" customWidth="1"/>
    <col min="49" max="49" width="11.7109375" bestFit="1" customWidth="1"/>
    <col min="50" max="50" width="10.7109375" bestFit="1" customWidth="1"/>
    <col min="51" max="51" width="11.7109375" bestFit="1" customWidth="1"/>
    <col min="52" max="52" width="10.7109375" bestFit="1" customWidth="1"/>
    <col min="53" max="53" width="11.7109375" bestFit="1" customWidth="1"/>
    <col min="54" max="54" width="10.7109375" bestFit="1" customWidth="1"/>
    <col min="55" max="55" width="11.7109375" bestFit="1" customWidth="1"/>
    <col min="56" max="56" width="10.7109375" bestFit="1" customWidth="1"/>
    <col min="57" max="57" width="11.7109375" bestFit="1" customWidth="1"/>
    <col min="58" max="58" width="10.7109375" bestFit="1" customWidth="1"/>
    <col min="59" max="59" width="11.7109375" bestFit="1" customWidth="1"/>
    <col min="60" max="60" width="10.7109375" bestFit="1" customWidth="1"/>
    <col min="61" max="61" width="11.7109375" bestFit="1" customWidth="1"/>
    <col min="62" max="62" width="10.7109375" bestFit="1" customWidth="1"/>
    <col min="63" max="63" width="11.7109375" bestFit="1" customWidth="1"/>
    <col min="64" max="64" width="10.7109375" bestFit="1" customWidth="1"/>
    <col min="65" max="65" width="11.7109375" bestFit="1" customWidth="1"/>
    <col min="66" max="66" width="10.7109375" bestFit="1" customWidth="1"/>
    <col min="67" max="67" width="11.7109375" bestFit="1" customWidth="1"/>
    <col min="68" max="68" width="10.7109375" bestFit="1" customWidth="1"/>
    <col min="69" max="69" width="11.7109375" bestFit="1" customWidth="1"/>
    <col min="70" max="70" width="10.7109375" bestFit="1" customWidth="1"/>
    <col min="71" max="71" width="11.7109375" bestFit="1" customWidth="1"/>
    <col min="72" max="72" width="10.7109375" bestFit="1" customWidth="1"/>
    <col min="73" max="73" width="11.7109375" bestFit="1" customWidth="1"/>
    <col min="74" max="74" width="10.7109375" bestFit="1" customWidth="1"/>
    <col min="75" max="75" width="11.7109375" bestFit="1" customWidth="1"/>
    <col min="76" max="76" width="10.7109375" bestFit="1" customWidth="1"/>
    <col min="77" max="77" width="11.7109375" bestFit="1" customWidth="1"/>
    <col min="78" max="78" width="10.7109375" bestFit="1" customWidth="1"/>
    <col min="79" max="79" width="11.7109375" bestFit="1" customWidth="1"/>
    <col min="80" max="80" width="10.7109375" bestFit="1" customWidth="1"/>
    <col min="81" max="81" width="11.7109375" bestFit="1" customWidth="1"/>
    <col min="82" max="82" width="10.7109375" bestFit="1" customWidth="1"/>
    <col min="83" max="83" width="11.7109375" bestFit="1" customWidth="1"/>
    <col min="84" max="84" width="10.7109375" bestFit="1" customWidth="1"/>
    <col min="85" max="85" width="11.7109375" bestFit="1" customWidth="1"/>
    <col min="86" max="86" width="9" bestFit="1" customWidth="1"/>
    <col min="87" max="87" width="12.140625" bestFit="1" customWidth="1"/>
    <col min="88" max="88" width="11.28515625" bestFit="1" customWidth="1"/>
    <col min="89" max="89" width="10.7109375" bestFit="1" customWidth="1"/>
    <col min="90" max="90" width="11.28515625" bestFit="1" customWidth="1"/>
    <col min="91" max="91" width="10.7109375" bestFit="1" customWidth="1"/>
    <col min="92" max="92" width="11.28515625" bestFit="1" customWidth="1"/>
    <col min="93" max="93" width="10.7109375" bestFit="1" customWidth="1"/>
    <col min="94" max="94" width="11.28515625" bestFit="1" customWidth="1"/>
    <col min="95" max="95" width="10.7109375" bestFit="1" customWidth="1"/>
    <col min="96" max="96" width="11.28515625" bestFit="1" customWidth="1"/>
    <col min="97" max="97" width="8.5703125" bestFit="1" customWidth="1"/>
    <col min="98" max="98" width="10.7109375" bestFit="1" customWidth="1"/>
    <col min="99" max="99" width="10.5703125" bestFit="1" customWidth="1"/>
    <col min="100" max="100" width="10.7109375" bestFit="1" customWidth="1"/>
    <col min="101" max="101" width="10.5703125" bestFit="1" customWidth="1"/>
    <col min="102" max="102" width="10.7109375" bestFit="1" customWidth="1"/>
    <col min="103" max="103" width="10.5703125" bestFit="1" customWidth="1"/>
    <col min="104" max="104" width="10.7109375" bestFit="1" customWidth="1"/>
    <col min="105" max="105" width="10.5703125" bestFit="1" customWidth="1"/>
    <col min="106" max="106" width="10.7109375" bestFit="1" customWidth="1"/>
    <col min="107" max="107" width="10.5703125" bestFit="1" customWidth="1"/>
    <col min="108" max="108" width="10.7109375" bestFit="1" customWidth="1"/>
    <col min="109" max="109" width="10.5703125" bestFit="1" customWidth="1"/>
    <col min="110" max="110" width="10.7109375" bestFit="1" customWidth="1"/>
    <col min="111" max="111" width="10.5703125" bestFit="1" customWidth="1"/>
    <col min="112" max="112" width="10.7109375" bestFit="1" customWidth="1"/>
    <col min="113" max="113" width="10.5703125" bestFit="1" customWidth="1"/>
    <col min="114" max="114" width="10.7109375" bestFit="1" customWidth="1"/>
    <col min="115" max="115" width="10.5703125" bestFit="1" customWidth="1"/>
    <col min="116" max="116" width="10.7109375" bestFit="1" customWidth="1"/>
    <col min="117" max="117" width="10.5703125" bestFit="1" customWidth="1"/>
    <col min="119" max="119" width="10.7109375" bestFit="1" customWidth="1"/>
    <col min="120" max="120" width="11.7109375" bestFit="1" customWidth="1"/>
    <col min="121" max="121" width="10.7109375" bestFit="1" customWidth="1"/>
    <col min="122" max="122" width="11.7109375" bestFit="1" customWidth="1"/>
    <col min="123" max="123" width="10.7109375" bestFit="1" customWidth="1"/>
    <col min="124" max="124" width="11.7109375" bestFit="1" customWidth="1"/>
    <col min="125" max="125" width="10.7109375" bestFit="1" customWidth="1"/>
    <col min="126" max="126" width="11.7109375" bestFit="1" customWidth="1"/>
    <col min="127" max="127" width="10.7109375" bestFit="1" customWidth="1"/>
    <col min="128" max="128" width="11.7109375" bestFit="1" customWidth="1"/>
    <col min="129" max="129" width="10.7109375" bestFit="1" customWidth="1"/>
    <col min="130" max="130" width="11.7109375" bestFit="1" customWidth="1"/>
    <col min="131" max="131" width="10.7109375" bestFit="1" customWidth="1"/>
    <col min="132" max="132" width="11.7109375" bestFit="1" customWidth="1"/>
    <col min="133" max="133" width="10.7109375" bestFit="1" customWidth="1"/>
    <col min="134" max="134" width="11.7109375" bestFit="1" customWidth="1"/>
    <col min="135" max="135" width="10.7109375" bestFit="1" customWidth="1"/>
    <col min="136" max="136" width="11.7109375" bestFit="1" customWidth="1"/>
    <col min="137" max="137" width="10.7109375" bestFit="1" customWidth="1"/>
    <col min="138" max="138" width="11.7109375" bestFit="1" customWidth="1"/>
    <col min="139" max="139" width="10.7109375" bestFit="1" customWidth="1"/>
    <col min="140" max="140" width="11.7109375" bestFit="1" customWidth="1"/>
    <col min="141" max="141" width="10.7109375" bestFit="1" customWidth="1"/>
    <col min="142" max="142" width="11.7109375" bestFit="1" customWidth="1"/>
    <col min="143" max="143" width="10.7109375" bestFit="1" customWidth="1"/>
    <col min="144" max="144" width="11.7109375" bestFit="1" customWidth="1"/>
    <col min="145" max="145" width="10.7109375" bestFit="1" customWidth="1"/>
    <col min="146" max="146" width="11.7109375" bestFit="1" customWidth="1"/>
    <col min="147" max="147" width="10.7109375" bestFit="1" customWidth="1"/>
    <col min="148" max="148" width="11.7109375" bestFit="1" customWidth="1"/>
    <col min="149" max="149" width="10.7109375" bestFit="1" customWidth="1"/>
    <col min="150" max="150" width="11.7109375" bestFit="1" customWidth="1"/>
    <col min="151" max="151" width="10.7109375" bestFit="1" customWidth="1"/>
    <col min="152" max="152" width="11.7109375" bestFit="1" customWidth="1"/>
    <col min="153" max="153" width="10.7109375" bestFit="1" customWidth="1"/>
    <col min="154" max="154" width="11.7109375" bestFit="1" customWidth="1"/>
    <col min="155" max="155" width="10.7109375" bestFit="1" customWidth="1"/>
    <col min="156" max="156" width="11.7109375" bestFit="1" customWidth="1"/>
    <col min="157" max="157" width="10.7109375" bestFit="1" customWidth="1"/>
    <col min="158" max="158" width="11.7109375" bestFit="1" customWidth="1"/>
    <col min="159" max="159" width="10.7109375" bestFit="1" customWidth="1"/>
    <col min="160" max="160" width="11.7109375" bestFit="1" customWidth="1"/>
    <col min="161" max="161" width="10.7109375" bestFit="1" customWidth="1"/>
    <col min="162" max="162" width="11.7109375" bestFit="1" customWidth="1"/>
    <col min="163" max="163" width="10.7109375" bestFit="1" customWidth="1"/>
    <col min="164" max="164" width="11.7109375" bestFit="1" customWidth="1"/>
    <col min="165" max="165" width="10.7109375" bestFit="1" customWidth="1"/>
    <col min="166" max="166" width="11.7109375" bestFit="1" customWidth="1"/>
    <col min="167" max="167" width="10.7109375" bestFit="1" customWidth="1"/>
    <col min="168" max="168" width="11.7109375" bestFit="1" customWidth="1"/>
    <col min="169" max="169" width="10.7109375" bestFit="1" customWidth="1"/>
    <col min="170" max="170" width="11.7109375" bestFit="1" customWidth="1"/>
    <col min="171" max="171" width="10.42578125" bestFit="1" customWidth="1"/>
    <col min="172" max="172" width="18" bestFit="1" customWidth="1"/>
    <col min="173" max="173" width="16.85546875" bestFit="1" customWidth="1"/>
  </cols>
  <sheetData>
    <row r="3" spans="1:3" x14ac:dyDescent="0.25">
      <c r="A3" s="3" t="s">
        <v>43</v>
      </c>
      <c r="B3" t="s">
        <v>42</v>
      </c>
      <c r="C3" t="s">
        <v>41</v>
      </c>
    </row>
    <row r="4" spans="1:3" x14ac:dyDescent="0.25">
      <c r="A4" s="30" t="s">
        <v>33</v>
      </c>
      <c r="B4" s="4">
        <v>23</v>
      </c>
      <c r="C4" s="4">
        <v>329350</v>
      </c>
    </row>
    <row r="5" spans="1:3" x14ac:dyDescent="0.25">
      <c r="A5" s="30" t="s">
        <v>30</v>
      </c>
      <c r="B5" s="4">
        <v>47</v>
      </c>
      <c r="C5" s="4">
        <v>604765</v>
      </c>
    </row>
    <row r="6" spans="1:3" x14ac:dyDescent="0.25">
      <c r="A6" s="30" t="s">
        <v>34</v>
      </c>
      <c r="B6" s="4">
        <v>70</v>
      </c>
      <c r="C6" s="4">
        <v>669175</v>
      </c>
    </row>
    <row r="7" spans="1:3" x14ac:dyDescent="0.25">
      <c r="A7" s="30" t="s">
        <v>37</v>
      </c>
      <c r="B7" s="4">
        <v>56</v>
      </c>
      <c r="C7" s="4">
        <v>530975</v>
      </c>
    </row>
    <row r="8" spans="1:3" x14ac:dyDescent="0.25">
      <c r="A8" s="30" t="s">
        <v>38</v>
      </c>
      <c r="B8" s="4">
        <v>53</v>
      </c>
      <c r="C8" s="4">
        <v>712810</v>
      </c>
    </row>
    <row r="9" spans="1:3" x14ac:dyDescent="0.25">
      <c r="A9" s="30" t="s">
        <v>36</v>
      </c>
      <c r="B9" s="4">
        <v>48</v>
      </c>
      <c r="C9" s="4">
        <v>666960</v>
      </c>
    </row>
    <row r="10" spans="1:3" x14ac:dyDescent="0.25">
      <c r="A10" s="30" t="s">
        <v>39</v>
      </c>
      <c r="B10" s="4">
        <v>43</v>
      </c>
      <c r="C10" s="4">
        <v>545650</v>
      </c>
    </row>
    <row r="11" spans="1:3" x14ac:dyDescent="0.25">
      <c r="A11" s="30" t="s">
        <v>31</v>
      </c>
      <c r="B11" s="4">
        <v>66</v>
      </c>
      <c r="C11" s="4">
        <v>873635</v>
      </c>
    </row>
    <row r="12" spans="1:3" x14ac:dyDescent="0.25">
      <c r="A12" s="30" t="s">
        <v>35</v>
      </c>
      <c r="B12" s="4">
        <v>53</v>
      </c>
      <c r="C12" s="4">
        <v>686980</v>
      </c>
    </row>
    <row r="13" spans="1:3" x14ac:dyDescent="0.25">
      <c r="A13" s="30" t="s">
        <v>32</v>
      </c>
      <c r="B13" s="4">
        <v>185</v>
      </c>
      <c r="C13" s="4">
        <v>2684290</v>
      </c>
    </row>
    <row r="14" spans="1:3" x14ac:dyDescent="0.25">
      <c r="A14" s="30" t="s">
        <v>49</v>
      </c>
      <c r="B14" s="4">
        <v>13</v>
      </c>
      <c r="C14" s="4">
        <v>125950</v>
      </c>
    </row>
    <row r="15" spans="1:3" x14ac:dyDescent="0.25">
      <c r="A15" s="30" t="s">
        <v>50</v>
      </c>
      <c r="B15" s="4">
        <v>11</v>
      </c>
      <c r="C15" s="4">
        <v>115175</v>
      </c>
    </row>
    <row r="16" spans="1:3" x14ac:dyDescent="0.25">
      <c r="A16" s="30" t="s">
        <v>1072</v>
      </c>
      <c r="B16" s="4">
        <v>42</v>
      </c>
      <c r="C16" s="4">
        <v>432675</v>
      </c>
    </row>
    <row r="17" spans="1:3" x14ac:dyDescent="0.25">
      <c r="A17" s="30" t="s">
        <v>51</v>
      </c>
      <c r="B17" s="4">
        <v>21</v>
      </c>
      <c r="C17" s="4">
        <v>197025</v>
      </c>
    </row>
    <row r="18" spans="1:3" x14ac:dyDescent="0.25">
      <c r="A18" s="30" t="s">
        <v>52</v>
      </c>
      <c r="B18" s="4">
        <v>14</v>
      </c>
      <c r="C18" s="4">
        <v>182455</v>
      </c>
    </row>
    <row r="19" spans="1:3" x14ac:dyDescent="0.25">
      <c r="A19" s="30" t="s">
        <v>53</v>
      </c>
      <c r="B19" s="4">
        <v>27</v>
      </c>
      <c r="C19" s="4">
        <v>251100</v>
      </c>
    </row>
    <row r="20" spans="1:3" x14ac:dyDescent="0.25">
      <c r="A20" s="30" t="s">
        <v>54</v>
      </c>
      <c r="B20" s="4">
        <v>14</v>
      </c>
      <c r="C20" s="4">
        <v>146675</v>
      </c>
    </row>
    <row r="21" spans="1:3" x14ac:dyDescent="0.25">
      <c r="A21" s="30" t="s">
        <v>67</v>
      </c>
      <c r="B21" s="4">
        <v>20</v>
      </c>
      <c r="C21" s="4">
        <v>184250</v>
      </c>
    </row>
    <row r="22" spans="1:3" x14ac:dyDescent="0.25">
      <c r="A22" s="30" t="s">
        <v>73</v>
      </c>
      <c r="B22" s="4">
        <v>2</v>
      </c>
      <c r="C22" s="4">
        <v>17600</v>
      </c>
    </row>
    <row r="23" spans="1:3" x14ac:dyDescent="0.25">
      <c r="A23" s="30" t="s">
        <v>55</v>
      </c>
      <c r="B23" s="4">
        <v>7</v>
      </c>
      <c r="C23" s="4">
        <v>63850</v>
      </c>
    </row>
    <row r="24" spans="1:3" x14ac:dyDescent="0.25">
      <c r="A24" s="30" t="s">
        <v>71</v>
      </c>
      <c r="B24" s="4">
        <v>10</v>
      </c>
      <c r="C24" s="4">
        <v>100750</v>
      </c>
    </row>
    <row r="25" spans="1:3" x14ac:dyDescent="0.25">
      <c r="A25" s="30" t="s">
        <v>66</v>
      </c>
      <c r="B25" s="4">
        <v>23</v>
      </c>
      <c r="C25" s="4">
        <v>216200</v>
      </c>
    </row>
    <row r="26" spans="1:3" x14ac:dyDescent="0.25">
      <c r="A26" s="30" t="s">
        <v>72</v>
      </c>
      <c r="B26" s="4">
        <v>16</v>
      </c>
      <c r="C26" s="4">
        <v>162700</v>
      </c>
    </row>
    <row r="27" spans="1:3" x14ac:dyDescent="0.25">
      <c r="A27" s="30" t="s">
        <v>74</v>
      </c>
      <c r="B27" s="4">
        <v>24</v>
      </c>
      <c r="C27" s="4">
        <v>254250</v>
      </c>
    </row>
    <row r="28" spans="1:3" x14ac:dyDescent="0.25">
      <c r="A28" s="30" t="s">
        <v>87</v>
      </c>
      <c r="B28" s="4">
        <v>21</v>
      </c>
      <c r="C28" s="4">
        <v>187800</v>
      </c>
    </row>
    <row r="29" spans="1:3" x14ac:dyDescent="0.25">
      <c r="A29" s="30" t="s">
        <v>88</v>
      </c>
      <c r="B29" s="4">
        <v>14</v>
      </c>
      <c r="C29" s="4">
        <v>140375</v>
      </c>
    </row>
    <row r="30" spans="1:3" x14ac:dyDescent="0.25">
      <c r="A30" s="30" t="s">
        <v>1071</v>
      </c>
      <c r="B30" s="4">
        <v>24</v>
      </c>
      <c r="C30" s="4">
        <v>211950</v>
      </c>
    </row>
    <row r="31" spans="1:3" x14ac:dyDescent="0.25">
      <c r="A31" s="30" t="s">
        <v>1073</v>
      </c>
      <c r="B31" s="4">
        <v>1</v>
      </c>
      <c r="C31" s="4">
        <v>13370</v>
      </c>
    </row>
    <row r="32" spans="1:3" x14ac:dyDescent="0.25">
      <c r="A32" s="30" t="s">
        <v>1074</v>
      </c>
      <c r="B32" s="4">
        <v>11</v>
      </c>
      <c r="C32" s="4">
        <v>154420</v>
      </c>
    </row>
    <row r="33" spans="1:3" x14ac:dyDescent="0.25">
      <c r="A33" s="30" t="s">
        <v>1075</v>
      </c>
      <c r="B33" s="4">
        <v>1</v>
      </c>
      <c r="C33" s="4">
        <v>12320</v>
      </c>
    </row>
    <row r="34" spans="1:3" x14ac:dyDescent="0.25">
      <c r="A34" s="30" t="s">
        <v>40</v>
      </c>
      <c r="B34" s="4">
        <v>960</v>
      </c>
      <c r="C34" s="4">
        <v>11475480</v>
      </c>
    </row>
    <row r="35" spans="1:3" x14ac:dyDescent="0.25">
      <c r="B35"/>
    </row>
    <row r="36" spans="1:3" x14ac:dyDescent="0.25">
      <c r="B36"/>
    </row>
    <row r="37" spans="1:3" x14ac:dyDescent="0.25">
      <c r="B37"/>
    </row>
    <row r="38" spans="1:3" x14ac:dyDescent="0.25">
      <c r="B38"/>
    </row>
    <row r="39" spans="1:3" x14ac:dyDescent="0.25">
      <c r="B39"/>
    </row>
    <row r="40" spans="1:3" x14ac:dyDescent="0.25">
      <c r="B40"/>
    </row>
    <row r="41" spans="1:3" x14ac:dyDescent="0.25">
      <c r="B41"/>
    </row>
    <row r="42" spans="1:3" x14ac:dyDescent="0.25">
      <c r="B42"/>
    </row>
    <row r="43" spans="1:3" x14ac:dyDescent="0.25">
      <c r="B43"/>
    </row>
    <row r="44" spans="1:3" x14ac:dyDescent="0.25">
      <c r="B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375C-9CAC-4F68-AD57-A0E165361B63}">
  <dimension ref="A1:P962"/>
  <sheetViews>
    <sheetView topLeftCell="F1" workbookViewId="0">
      <pane ySplit="2" topLeftCell="A791" activePane="bottomLeft" state="frozen"/>
      <selection pane="bottomLeft" activeCell="F1" sqref="A1:XFD1048576"/>
    </sheetView>
  </sheetViews>
  <sheetFormatPr defaultRowHeight="15" x14ac:dyDescent="0.25"/>
  <cols>
    <col min="1" max="1" width="35.7109375" customWidth="1"/>
    <col min="2" max="2" width="30.42578125" bestFit="1" customWidth="1"/>
    <col min="3" max="3" width="22.85546875" bestFit="1" customWidth="1"/>
    <col min="4" max="4" width="13.42578125" bestFit="1" customWidth="1"/>
    <col min="5" max="5" width="12.28515625" bestFit="1" customWidth="1"/>
    <col min="6" max="6" width="32.7109375" customWidth="1"/>
    <col min="7" max="7" width="23.28515625" customWidth="1"/>
    <col min="8" max="8" width="10.85546875" bestFit="1" customWidth="1"/>
    <col min="9" max="9" width="9.85546875" bestFit="1" customWidth="1"/>
    <col min="10" max="10" width="11.85546875" customWidth="1"/>
    <col min="11" max="11" width="11.85546875" bestFit="1" customWidth="1"/>
    <col min="12" max="12" width="31" customWidth="1"/>
    <col min="13" max="13" width="14" bestFit="1" customWidth="1"/>
    <col min="14" max="14" width="11.42578125" bestFit="1" customWidth="1"/>
    <col min="15" max="15" width="9.5703125" bestFit="1" customWidth="1"/>
    <col min="16" max="16" width="13.140625" bestFit="1" customWidth="1"/>
  </cols>
  <sheetData>
    <row r="1" spans="1:16" x14ac:dyDescent="0.25">
      <c r="A1">
        <f>COUNTIFS(P3:P1048576,"&gt;=0")</f>
        <v>960</v>
      </c>
      <c r="H1" s="2">
        <f>SUBTOTAL(9,H3:H962)</f>
        <v>11475480</v>
      </c>
      <c r="I1" s="2">
        <f>SUBTOTAL(9,I3:I962)</f>
        <v>9478946</v>
      </c>
      <c r="N1" s="2">
        <f>SUBTOTAL(9,N3:N624)</f>
        <v>985808.800000004</v>
      </c>
      <c r="O1" s="2">
        <f>SUBTOTAL(9,O3:O624)</f>
        <v>61613.05000000025</v>
      </c>
      <c r="P1" s="2">
        <f>SUBTOTAL(9,P3:P624)</f>
        <v>311000</v>
      </c>
    </row>
    <row r="2" spans="1:16" x14ac:dyDescent="0.25">
      <c r="A2" s="31" t="s">
        <v>17</v>
      </c>
      <c r="B2" s="31" t="s">
        <v>113</v>
      </c>
      <c r="C2" s="31" t="s">
        <v>18</v>
      </c>
      <c r="D2" s="31" t="s">
        <v>19</v>
      </c>
      <c r="E2" s="31" t="s">
        <v>20</v>
      </c>
      <c r="F2" s="31" t="s">
        <v>21</v>
      </c>
      <c r="G2" s="31" t="s">
        <v>22</v>
      </c>
      <c r="H2" s="31" t="s">
        <v>23</v>
      </c>
      <c r="I2" s="31" t="s">
        <v>24</v>
      </c>
      <c r="J2" s="31" t="s">
        <v>25</v>
      </c>
      <c r="K2" s="31" t="s">
        <v>26</v>
      </c>
      <c r="L2" s="31" t="s">
        <v>27</v>
      </c>
      <c r="M2" s="31" t="s">
        <v>28</v>
      </c>
      <c r="N2" s="32" t="s">
        <v>2479</v>
      </c>
      <c r="O2" s="31" t="s">
        <v>29</v>
      </c>
      <c r="P2" s="31" t="s">
        <v>14</v>
      </c>
    </row>
    <row r="3" spans="1:16" x14ac:dyDescent="0.25">
      <c r="A3" s="37" t="s">
        <v>114</v>
      </c>
      <c r="B3" s="37"/>
      <c r="C3" s="40" t="s">
        <v>36</v>
      </c>
      <c r="D3" s="39">
        <v>45474</v>
      </c>
      <c r="E3" s="39">
        <v>45839</v>
      </c>
      <c r="F3" s="37" t="s">
        <v>1076</v>
      </c>
      <c r="G3" s="37" t="s">
        <v>63</v>
      </c>
      <c r="H3" s="41">
        <v>19145</v>
      </c>
      <c r="I3" s="42">
        <v>16073</v>
      </c>
      <c r="J3" s="37" t="s">
        <v>1731</v>
      </c>
      <c r="K3" s="39">
        <v>45474</v>
      </c>
      <c r="L3" s="33" t="s">
        <v>58</v>
      </c>
      <c r="M3" s="41">
        <v>547000</v>
      </c>
      <c r="N3" s="34">
        <f>I3*16/100</f>
        <v>2571.6799999999998</v>
      </c>
      <c r="O3" s="36">
        <f>I3*1/100</f>
        <v>160.72999999999999</v>
      </c>
      <c r="P3" s="35">
        <v>500</v>
      </c>
    </row>
    <row r="4" spans="1:16" x14ac:dyDescent="0.25">
      <c r="A4" s="37" t="s">
        <v>115</v>
      </c>
      <c r="B4" s="37"/>
      <c r="C4" s="40" t="s">
        <v>36</v>
      </c>
      <c r="D4" s="39">
        <v>45840</v>
      </c>
      <c r="E4" s="39">
        <v>46205</v>
      </c>
      <c r="F4" s="37" t="s">
        <v>1076</v>
      </c>
      <c r="G4" s="37" t="s">
        <v>63</v>
      </c>
      <c r="H4" s="41">
        <v>19145</v>
      </c>
      <c r="I4" s="42">
        <v>16073</v>
      </c>
      <c r="J4" s="37" t="s">
        <v>1731</v>
      </c>
      <c r="K4" s="39">
        <v>45474</v>
      </c>
      <c r="L4" s="33" t="s">
        <v>58</v>
      </c>
      <c r="M4" s="41">
        <v>547000</v>
      </c>
      <c r="N4" s="34">
        <f t="shared" ref="N4:N67" si="0">I4*16/100</f>
        <v>2571.6799999999998</v>
      </c>
      <c r="O4" s="36">
        <f t="shared" ref="O4:O67" si="1">I4*1/100</f>
        <v>160.72999999999999</v>
      </c>
      <c r="P4" s="35">
        <v>500</v>
      </c>
    </row>
    <row r="5" spans="1:16" x14ac:dyDescent="0.25">
      <c r="A5" s="37" t="s">
        <v>116</v>
      </c>
      <c r="B5" s="37"/>
      <c r="C5" s="40" t="s">
        <v>36</v>
      </c>
      <c r="D5" s="39">
        <v>45474</v>
      </c>
      <c r="E5" s="39">
        <v>45839</v>
      </c>
      <c r="F5" s="37" t="s">
        <v>1077</v>
      </c>
      <c r="G5" s="37" t="s">
        <v>61</v>
      </c>
      <c r="H5" s="41">
        <v>12320</v>
      </c>
      <c r="I5" s="42">
        <v>10190</v>
      </c>
      <c r="J5" s="37" t="s">
        <v>1733</v>
      </c>
      <c r="K5" s="39">
        <v>45474</v>
      </c>
      <c r="L5" s="33" t="s">
        <v>58</v>
      </c>
      <c r="M5" s="41">
        <v>352000</v>
      </c>
      <c r="N5" s="34">
        <f t="shared" si="0"/>
        <v>1630.4</v>
      </c>
      <c r="O5" s="36">
        <f t="shared" si="1"/>
        <v>101.9</v>
      </c>
      <c r="P5" s="35">
        <v>500</v>
      </c>
    </row>
    <row r="6" spans="1:16" x14ac:dyDescent="0.25">
      <c r="A6" s="37" t="s">
        <v>117</v>
      </c>
      <c r="B6" s="37"/>
      <c r="C6" s="40" t="s">
        <v>36</v>
      </c>
      <c r="D6" s="39">
        <v>45840</v>
      </c>
      <c r="E6" s="39">
        <v>46205</v>
      </c>
      <c r="F6" s="37" t="s">
        <v>1077</v>
      </c>
      <c r="G6" s="37" t="s">
        <v>61</v>
      </c>
      <c r="H6" s="41">
        <v>12320</v>
      </c>
      <c r="I6" s="42">
        <v>10190</v>
      </c>
      <c r="J6" s="37" t="s">
        <v>1733</v>
      </c>
      <c r="K6" s="39">
        <v>45474</v>
      </c>
      <c r="L6" s="33" t="s">
        <v>58</v>
      </c>
      <c r="M6" s="41">
        <v>352000</v>
      </c>
      <c r="N6" s="34">
        <f t="shared" si="0"/>
        <v>1630.4</v>
      </c>
      <c r="O6" s="36">
        <f t="shared" si="1"/>
        <v>101.9</v>
      </c>
      <c r="P6" s="35">
        <v>500</v>
      </c>
    </row>
    <row r="7" spans="1:16" x14ac:dyDescent="0.25">
      <c r="A7" s="37" t="s">
        <v>118</v>
      </c>
      <c r="B7" s="37"/>
      <c r="C7" s="40" t="s">
        <v>36</v>
      </c>
      <c r="D7" s="39">
        <v>45474</v>
      </c>
      <c r="E7" s="39">
        <v>45839</v>
      </c>
      <c r="F7" s="37" t="s">
        <v>1078</v>
      </c>
      <c r="G7" s="37" t="s">
        <v>62</v>
      </c>
      <c r="H7" s="41">
        <v>13370</v>
      </c>
      <c r="I7" s="42">
        <v>11095</v>
      </c>
      <c r="J7" s="37" t="s">
        <v>1734</v>
      </c>
      <c r="K7" s="39">
        <v>45474</v>
      </c>
      <c r="L7" s="33" t="s">
        <v>58</v>
      </c>
      <c r="M7" s="41">
        <v>382000</v>
      </c>
      <c r="N7" s="34">
        <f t="shared" si="0"/>
        <v>1775.2</v>
      </c>
      <c r="O7" s="36">
        <f t="shared" si="1"/>
        <v>110.95</v>
      </c>
      <c r="P7" s="35">
        <v>500</v>
      </c>
    </row>
    <row r="8" spans="1:16" x14ac:dyDescent="0.25">
      <c r="A8" s="37" t="s">
        <v>119</v>
      </c>
      <c r="B8" s="37"/>
      <c r="C8" s="40" t="s">
        <v>36</v>
      </c>
      <c r="D8" s="39">
        <v>45840</v>
      </c>
      <c r="E8" s="39">
        <v>46205</v>
      </c>
      <c r="F8" s="37" t="s">
        <v>1078</v>
      </c>
      <c r="G8" s="37" t="s">
        <v>62</v>
      </c>
      <c r="H8" s="41">
        <v>13370</v>
      </c>
      <c r="I8" s="42">
        <v>11095</v>
      </c>
      <c r="J8" s="37" t="s">
        <v>1734</v>
      </c>
      <c r="K8" s="39">
        <v>45474</v>
      </c>
      <c r="L8" s="33" t="s">
        <v>58</v>
      </c>
      <c r="M8" s="41">
        <v>382000</v>
      </c>
      <c r="N8" s="34">
        <f t="shared" si="0"/>
        <v>1775.2</v>
      </c>
      <c r="O8" s="36">
        <f t="shared" si="1"/>
        <v>110.95</v>
      </c>
      <c r="P8" s="35">
        <v>500</v>
      </c>
    </row>
    <row r="9" spans="1:16" x14ac:dyDescent="0.25">
      <c r="A9" s="37" t="s">
        <v>120</v>
      </c>
      <c r="B9" s="37"/>
      <c r="C9" s="40" t="s">
        <v>32</v>
      </c>
      <c r="D9" s="39">
        <v>45474</v>
      </c>
      <c r="E9" s="39">
        <v>45839</v>
      </c>
      <c r="F9" s="37" t="s">
        <v>1079</v>
      </c>
      <c r="G9" s="37" t="s">
        <v>61</v>
      </c>
      <c r="H9" s="41">
        <v>12320</v>
      </c>
      <c r="I9" s="42">
        <v>10190</v>
      </c>
      <c r="J9" s="37" t="s">
        <v>1735</v>
      </c>
      <c r="K9" s="39">
        <v>45474</v>
      </c>
      <c r="L9" s="33" t="s">
        <v>58</v>
      </c>
      <c r="M9" s="41">
        <v>352000</v>
      </c>
      <c r="N9" s="34">
        <f t="shared" si="0"/>
        <v>1630.4</v>
      </c>
      <c r="O9" s="36">
        <f t="shared" si="1"/>
        <v>101.9</v>
      </c>
      <c r="P9" s="35">
        <v>500</v>
      </c>
    </row>
    <row r="10" spans="1:16" x14ac:dyDescent="0.25">
      <c r="A10" s="37" t="s">
        <v>121</v>
      </c>
      <c r="B10" s="37"/>
      <c r="C10" s="40" t="s">
        <v>32</v>
      </c>
      <c r="D10" s="39">
        <v>45840</v>
      </c>
      <c r="E10" s="39">
        <v>46205</v>
      </c>
      <c r="F10" s="37" t="s">
        <v>1079</v>
      </c>
      <c r="G10" s="37" t="s">
        <v>61</v>
      </c>
      <c r="H10" s="41">
        <v>12320</v>
      </c>
      <c r="I10" s="42">
        <v>10190</v>
      </c>
      <c r="J10" s="37" t="s">
        <v>1735</v>
      </c>
      <c r="K10" s="39">
        <v>45474</v>
      </c>
      <c r="L10" s="33" t="s">
        <v>58</v>
      </c>
      <c r="M10" s="41">
        <v>352000</v>
      </c>
      <c r="N10" s="34">
        <f t="shared" si="0"/>
        <v>1630.4</v>
      </c>
      <c r="O10" s="36">
        <f t="shared" si="1"/>
        <v>101.9</v>
      </c>
      <c r="P10" s="35">
        <v>500</v>
      </c>
    </row>
    <row r="11" spans="1:16" x14ac:dyDescent="0.25">
      <c r="A11" s="37" t="s">
        <v>122</v>
      </c>
      <c r="B11" s="37"/>
      <c r="C11" s="40" t="s">
        <v>36</v>
      </c>
      <c r="D11" s="39">
        <v>45474</v>
      </c>
      <c r="E11" s="39">
        <v>45839</v>
      </c>
      <c r="F11" s="37" t="s">
        <v>1080</v>
      </c>
      <c r="G11" s="37" t="s">
        <v>63</v>
      </c>
      <c r="H11" s="41">
        <v>19145</v>
      </c>
      <c r="I11" s="42">
        <v>16073</v>
      </c>
      <c r="J11" s="37" t="s">
        <v>1732</v>
      </c>
      <c r="K11" s="39">
        <v>45474</v>
      </c>
      <c r="L11" s="33" t="s">
        <v>58</v>
      </c>
      <c r="M11" s="41">
        <v>547000</v>
      </c>
      <c r="N11" s="34">
        <f t="shared" si="0"/>
        <v>2571.6799999999998</v>
      </c>
      <c r="O11" s="36">
        <f t="shared" si="1"/>
        <v>160.72999999999999</v>
      </c>
      <c r="P11" s="35">
        <v>500</v>
      </c>
    </row>
    <row r="12" spans="1:16" x14ac:dyDescent="0.25">
      <c r="A12" s="37" t="s">
        <v>123</v>
      </c>
      <c r="B12" s="37"/>
      <c r="C12" s="40" t="s">
        <v>36</v>
      </c>
      <c r="D12" s="39">
        <v>45840</v>
      </c>
      <c r="E12" s="39">
        <v>46205</v>
      </c>
      <c r="F12" s="37" t="s">
        <v>1080</v>
      </c>
      <c r="G12" s="37" t="s">
        <v>63</v>
      </c>
      <c r="H12" s="41">
        <v>19145</v>
      </c>
      <c r="I12" s="42">
        <v>16073</v>
      </c>
      <c r="J12" s="37" t="s">
        <v>1732</v>
      </c>
      <c r="K12" s="39">
        <v>45474</v>
      </c>
      <c r="L12" s="33" t="s">
        <v>58</v>
      </c>
      <c r="M12" s="41">
        <v>547000</v>
      </c>
      <c r="N12" s="34">
        <f t="shared" si="0"/>
        <v>2571.6799999999998</v>
      </c>
      <c r="O12" s="36">
        <f t="shared" si="1"/>
        <v>160.72999999999999</v>
      </c>
      <c r="P12" s="35">
        <v>500</v>
      </c>
    </row>
    <row r="13" spans="1:16" x14ac:dyDescent="0.25">
      <c r="A13" s="37" t="s">
        <v>124</v>
      </c>
      <c r="B13" s="37"/>
      <c r="C13" s="40" t="s">
        <v>32</v>
      </c>
      <c r="D13" s="39">
        <v>45474</v>
      </c>
      <c r="E13" s="39">
        <v>45839</v>
      </c>
      <c r="F13" s="37" t="s">
        <v>107</v>
      </c>
      <c r="G13" s="37" t="s">
        <v>63</v>
      </c>
      <c r="H13" s="41">
        <v>19145</v>
      </c>
      <c r="I13" s="42">
        <v>16073</v>
      </c>
      <c r="J13" s="37" t="s">
        <v>1737</v>
      </c>
      <c r="K13" s="39">
        <v>45474</v>
      </c>
      <c r="L13" s="33" t="s">
        <v>58</v>
      </c>
      <c r="M13" s="41">
        <v>547000</v>
      </c>
      <c r="N13" s="34">
        <f t="shared" si="0"/>
        <v>2571.6799999999998</v>
      </c>
      <c r="O13" s="36">
        <f t="shared" si="1"/>
        <v>160.72999999999999</v>
      </c>
      <c r="P13" s="35">
        <v>500</v>
      </c>
    </row>
    <row r="14" spans="1:16" x14ac:dyDescent="0.25">
      <c r="A14" s="37" t="s">
        <v>125</v>
      </c>
      <c r="B14" s="37"/>
      <c r="C14" s="40" t="s">
        <v>32</v>
      </c>
      <c r="D14" s="39">
        <v>45474</v>
      </c>
      <c r="E14" s="39">
        <v>45839</v>
      </c>
      <c r="F14" s="37" t="s">
        <v>1081</v>
      </c>
      <c r="G14" s="37" t="s">
        <v>61</v>
      </c>
      <c r="H14" s="41">
        <v>12320</v>
      </c>
      <c r="I14" s="42">
        <v>10190</v>
      </c>
      <c r="J14" s="37" t="s">
        <v>1739</v>
      </c>
      <c r="K14" s="39">
        <v>45474</v>
      </c>
      <c r="L14" s="33" t="s">
        <v>58</v>
      </c>
      <c r="M14" s="41">
        <v>352000</v>
      </c>
      <c r="N14" s="34">
        <f t="shared" si="0"/>
        <v>1630.4</v>
      </c>
      <c r="O14" s="36">
        <f t="shared" si="1"/>
        <v>101.9</v>
      </c>
      <c r="P14" s="35">
        <v>500</v>
      </c>
    </row>
    <row r="15" spans="1:16" x14ac:dyDescent="0.25">
      <c r="A15" s="37" t="s">
        <v>126</v>
      </c>
      <c r="B15" s="37"/>
      <c r="C15" s="40" t="s">
        <v>32</v>
      </c>
      <c r="D15" s="39">
        <v>45840</v>
      </c>
      <c r="E15" s="39">
        <v>46205</v>
      </c>
      <c r="F15" s="37" t="s">
        <v>1081</v>
      </c>
      <c r="G15" s="37" t="s">
        <v>61</v>
      </c>
      <c r="H15" s="41">
        <v>12320</v>
      </c>
      <c r="I15" s="42">
        <v>10190</v>
      </c>
      <c r="J15" s="37" t="s">
        <v>1739</v>
      </c>
      <c r="K15" s="39">
        <v>45474</v>
      </c>
      <c r="L15" s="33" t="s">
        <v>58</v>
      </c>
      <c r="M15" s="41">
        <v>352000</v>
      </c>
      <c r="N15" s="34">
        <f t="shared" si="0"/>
        <v>1630.4</v>
      </c>
      <c r="O15" s="36">
        <f t="shared" si="1"/>
        <v>101.9</v>
      </c>
      <c r="P15" s="35">
        <v>500</v>
      </c>
    </row>
    <row r="16" spans="1:16" x14ac:dyDescent="0.25">
      <c r="A16" s="37" t="s">
        <v>127</v>
      </c>
      <c r="B16" s="37"/>
      <c r="C16" s="40" t="s">
        <v>36</v>
      </c>
      <c r="D16" s="39">
        <v>45474</v>
      </c>
      <c r="E16" s="39">
        <v>45839</v>
      </c>
      <c r="F16" s="37" t="s">
        <v>1082</v>
      </c>
      <c r="G16" s="37" t="s">
        <v>61</v>
      </c>
      <c r="H16" s="41">
        <v>12320</v>
      </c>
      <c r="I16" s="42">
        <v>10190</v>
      </c>
      <c r="J16" s="37" t="s">
        <v>1740</v>
      </c>
      <c r="K16" s="39">
        <v>45474</v>
      </c>
      <c r="L16" s="33" t="s">
        <v>58</v>
      </c>
      <c r="M16" s="41">
        <v>352000</v>
      </c>
      <c r="N16" s="34">
        <f t="shared" si="0"/>
        <v>1630.4</v>
      </c>
      <c r="O16" s="36">
        <f t="shared" si="1"/>
        <v>101.9</v>
      </c>
      <c r="P16" s="35">
        <v>500</v>
      </c>
    </row>
    <row r="17" spans="1:16" x14ac:dyDescent="0.25">
      <c r="A17" s="37" t="s">
        <v>128</v>
      </c>
      <c r="B17" s="37"/>
      <c r="C17" s="40" t="s">
        <v>32</v>
      </c>
      <c r="D17" s="39">
        <v>45474</v>
      </c>
      <c r="E17" s="39">
        <v>45839</v>
      </c>
      <c r="F17" s="37" t="s">
        <v>1083</v>
      </c>
      <c r="G17" s="37" t="s">
        <v>62</v>
      </c>
      <c r="H17" s="41">
        <v>13370</v>
      </c>
      <c r="I17" s="42">
        <v>11095</v>
      </c>
      <c r="J17" s="37" t="s">
        <v>1741</v>
      </c>
      <c r="K17" s="39">
        <v>45474</v>
      </c>
      <c r="L17" s="33" t="s">
        <v>58</v>
      </c>
      <c r="M17" s="41">
        <v>382000</v>
      </c>
      <c r="N17" s="34">
        <f t="shared" si="0"/>
        <v>1775.2</v>
      </c>
      <c r="O17" s="36">
        <f t="shared" si="1"/>
        <v>110.95</v>
      </c>
      <c r="P17" s="35">
        <v>500</v>
      </c>
    </row>
    <row r="18" spans="1:16" x14ac:dyDescent="0.25">
      <c r="A18" s="37" t="s">
        <v>129</v>
      </c>
      <c r="B18" s="37"/>
      <c r="C18" s="40" t="s">
        <v>32</v>
      </c>
      <c r="D18" s="39">
        <v>45840</v>
      </c>
      <c r="E18" s="39">
        <v>46205</v>
      </c>
      <c r="F18" s="37" t="s">
        <v>1083</v>
      </c>
      <c r="G18" s="37" t="s">
        <v>62</v>
      </c>
      <c r="H18" s="41">
        <v>13370</v>
      </c>
      <c r="I18" s="42">
        <v>11095</v>
      </c>
      <c r="J18" s="37" t="s">
        <v>1741</v>
      </c>
      <c r="K18" s="39">
        <v>45474</v>
      </c>
      <c r="L18" s="33" t="s">
        <v>58</v>
      </c>
      <c r="M18" s="41">
        <v>382000</v>
      </c>
      <c r="N18" s="34">
        <f t="shared" si="0"/>
        <v>1775.2</v>
      </c>
      <c r="O18" s="36">
        <f t="shared" si="1"/>
        <v>110.95</v>
      </c>
      <c r="P18" s="35">
        <v>500</v>
      </c>
    </row>
    <row r="19" spans="1:16" x14ac:dyDescent="0.25">
      <c r="A19" s="37" t="s">
        <v>130</v>
      </c>
      <c r="B19" s="37"/>
      <c r="C19" s="40" t="s">
        <v>36</v>
      </c>
      <c r="D19" s="39">
        <v>45474</v>
      </c>
      <c r="E19" s="39">
        <v>45839</v>
      </c>
      <c r="F19" s="37" t="s">
        <v>1084</v>
      </c>
      <c r="G19" s="37" t="s">
        <v>61</v>
      </c>
      <c r="H19" s="41">
        <v>12320</v>
      </c>
      <c r="I19" s="42">
        <v>10190</v>
      </c>
      <c r="J19" s="37" t="s">
        <v>1742</v>
      </c>
      <c r="K19" s="39">
        <v>45474</v>
      </c>
      <c r="L19" s="33" t="s">
        <v>58</v>
      </c>
      <c r="M19" s="41">
        <v>352000</v>
      </c>
      <c r="N19" s="34">
        <f t="shared" si="0"/>
        <v>1630.4</v>
      </c>
      <c r="O19" s="36">
        <f t="shared" si="1"/>
        <v>101.9</v>
      </c>
      <c r="P19" s="35">
        <v>500</v>
      </c>
    </row>
    <row r="20" spans="1:16" x14ac:dyDescent="0.25">
      <c r="A20" s="37" t="s">
        <v>131</v>
      </c>
      <c r="B20" s="37"/>
      <c r="C20" s="40" t="s">
        <v>35</v>
      </c>
      <c r="D20" s="39">
        <v>45474</v>
      </c>
      <c r="E20" s="39">
        <v>45839</v>
      </c>
      <c r="F20" s="37" t="s">
        <v>1085</v>
      </c>
      <c r="G20" s="37" t="s">
        <v>61</v>
      </c>
      <c r="H20" s="41">
        <v>12320</v>
      </c>
      <c r="I20" s="42">
        <v>10190</v>
      </c>
      <c r="J20" s="37" t="s">
        <v>1743</v>
      </c>
      <c r="K20" s="39">
        <v>45474</v>
      </c>
      <c r="L20" s="33" t="s">
        <v>58</v>
      </c>
      <c r="M20" s="41">
        <v>352000</v>
      </c>
      <c r="N20" s="34">
        <f t="shared" si="0"/>
        <v>1630.4</v>
      </c>
      <c r="O20" s="36">
        <f t="shared" si="1"/>
        <v>101.9</v>
      </c>
      <c r="P20" s="35">
        <v>500</v>
      </c>
    </row>
    <row r="21" spans="1:16" x14ac:dyDescent="0.25">
      <c r="A21" s="37" t="s">
        <v>132</v>
      </c>
      <c r="B21" s="37"/>
      <c r="C21" s="40" t="s">
        <v>32</v>
      </c>
      <c r="D21" s="39">
        <v>45474</v>
      </c>
      <c r="E21" s="39">
        <v>45839</v>
      </c>
      <c r="F21" s="37" t="s">
        <v>1086</v>
      </c>
      <c r="G21" s="37" t="s">
        <v>61</v>
      </c>
      <c r="H21" s="41">
        <v>12320</v>
      </c>
      <c r="I21" s="42">
        <v>10190</v>
      </c>
      <c r="J21" s="37" t="s">
        <v>1745</v>
      </c>
      <c r="K21" s="39">
        <v>45474</v>
      </c>
      <c r="L21" s="33" t="s">
        <v>58</v>
      </c>
      <c r="M21" s="41">
        <v>352000</v>
      </c>
      <c r="N21" s="34">
        <f t="shared" si="0"/>
        <v>1630.4</v>
      </c>
      <c r="O21" s="36">
        <f t="shared" si="1"/>
        <v>101.9</v>
      </c>
      <c r="P21" s="35">
        <v>500</v>
      </c>
    </row>
    <row r="22" spans="1:16" x14ac:dyDescent="0.25">
      <c r="A22" s="37" t="s">
        <v>133</v>
      </c>
      <c r="B22" s="37"/>
      <c r="C22" s="40" t="s">
        <v>32</v>
      </c>
      <c r="D22" s="39">
        <v>45474</v>
      </c>
      <c r="E22" s="39">
        <v>45839</v>
      </c>
      <c r="F22" s="37" t="s">
        <v>1087</v>
      </c>
      <c r="G22" s="37" t="s">
        <v>63</v>
      </c>
      <c r="H22" s="41">
        <v>19145</v>
      </c>
      <c r="I22" s="42">
        <v>16073</v>
      </c>
      <c r="J22" s="37" t="s">
        <v>1746</v>
      </c>
      <c r="K22" s="39">
        <v>45474</v>
      </c>
      <c r="L22" s="33" t="s">
        <v>58</v>
      </c>
      <c r="M22" s="41">
        <v>547000</v>
      </c>
      <c r="N22" s="34">
        <f t="shared" si="0"/>
        <v>2571.6799999999998</v>
      </c>
      <c r="O22" s="36">
        <f t="shared" si="1"/>
        <v>160.72999999999999</v>
      </c>
      <c r="P22" s="35">
        <v>500</v>
      </c>
    </row>
    <row r="23" spans="1:16" x14ac:dyDescent="0.25">
      <c r="A23" s="37" t="s">
        <v>134</v>
      </c>
      <c r="B23" s="37"/>
      <c r="C23" s="40" t="s">
        <v>32</v>
      </c>
      <c r="D23" s="39">
        <v>45840</v>
      </c>
      <c r="E23" s="39">
        <v>46205</v>
      </c>
      <c r="F23" s="37" t="s">
        <v>1087</v>
      </c>
      <c r="G23" s="37" t="s">
        <v>63</v>
      </c>
      <c r="H23" s="41">
        <v>19145</v>
      </c>
      <c r="I23" s="42">
        <v>16073</v>
      </c>
      <c r="J23" s="37" t="s">
        <v>1746</v>
      </c>
      <c r="K23" s="39">
        <v>45474</v>
      </c>
      <c r="L23" s="33" t="s">
        <v>58</v>
      </c>
      <c r="M23" s="41">
        <v>547000</v>
      </c>
      <c r="N23" s="34">
        <f t="shared" si="0"/>
        <v>2571.6799999999998</v>
      </c>
      <c r="O23" s="36">
        <f t="shared" si="1"/>
        <v>160.72999999999999</v>
      </c>
      <c r="P23" s="35">
        <v>500</v>
      </c>
    </row>
    <row r="24" spans="1:16" x14ac:dyDescent="0.25">
      <c r="A24" s="37" t="s">
        <v>135</v>
      </c>
      <c r="B24" s="37"/>
      <c r="C24" s="40" t="s">
        <v>36</v>
      </c>
      <c r="D24" s="39">
        <v>45474</v>
      </c>
      <c r="E24" s="39">
        <v>45839</v>
      </c>
      <c r="F24" s="37" t="s">
        <v>1088</v>
      </c>
      <c r="G24" s="37" t="s">
        <v>63</v>
      </c>
      <c r="H24" s="41">
        <v>19145</v>
      </c>
      <c r="I24" s="42">
        <v>16073</v>
      </c>
      <c r="J24" s="37" t="s">
        <v>1747</v>
      </c>
      <c r="K24" s="39">
        <v>45474</v>
      </c>
      <c r="L24" s="33" t="s">
        <v>58</v>
      </c>
      <c r="M24" s="41">
        <v>547000</v>
      </c>
      <c r="N24" s="34">
        <f t="shared" si="0"/>
        <v>2571.6799999999998</v>
      </c>
      <c r="O24" s="36">
        <f t="shared" si="1"/>
        <v>160.72999999999999</v>
      </c>
      <c r="P24" s="35">
        <v>500</v>
      </c>
    </row>
    <row r="25" spans="1:16" x14ac:dyDescent="0.25">
      <c r="A25" s="37" t="s">
        <v>136</v>
      </c>
      <c r="B25" s="37"/>
      <c r="C25" s="40" t="s">
        <v>36</v>
      </c>
      <c r="D25" s="39">
        <v>45840</v>
      </c>
      <c r="E25" s="39">
        <v>46205</v>
      </c>
      <c r="F25" s="37" t="s">
        <v>1088</v>
      </c>
      <c r="G25" s="37" t="s">
        <v>63</v>
      </c>
      <c r="H25" s="41">
        <v>19145</v>
      </c>
      <c r="I25" s="42">
        <v>16073</v>
      </c>
      <c r="J25" s="37" t="s">
        <v>1747</v>
      </c>
      <c r="K25" s="39">
        <v>45474</v>
      </c>
      <c r="L25" s="33" t="s">
        <v>58</v>
      </c>
      <c r="M25" s="41">
        <v>547000</v>
      </c>
      <c r="N25" s="34">
        <f t="shared" si="0"/>
        <v>2571.6799999999998</v>
      </c>
      <c r="O25" s="36">
        <f t="shared" si="1"/>
        <v>160.72999999999999</v>
      </c>
      <c r="P25" s="35">
        <v>500</v>
      </c>
    </row>
    <row r="26" spans="1:16" x14ac:dyDescent="0.25">
      <c r="A26" s="37" t="s">
        <v>137</v>
      </c>
      <c r="B26" s="37"/>
      <c r="C26" s="40" t="s">
        <v>36</v>
      </c>
      <c r="D26" s="39">
        <v>45474</v>
      </c>
      <c r="E26" s="39">
        <v>45839</v>
      </c>
      <c r="F26" s="37" t="s">
        <v>1089</v>
      </c>
      <c r="G26" s="37" t="s">
        <v>63</v>
      </c>
      <c r="H26" s="41">
        <v>13370</v>
      </c>
      <c r="I26" s="42">
        <v>11095</v>
      </c>
      <c r="J26" s="37" t="s">
        <v>1748</v>
      </c>
      <c r="K26" s="39">
        <v>45474</v>
      </c>
      <c r="L26" s="33" t="s">
        <v>58</v>
      </c>
      <c r="M26" s="41">
        <v>382000</v>
      </c>
      <c r="N26" s="34">
        <f t="shared" si="0"/>
        <v>1775.2</v>
      </c>
      <c r="O26" s="36">
        <f t="shared" si="1"/>
        <v>110.95</v>
      </c>
      <c r="P26" s="35">
        <v>500</v>
      </c>
    </row>
    <row r="27" spans="1:16" x14ac:dyDescent="0.25">
      <c r="A27" s="37" t="s">
        <v>138</v>
      </c>
      <c r="B27" s="37"/>
      <c r="C27" s="40" t="s">
        <v>52</v>
      </c>
      <c r="D27" s="39">
        <v>45474</v>
      </c>
      <c r="E27" s="39">
        <v>45839</v>
      </c>
      <c r="F27" s="37" t="s">
        <v>1090</v>
      </c>
      <c r="G27" s="37" t="s">
        <v>61</v>
      </c>
      <c r="H27" s="41">
        <v>12320</v>
      </c>
      <c r="I27" s="42">
        <v>10190</v>
      </c>
      <c r="J27" s="37" t="s">
        <v>1749</v>
      </c>
      <c r="K27" s="39">
        <v>45474</v>
      </c>
      <c r="L27" s="33" t="s">
        <v>58</v>
      </c>
      <c r="M27" s="41">
        <v>352000</v>
      </c>
      <c r="N27" s="34">
        <f t="shared" si="0"/>
        <v>1630.4</v>
      </c>
      <c r="O27" s="36">
        <f t="shared" si="1"/>
        <v>101.9</v>
      </c>
      <c r="P27" s="35">
        <v>500</v>
      </c>
    </row>
    <row r="28" spans="1:16" x14ac:dyDescent="0.25">
      <c r="A28" s="37" t="s">
        <v>139</v>
      </c>
      <c r="B28" s="37"/>
      <c r="C28" s="40" t="s">
        <v>52</v>
      </c>
      <c r="D28" s="39">
        <v>45474</v>
      </c>
      <c r="E28" s="39">
        <v>45839</v>
      </c>
      <c r="F28" s="37" t="s">
        <v>1091</v>
      </c>
      <c r="G28" s="37" t="s">
        <v>61</v>
      </c>
      <c r="H28" s="41">
        <v>12320</v>
      </c>
      <c r="I28" s="42">
        <v>10190</v>
      </c>
      <c r="J28" s="37" t="s">
        <v>1750</v>
      </c>
      <c r="K28" s="39">
        <v>45474</v>
      </c>
      <c r="L28" s="33" t="s">
        <v>58</v>
      </c>
      <c r="M28" s="41">
        <v>352000</v>
      </c>
      <c r="N28" s="34">
        <f t="shared" si="0"/>
        <v>1630.4</v>
      </c>
      <c r="O28" s="36">
        <f t="shared" si="1"/>
        <v>101.9</v>
      </c>
      <c r="P28" s="35">
        <v>500</v>
      </c>
    </row>
    <row r="29" spans="1:16" x14ac:dyDescent="0.25">
      <c r="A29" s="37" t="s">
        <v>140</v>
      </c>
      <c r="B29" s="37"/>
      <c r="C29" s="40" t="s">
        <v>52</v>
      </c>
      <c r="D29" s="39">
        <v>45474</v>
      </c>
      <c r="E29" s="39">
        <v>45839</v>
      </c>
      <c r="F29" s="37" t="s">
        <v>1092</v>
      </c>
      <c r="G29" s="37" t="s">
        <v>61</v>
      </c>
      <c r="H29" s="41">
        <v>12320</v>
      </c>
      <c r="I29" s="42">
        <v>10190</v>
      </c>
      <c r="J29" s="37" t="s">
        <v>1751</v>
      </c>
      <c r="K29" s="39">
        <v>45474</v>
      </c>
      <c r="L29" s="33" t="s">
        <v>58</v>
      </c>
      <c r="M29" s="41">
        <v>352000</v>
      </c>
      <c r="N29" s="34">
        <f t="shared" si="0"/>
        <v>1630.4</v>
      </c>
      <c r="O29" s="36">
        <f t="shared" si="1"/>
        <v>101.9</v>
      </c>
      <c r="P29" s="35">
        <v>500</v>
      </c>
    </row>
    <row r="30" spans="1:16" x14ac:dyDescent="0.25">
      <c r="A30" s="37" t="s">
        <v>141</v>
      </c>
      <c r="B30" s="37"/>
      <c r="C30" s="40" t="s">
        <v>52</v>
      </c>
      <c r="D30" s="39">
        <v>45474</v>
      </c>
      <c r="E30" s="39">
        <v>45839</v>
      </c>
      <c r="F30" s="37" t="s">
        <v>1093</v>
      </c>
      <c r="G30" s="37" t="s">
        <v>61</v>
      </c>
      <c r="H30" s="41">
        <v>12320</v>
      </c>
      <c r="I30" s="42">
        <v>10190</v>
      </c>
      <c r="J30" s="37" t="s">
        <v>1753</v>
      </c>
      <c r="K30" s="39">
        <v>45474</v>
      </c>
      <c r="L30" s="33" t="s">
        <v>58</v>
      </c>
      <c r="M30" s="41">
        <v>352000</v>
      </c>
      <c r="N30" s="34">
        <f t="shared" si="0"/>
        <v>1630.4</v>
      </c>
      <c r="O30" s="36">
        <f t="shared" si="1"/>
        <v>101.9</v>
      </c>
      <c r="P30" s="35">
        <v>500</v>
      </c>
    </row>
    <row r="31" spans="1:16" x14ac:dyDescent="0.25">
      <c r="A31" s="37" t="s">
        <v>142</v>
      </c>
      <c r="B31" s="37"/>
      <c r="C31" s="40" t="s">
        <v>52</v>
      </c>
      <c r="D31" s="39">
        <v>45840</v>
      </c>
      <c r="E31" s="39">
        <v>46205</v>
      </c>
      <c r="F31" s="37" t="s">
        <v>1093</v>
      </c>
      <c r="G31" s="37" t="s">
        <v>61</v>
      </c>
      <c r="H31" s="41">
        <v>12320</v>
      </c>
      <c r="I31" s="42">
        <v>10190</v>
      </c>
      <c r="J31" s="37" t="s">
        <v>1753</v>
      </c>
      <c r="K31" s="39">
        <v>45474</v>
      </c>
      <c r="L31" s="33" t="s">
        <v>58</v>
      </c>
      <c r="M31" s="41">
        <v>352000</v>
      </c>
      <c r="N31" s="34">
        <f t="shared" si="0"/>
        <v>1630.4</v>
      </c>
      <c r="O31" s="36">
        <f t="shared" si="1"/>
        <v>101.9</v>
      </c>
      <c r="P31" s="35">
        <v>500</v>
      </c>
    </row>
    <row r="32" spans="1:16" x14ac:dyDescent="0.25">
      <c r="A32" s="37" t="s">
        <v>143</v>
      </c>
      <c r="B32" s="37"/>
      <c r="C32" s="40" t="s">
        <v>52</v>
      </c>
      <c r="D32" s="39">
        <v>45474</v>
      </c>
      <c r="E32" s="39">
        <v>45839</v>
      </c>
      <c r="F32" s="37" t="s">
        <v>1094</v>
      </c>
      <c r="G32" s="37" t="s">
        <v>63</v>
      </c>
      <c r="H32" s="41">
        <v>19145</v>
      </c>
      <c r="I32" s="42">
        <v>16073</v>
      </c>
      <c r="J32" s="37" t="s">
        <v>1754</v>
      </c>
      <c r="K32" s="39">
        <v>45474</v>
      </c>
      <c r="L32" s="33" t="s">
        <v>58</v>
      </c>
      <c r="M32" s="41">
        <v>547000</v>
      </c>
      <c r="N32" s="34">
        <f t="shared" si="0"/>
        <v>2571.6799999999998</v>
      </c>
      <c r="O32" s="36">
        <f t="shared" si="1"/>
        <v>160.72999999999999</v>
      </c>
      <c r="P32" s="35">
        <v>500</v>
      </c>
    </row>
    <row r="33" spans="1:16" x14ac:dyDescent="0.25">
      <c r="A33" s="37" t="s">
        <v>144</v>
      </c>
      <c r="B33" s="37"/>
      <c r="C33" s="40" t="s">
        <v>31</v>
      </c>
      <c r="D33" s="39">
        <v>45474</v>
      </c>
      <c r="E33" s="39">
        <v>45839</v>
      </c>
      <c r="F33" s="37" t="s">
        <v>1095</v>
      </c>
      <c r="G33" s="37" t="s">
        <v>65</v>
      </c>
      <c r="H33" s="41">
        <v>13370</v>
      </c>
      <c r="I33" s="42">
        <v>11095</v>
      </c>
      <c r="J33" s="37" t="s">
        <v>1755</v>
      </c>
      <c r="K33" s="39">
        <v>45474</v>
      </c>
      <c r="L33" s="33" t="s">
        <v>58</v>
      </c>
      <c r="M33" s="41">
        <v>382000</v>
      </c>
      <c r="N33" s="34">
        <f t="shared" si="0"/>
        <v>1775.2</v>
      </c>
      <c r="O33" s="36">
        <f t="shared" si="1"/>
        <v>110.95</v>
      </c>
      <c r="P33" s="35">
        <v>500</v>
      </c>
    </row>
    <row r="34" spans="1:16" x14ac:dyDescent="0.25">
      <c r="A34" s="37" t="s">
        <v>145</v>
      </c>
      <c r="B34" s="37"/>
      <c r="C34" s="40" t="s">
        <v>31</v>
      </c>
      <c r="D34" s="39">
        <v>45474</v>
      </c>
      <c r="E34" s="39">
        <v>45839</v>
      </c>
      <c r="F34" s="37" t="s">
        <v>1096</v>
      </c>
      <c r="G34" s="37" t="s">
        <v>65</v>
      </c>
      <c r="H34" s="41">
        <v>13370</v>
      </c>
      <c r="I34" s="42">
        <v>11095</v>
      </c>
      <c r="J34" s="37" t="s">
        <v>1756</v>
      </c>
      <c r="K34" s="39">
        <v>45474</v>
      </c>
      <c r="L34" s="33" t="s">
        <v>58</v>
      </c>
      <c r="M34" s="41">
        <v>382000</v>
      </c>
      <c r="N34" s="34">
        <f t="shared" si="0"/>
        <v>1775.2</v>
      </c>
      <c r="O34" s="36">
        <f t="shared" si="1"/>
        <v>110.95</v>
      </c>
      <c r="P34" s="35">
        <v>500</v>
      </c>
    </row>
    <row r="35" spans="1:16" x14ac:dyDescent="0.25">
      <c r="A35" s="37" t="s">
        <v>146</v>
      </c>
      <c r="B35" s="37"/>
      <c r="C35" s="40" t="s">
        <v>31</v>
      </c>
      <c r="D35" s="39">
        <v>45840</v>
      </c>
      <c r="E35" s="39">
        <v>46205</v>
      </c>
      <c r="F35" s="37" t="s">
        <v>1096</v>
      </c>
      <c r="G35" s="37" t="s">
        <v>65</v>
      </c>
      <c r="H35" s="41">
        <v>13370</v>
      </c>
      <c r="I35" s="42">
        <v>11095</v>
      </c>
      <c r="J35" s="37" t="s">
        <v>1756</v>
      </c>
      <c r="K35" s="39">
        <v>45474</v>
      </c>
      <c r="L35" s="33" t="s">
        <v>58</v>
      </c>
      <c r="M35" s="41">
        <v>382000</v>
      </c>
      <c r="N35" s="34">
        <f t="shared" si="0"/>
        <v>1775.2</v>
      </c>
      <c r="O35" s="36">
        <f t="shared" si="1"/>
        <v>110.95</v>
      </c>
      <c r="P35" s="35">
        <v>500</v>
      </c>
    </row>
    <row r="36" spans="1:16" x14ac:dyDescent="0.25">
      <c r="A36" s="37" t="s">
        <v>147</v>
      </c>
      <c r="B36" s="37"/>
      <c r="C36" s="40" t="s">
        <v>31</v>
      </c>
      <c r="D36" s="39">
        <v>45474</v>
      </c>
      <c r="E36" s="39">
        <v>45839</v>
      </c>
      <c r="F36" s="37" t="s">
        <v>1097</v>
      </c>
      <c r="G36" s="37" t="s">
        <v>63</v>
      </c>
      <c r="H36" s="41">
        <v>19145</v>
      </c>
      <c r="I36" s="42">
        <v>16073</v>
      </c>
      <c r="J36" s="37" t="s">
        <v>1757</v>
      </c>
      <c r="K36" s="39">
        <v>45474</v>
      </c>
      <c r="L36" s="33" t="s">
        <v>58</v>
      </c>
      <c r="M36" s="41">
        <v>547000</v>
      </c>
      <c r="N36" s="34">
        <f t="shared" si="0"/>
        <v>2571.6799999999998</v>
      </c>
      <c r="O36" s="36">
        <f t="shared" si="1"/>
        <v>160.72999999999999</v>
      </c>
      <c r="P36" s="35">
        <v>500</v>
      </c>
    </row>
    <row r="37" spans="1:16" x14ac:dyDescent="0.25">
      <c r="A37" s="37" t="s">
        <v>148</v>
      </c>
      <c r="B37" s="37"/>
      <c r="C37" s="40" t="s">
        <v>31</v>
      </c>
      <c r="D37" s="39">
        <v>45840</v>
      </c>
      <c r="E37" s="39">
        <v>46205</v>
      </c>
      <c r="F37" s="37" t="s">
        <v>1097</v>
      </c>
      <c r="G37" s="37" t="s">
        <v>63</v>
      </c>
      <c r="H37" s="41">
        <v>19145</v>
      </c>
      <c r="I37" s="42">
        <v>16073</v>
      </c>
      <c r="J37" s="37" t="s">
        <v>1757</v>
      </c>
      <c r="K37" s="39">
        <v>45474</v>
      </c>
      <c r="L37" s="33" t="s">
        <v>58</v>
      </c>
      <c r="M37" s="41">
        <v>547000</v>
      </c>
      <c r="N37" s="34">
        <f t="shared" si="0"/>
        <v>2571.6799999999998</v>
      </c>
      <c r="O37" s="36">
        <f t="shared" si="1"/>
        <v>160.72999999999999</v>
      </c>
      <c r="P37" s="35">
        <v>500</v>
      </c>
    </row>
    <row r="38" spans="1:16" x14ac:dyDescent="0.25">
      <c r="A38" s="37" t="s">
        <v>149</v>
      </c>
      <c r="B38" s="37"/>
      <c r="C38" s="40" t="s">
        <v>36</v>
      </c>
      <c r="D38" s="39">
        <v>45475</v>
      </c>
      <c r="E38" s="39">
        <v>45840</v>
      </c>
      <c r="F38" s="37" t="s">
        <v>1098</v>
      </c>
      <c r="G38" s="37" t="s">
        <v>62</v>
      </c>
      <c r="H38" s="41">
        <v>13370</v>
      </c>
      <c r="I38" s="42">
        <v>11095</v>
      </c>
      <c r="J38" s="37" t="s">
        <v>1759</v>
      </c>
      <c r="K38" s="39">
        <v>45475</v>
      </c>
      <c r="L38" s="33" t="s">
        <v>58</v>
      </c>
      <c r="M38" s="41">
        <v>382000</v>
      </c>
      <c r="N38" s="34">
        <f t="shared" si="0"/>
        <v>1775.2</v>
      </c>
      <c r="O38" s="36">
        <f t="shared" si="1"/>
        <v>110.95</v>
      </c>
      <c r="P38" s="35">
        <v>500</v>
      </c>
    </row>
    <row r="39" spans="1:16" x14ac:dyDescent="0.25">
      <c r="A39" s="37" t="s">
        <v>150</v>
      </c>
      <c r="B39" s="37"/>
      <c r="C39" s="40" t="s">
        <v>36</v>
      </c>
      <c r="D39" s="39">
        <v>45841</v>
      </c>
      <c r="E39" s="39">
        <v>46206</v>
      </c>
      <c r="F39" s="37" t="s">
        <v>1098</v>
      </c>
      <c r="G39" s="37" t="s">
        <v>62</v>
      </c>
      <c r="H39" s="41">
        <v>13370</v>
      </c>
      <c r="I39" s="42">
        <v>11095</v>
      </c>
      <c r="J39" s="37" t="s">
        <v>1759</v>
      </c>
      <c r="K39" s="39">
        <v>45475</v>
      </c>
      <c r="L39" s="33" t="s">
        <v>58</v>
      </c>
      <c r="M39" s="41">
        <v>382000</v>
      </c>
      <c r="N39" s="34">
        <f t="shared" si="0"/>
        <v>1775.2</v>
      </c>
      <c r="O39" s="36">
        <f t="shared" si="1"/>
        <v>110.95</v>
      </c>
      <c r="P39" s="35">
        <v>500</v>
      </c>
    </row>
    <row r="40" spans="1:16" x14ac:dyDescent="0.25">
      <c r="A40" s="37" t="s">
        <v>151</v>
      </c>
      <c r="B40" s="37"/>
      <c r="C40" s="40" t="s">
        <v>36</v>
      </c>
      <c r="D40" s="39">
        <v>45475</v>
      </c>
      <c r="E40" s="39">
        <v>45840</v>
      </c>
      <c r="F40" s="37" t="s">
        <v>1099</v>
      </c>
      <c r="G40" s="37" t="s">
        <v>61</v>
      </c>
      <c r="H40" s="41">
        <v>12320</v>
      </c>
      <c r="I40" s="42">
        <v>10190</v>
      </c>
      <c r="J40" s="37" t="s">
        <v>1760</v>
      </c>
      <c r="K40" s="39">
        <v>45475</v>
      </c>
      <c r="L40" s="33" t="s">
        <v>58</v>
      </c>
      <c r="M40" s="41">
        <v>352000</v>
      </c>
      <c r="N40" s="34">
        <f t="shared" si="0"/>
        <v>1630.4</v>
      </c>
      <c r="O40" s="36">
        <f t="shared" si="1"/>
        <v>101.9</v>
      </c>
      <c r="P40" s="35">
        <v>500</v>
      </c>
    </row>
    <row r="41" spans="1:16" x14ac:dyDescent="0.25">
      <c r="A41" s="37" t="s">
        <v>152</v>
      </c>
      <c r="B41" s="37"/>
      <c r="C41" s="40" t="s">
        <v>36</v>
      </c>
      <c r="D41" s="39">
        <v>45841</v>
      </c>
      <c r="E41" s="39">
        <v>46206</v>
      </c>
      <c r="F41" s="37" t="s">
        <v>1099</v>
      </c>
      <c r="G41" s="37" t="s">
        <v>61</v>
      </c>
      <c r="H41" s="41">
        <v>12320</v>
      </c>
      <c r="I41" s="42">
        <v>10190</v>
      </c>
      <c r="J41" s="37" t="s">
        <v>1760</v>
      </c>
      <c r="K41" s="39">
        <v>45475</v>
      </c>
      <c r="L41" s="33" t="s">
        <v>58</v>
      </c>
      <c r="M41" s="41">
        <v>352000</v>
      </c>
      <c r="N41" s="34">
        <f t="shared" si="0"/>
        <v>1630.4</v>
      </c>
      <c r="O41" s="36">
        <f t="shared" si="1"/>
        <v>101.9</v>
      </c>
      <c r="P41" s="35">
        <v>500</v>
      </c>
    </row>
    <row r="42" spans="1:16" x14ac:dyDescent="0.25">
      <c r="A42" s="37" t="s">
        <v>153</v>
      </c>
      <c r="B42" s="37"/>
      <c r="C42" s="40" t="s">
        <v>36</v>
      </c>
      <c r="D42" s="39">
        <v>45475</v>
      </c>
      <c r="E42" s="39">
        <v>45840</v>
      </c>
      <c r="F42" s="37" t="s">
        <v>77</v>
      </c>
      <c r="G42" s="37" t="s">
        <v>62</v>
      </c>
      <c r="H42" s="41">
        <v>13370</v>
      </c>
      <c r="I42" s="42">
        <v>11095</v>
      </c>
      <c r="J42" s="37" t="s">
        <v>1761</v>
      </c>
      <c r="K42" s="39">
        <v>45475</v>
      </c>
      <c r="L42" s="33" t="s">
        <v>58</v>
      </c>
      <c r="M42" s="41">
        <v>382000</v>
      </c>
      <c r="N42" s="34">
        <f t="shared" si="0"/>
        <v>1775.2</v>
      </c>
      <c r="O42" s="36">
        <f t="shared" si="1"/>
        <v>110.95</v>
      </c>
      <c r="P42" s="35">
        <v>500</v>
      </c>
    </row>
    <row r="43" spans="1:16" x14ac:dyDescent="0.25">
      <c r="A43" s="37" t="s">
        <v>154</v>
      </c>
      <c r="B43" s="37"/>
      <c r="C43" s="40" t="s">
        <v>36</v>
      </c>
      <c r="D43" s="39">
        <v>45841</v>
      </c>
      <c r="E43" s="39">
        <v>46206</v>
      </c>
      <c r="F43" s="37" t="s">
        <v>77</v>
      </c>
      <c r="G43" s="37" t="s">
        <v>62</v>
      </c>
      <c r="H43" s="41">
        <v>13370</v>
      </c>
      <c r="I43" s="42">
        <v>11095</v>
      </c>
      <c r="J43" s="37" t="s">
        <v>1761</v>
      </c>
      <c r="K43" s="39">
        <v>45475</v>
      </c>
      <c r="L43" s="33" t="s">
        <v>58</v>
      </c>
      <c r="M43" s="41">
        <v>382000</v>
      </c>
      <c r="N43" s="34">
        <f t="shared" si="0"/>
        <v>1775.2</v>
      </c>
      <c r="O43" s="36">
        <f t="shared" si="1"/>
        <v>110.95</v>
      </c>
      <c r="P43" s="35">
        <v>500</v>
      </c>
    </row>
    <row r="44" spans="1:16" x14ac:dyDescent="0.25">
      <c r="A44" s="37" t="s">
        <v>155</v>
      </c>
      <c r="B44" s="37"/>
      <c r="C44" s="40" t="s">
        <v>35</v>
      </c>
      <c r="D44" s="39">
        <v>45475</v>
      </c>
      <c r="E44" s="39">
        <v>45840</v>
      </c>
      <c r="F44" s="37" t="s">
        <v>1100</v>
      </c>
      <c r="G44" s="37" t="s">
        <v>61</v>
      </c>
      <c r="H44" s="41">
        <v>12320</v>
      </c>
      <c r="I44" s="42">
        <v>10190</v>
      </c>
      <c r="J44" s="37" t="s">
        <v>1762</v>
      </c>
      <c r="K44" s="39">
        <v>45475</v>
      </c>
      <c r="L44" s="33" t="s">
        <v>58</v>
      </c>
      <c r="M44" s="41">
        <v>352000</v>
      </c>
      <c r="N44" s="34">
        <f t="shared" si="0"/>
        <v>1630.4</v>
      </c>
      <c r="O44" s="36">
        <f t="shared" si="1"/>
        <v>101.9</v>
      </c>
      <c r="P44" s="35">
        <v>500</v>
      </c>
    </row>
    <row r="45" spans="1:16" x14ac:dyDescent="0.25">
      <c r="A45" s="37" t="s">
        <v>156</v>
      </c>
      <c r="B45" s="37"/>
      <c r="C45" s="40" t="s">
        <v>32</v>
      </c>
      <c r="D45" s="39">
        <v>45475</v>
      </c>
      <c r="E45" s="39">
        <v>45840</v>
      </c>
      <c r="F45" s="37" t="s">
        <v>1101</v>
      </c>
      <c r="G45" s="37" t="s">
        <v>63</v>
      </c>
      <c r="H45" s="41">
        <v>19145</v>
      </c>
      <c r="I45" s="42">
        <v>16073</v>
      </c>
      <c r="J45" s="37" t="s">
        <v>1763</v>
      </c>
      <c r="K45" s="39">
        <v>45475</v>
      </c>
      <c r="L45" s="33" t="s">
        <v>58</v>
      </c>
      <c r="M45" s="41">
        <v>547000</v>
      </c>
      <c r="N45" s="34">
        <f t="shared" si="0"/>
        <v>2571.6799999999998</v>
      </c>
      <c r="O45" s="36">
        <f t="shared" si="1"/>
        <v>160.72999999999999</v>
      </c>
      <c r="P45" s="35">
        <v>500</v>
      </c>
    </row>
    <row r="46" spans="1:16" x14ac:dyDescent="0.25">
      <c r="A46" s="37" t="s">
        <v>157</v>
      </c>
      <c r="B46" s="37"/>
      <c r="C46" s="40" t="s">
        <v>32</v>
      </c>
      <c r="D46" s="39">
        <v>45841</v>
      </c>
      <c r="E46" s="39">
        <v>46206</v>
      </c>
      <c r="F46" s="37" t="s">
        <v>1101</v>
      </c>
      <c r="G46" s="37" t="s">
        <v>63</v>
      </c>
      <c r="H46" s="41">
        <v>19145</v>
      </c>
      <c r="I46" s="42">
        <v>16073</v>
      </c>
      <c r="J46" s="37" t="s">
        <v>1763</v>
      </c>
      <c r="K46" s="39">
        <v>45475</v>
      </c>
      <c r="L46" s="33" t="s">
        <v>58</v>
      </c>
      <c r="M46" s="41">
        <v>547000</v>
      </c>
      <c r="N46" s="34">
        <f t="shared" si="0"/>
        <v>2571.6799999999998</v>
      </c>
      <c r="O46" s="36">
        <f t="shared" si="1"/>
        <v>160.72999999999999</v>
      </c>
      <c r="P46" s="35">
        <v>500</v>
      </c>
    </row>
    <row r="47" spans="1:16" x14ac:dyDescent="0.25">
      <c r="A47" s="37" t="s">
        <v>158</v>
      </c>
      <c r="B47" s="37"/>
      <c r="C47" s="40" t="s">
        <v>31</v>
      </c>
      <c r="D47" s="39">
        <v>45475</v>
      </c>
      <c r="E47" s="39">
        <v>45840</v>
      </c>
      <c r="F47" s="37" t="s">
        <v>1102</v>
      </c>
      <c r="G47" s="37" t="s">
        <v>61</v>
      </c>
      <c r="H47" s="41">
        <v>12320</v>
      </c>
      <c r="I47" s="42">
        <v>10190</v>
      </c>
      <c r="J47" s="37" t="s">
        <v>1764</v>
      </c>
      <c r="K47" s="39">
        <v>45475</v>
      </c>
      <c r="L47" s="33" t="s">
        <v>58</v>
      </c>
      <c r="M47" s="41">
        <v>352000</v>
      </c>
      <c r="N47" s="34">
        <f t="shared" si="0"/>
        <v>1630.4</v>
      </c>
      <c r="O47" s="36">
        <f t="shared" si="1"/>
        <v>101.9</v>
      </c>
      <c r="P47" s="35">
        <v>500</v>
      </c>
    </row>
    <row r="48" spans="1:16" x14ac:dyDescent="0.25">
      <c r="A48" s="37" t="s">
        <v>159</v>
      </c>
      <c r="B48" s="37"/>
      <c r="C48" s="40" t="s">
        <v>31</v>
      </c>
      <c r="D48" s="39">
        <v>45841</v>
      </c>
      <c r="E48" s="39">
        <v>46206</v>
      </c>
      <c r="F48" s="37" t="s">
        <v>1102</v>
      </c>
      <c r="G48" s="37" t="s">
        <v>61</v>
      </c>
      <c r="H48" s="41">
        <v>12320</v>
      </c>
      <c r="I48" s="42">
        <v>10190</v>
      </c>
      <c r="J48" s="37" t="s">
        <v>1764</v>
      </c>
      <c r="K48" s="39">
        <v>45475</v>
      </c>
      <c r="L48" s="33" t="s">
        <v>58</v>
      </c>
      <c r="M48" s="41">
        <v>352000</v>
      </c>
      <c r="N48" s="34">
        <f t="shared" si="0"/>
        <v>1630.4</v>
      </c>
      <c r="O48" s="36">
        <f t="shared" si="1"/>
        <v>101.9</v>
      </c>
      <c r="P48" s="35">
        <v>500</v>
      </c>
    </row>
    <row r="49" spans="1:16" x14ac:dyDescent="0.25">
      <c r="A49" s="37" t="s">
        <v>160</v>
      </c>
      <c r="B49" s="37"/>
      <c r="C49" s="40" t="s">
        <v>32</v>
      </c>
      <c r="D49" s="39">
        <v>45475</v>
      </c>
      <c r="E49" s="39">
        <v>45840</v>
      </c>
      <c r="F49" s="37" t="s">
        <v>1103</v>
      </c>
      <c r="G49" s="37" t="s">
        <v>61</v>
      </c>
      <c r="H49" s="41">
        <v>12320</v>
      </c>
      <c r="I49" s="42">
        <v>10190</v>
      </c>
      <c r="J49" s="37" t="s">
        <v>1765</v>
      </c>
      <c r="K49" s="39">
        <v>45475</v>
      </c>
      <c r="L49" s="33" t="s">
        <v>58</v>
      </c>
      <c r="M49" s="41">
        <v>352000</v>
      </c>
      <c r="N49" s="34">
        <f t="shared" si="0"/>
        <v>1630.4</v>
      </c>
      <c r="O49" s="36">
        <f t="shared" si="1"/>
        <v>101.9</v>
      </c>
      <c r="P49" s="35">
        <v>500</v>
      </c>
    </row>
    <row r="50" spans="1:16" x14ac:dyDescent="0.25">
      <c r="A50" s="37" t="s">
        <v>161</v>
      </c>
      <c r="B50" s="37"/>
      <c r="C50" s="40" t="s">
        <v>32</v>
      </c>
      <c r="D50" s="39">
        <v>45841</v>
      </c>
      <c r="E50" s="39">
        <v>46206</v>
      </c>
      <c r="F50" s="37" t="s">
        <v>1103</v>
      </c>
      <c r="G50" s="37" t="s">
        <v>61</v>
      </c>
      <c r="H50" s="41">
        <v>12320</v>
      </c>
      <c r="I50" s="42">
        <v>10190</v>
      </c>
      <c r="J50" s="37" t="s">
        <v>1765</v>
      </c>
      <c r="K50" s="39">
        <v>45475</v>
      </c>
      <c r="L50" s="33" t="s">
        <v>58</v>
      </c>
      <c r="M50" s="41">
        <v>352000</v>
      </c>
      <c r="N50" s="34">
        <f t="shared" si="0"/>
        <v>1630.4</v>
      </c>
      <c r="O50" s="36">
        <f t="shared" si="1"/>
        <v>101.9</v>
      </c>
      <c r="P50" s="35">
        <v>500</v>
      </c>
    </row>
    <row r="51" spans="1:16" x14ac:dyDescent="0.25">
      <c r="A51" s="37" t="s">
        <v>162</v>
      </c>
      <c r="B51" s="37"/>
      <c r="C51" s="40" t="s">
        <v>37</v>
      </c>
      <c r="D51" s="39">
        <v>45475</v>
      </c>
      <c r="E51" s="39">
        <v>45840</v>
      </c>
      <c r="F51" s="37" t="s">
        <v>1104</v>
      </c>
      <c r="G51" s="37" t="s">
        <v>63</v>
      </c>
      <c r="H51" s="41">
        <v>13675</v>
      </c>
      <c r="I51" s="42">
        <v>11357</v>
      </c>
      <c r="J51" s="37" t="s">
        <v>1766</v>
      </c>
      <c r="K51" s="39">
        <v>45475</v>
      </c>
      <c r="L51" s="33" t="s">
        <v>58</v>
      </c>
      <c r="M51" s="41">
        <v>547000</v>
      </c>
      <c r="N51" s="34">
        <f t="shared" si="0"/>
        <v>1817.12</v>
      </c>
      <c r="O51" s="36">
        <f t="shared" si="1"/>
        <v>113.57</v>
      </c>
      <c r="P51" s="35">
        <v>500</v>
      </c>
    </row>
    <row r="52" spans="1:16" x14ac:dyDescent="0.25">
      <c r="A52" s="37" t="s">
        <v>163</v>
      </c>
      <c r="B52" s="37"/>
      <c r="C52" s="40" t="s">
        <v>31</v>
      </c>
      <c r="D52" s="39">
        <v>45475</v>
      </c>
      <c r="E52" s="39">
        <v>45840</v>
      </c>
      <c r="F52" s="37" t="s">
        <v>105</v>
      </c>
      <c r="G52" s="37" t="s">
        <v>65</v>
      </c>
      <c r="H52" s="41">
        <v>13370</v>
      </c>
      <c r="I52" s="42">
        <v>11095</v>
      </c>
      <c r="J52" s="37" t="s">
        <v>1768</v>
      </c>
      <c r="K52" s="39">
        <v>45475</v>
      </c>
      <c r="L52" s="33" t="s">
        <v>58</v>
      </c>
      <c r="M52" s="41">
        <v>382000</v>
      </c>
      <c r="N52" s="34">
        <f t="shared" si="0"/>
        <v>1775.2</v>
      </c>
      <c r="O52" s="36">
        <f t="shared" si="1"/>
        <v>110.95</v>
      </c>
      <c r="P52" s="35">
        <v>500</v>
      </c>
    </row>
    <row r="53" spans="1:16" x14ac:dyDescent="0.25">
      <c r="A53" s="37" t="s">
        <v>164</v>
      </c>
      <c r="B53" s="37"/>
      <c r="C53" s="40" t="s">
        <v>31</v>
      </c>
      <c r="D53" s="39">
        <v>45841</v>
      </c>
      <c r="E53" s="39">
        <v>46206</v>
      </c>
      <c r="F53" s="37" t="s">
        <v>105</v>
      </c>
      <c r="G53" s="37" t="s">
        <v>65</v>
      </c>
      <c r="H53" s="41">
        <v>13370</v>
      </c>
      <c r="I53" s="42">
        <v>11095</v>
      </c>
      <c r="J53" s="37" t="s">
        <v>1768</v>
      </c>
      <c r="K53" s="39">
        <v>45475</v>
      </c>
      <c r="L53" s="33" t="s">
        <v>58</v>
      </c>
      <c r="M53" s="41">
        <v>382000</v>
      </c>
      <c r="N53" s="34">
        <f t="shared" si="0"/>
        <v>1775.2</v>
      </c>
      <c r="O53" s="36">
        <f t="shared" si="1"/>
        <v>110.95</v>
      </c>
      <c r="P53" s="35">
        <v>500</v>
      </c>
    </row>
    <row r="54" spans="1:16" x14ac:dyDescent="0.25">
      <c r="A54" s="37" t="s">
        <v>165</v>
      </c>
      <c r="B54" s="37"/>
      <c r="C54" s="40" t="s">
        <v>37</v>
      </c>
      <c r="D54" s="39">
        <v>45475</v>
      </c>
      <c r="E54" s="39">
        <v>45840</v>
      </c>
      <c r="F54" s="37" t="s">
        <v>1105</v>
      </c>
      <c r="G54" s="37" t="s">
        <v>61</v>
      </c>
      <c r="H54" s="41">
        <v>8800</v>
      </c>
      <c r="I54" s="42">
        <v>7155</v>
      </c>
      <c r="J54" s="37" t="s">
        <v>1769</v>
      </c>
      <c r="K54" s="39">
        <v>45475</v>
      </c>
      <c r="L54" s="33" t="s">
        <v>58</v>
      </c>
      <c r="M54" s="41">
        <v>352000</v>
      </c>
      <c r="N54" s="34">
        <f t="shared" si="0"/>
        <v>1144.8</v>
      </c>
      <c r="O54" s="36">
        <f t="shared" si="1"/>
        <v>71.55</v>
      </c>
      <c r="P54" s="35">
        <v>500</v>
      </c>
    </row>
    <row r="55" spans="1:16" x14ac:dyDescent="0.25">
      <c r="A55" s="37" t="s">
        <v>166</v>
      </c>
      <c r="B55" s="37"/>
      <c r="C55" s="40" t="s">
        <v>37</v>
      </c>
      <c r="D55" s="39">
        <v>45475</v>
      </c>
      <c r="E55" s="39">
        <v>45840</v>
      </c>
      <c r="F55" s="37" t="s">
        <v>1106</v>
      </c>
      <c r="G55" s="37" t="s">
        <v>62</v>
      </c>
      <c r="H55" s="41">
        <v>9550</v>
      </c>
      <c r="I55" s="42">
        <v>7802</v>
      </c>
      <c r="J55" s="37" t="s">
        <v>1770</v>
      </c>
      <c r="K55" s="39">
        <v>45475</v>
      </c>
      <c r="L55" s="33" t="s">
        <v>58</v>
      </c>
      <c r="M55" s="41">
        <v>382000</v>
      </c>
      <c r="N55" s="34">
        <f t="shared" si="0"/>
        <v>1248.32</v>
      </c>
      <c r="O55" s="36">
        <f t="shared" si="1"/>
        <v>78.02</v>
      </c>
      <c r="P55" s="35">
        <v>500</v>
      </c>
    </row>
    <row r="56" spans="1:16" x14ac:dyDescent="0.25">
      <c r="A56" s="37" t="s">
        <v>167</v>
      </c>
      <c r="B56" s="37"/>
      <c r="C56" s="40" t="s">
        <v>32</v>
      </c>
      <c r="D56" s="39">
        <v>45475</v>
      </c>
      <c r="E56" s="39">
        <v>45840</v>
      </c>
      <c r="F56" s="37" t="s">
        <v>99</v>
      </c>
      <c r="G56" s="37" t="s">
        <v>64</v>
      </c>
      <c r="H56" s="41">
        <v>17465</v>
      </c>
      <c r="I56" s="42">
        <v>14625</v>
      </c>
      <c r="J56" s="37" t="s">
        <v>1771</v>
      </c>
      <c r="K56" s="39">
        <v>45475</v>
      </c>
      <c r="L56" s="33" t="s">
        <v>58</v>
      </c>
      <c r="M56" s="41">
        <v>499000</v>
      </c>
      <c r="N56" s="34">
        <f t="shared" si="0"/>
        <v>2340</v>
      </c>
      <c r="O56" s="36">
        <f t="shared" si="1"/>
        <v>146.25</v>
      </c>
      <c r="P56" s="35">
        <v>500</v>
      </c>
    </row>
    <row r="57" spans="1:16" x14ac:dyDescent="0.25">
      <c r="A57" s="37" t="s">
        <v>168</v>
      </c>
      <c r="B57" s="37"/>
      <c r="C57" s="40" t="s">
        <v>32</v>
      </c>
      <c r="D57" s="39">
        <v>45841</v>
      </c>
      <c r="E57" s="39">
        <v>46206</v>
      </c>
      <c r="F57" s="37" t="s">
        <v>99</v>
      </c>
      <c r="G57" s="37" t="s">
        <v>64</v>
      </c>
      <c r="H57" s="41">
        <v>17465</v>
      </c>
      <c r="I57" s="42">
        <v>14625</v>
      </c>
      <c r="J57" s="37" t="s">
        <v>1771</v>
      </c>
      <c r="K57" s="39">
        <v>45475</v>
      </c>
      <c r="L57" s="33" t="s">
        <v>58</v>
      </c>
      <c r="M57" s="41">
        <v>499000</v>
      </c>
      <c r="N57" s="34">
        <f t="shared" si="0"/>
        <v>2340</v>
      </c>
      <c r="O57" s="36">
        <f t="shared" si="1"/>
        <v>146.25</v>
      </c>
      <c r="P57" s="35">
        <v>500</v>
      </c>
    </row>
    <row r="58" spans="1:16" x14ac:dyDescent="0.25">
      <c r="A58" s="37" t="s">
        <v>169</v>
      </c>
      <c r="B58" s="37"/>
      <c r="C58" s="40" t="s">
        <v>67</v>
      </c>
      <c r="D58" s="39">
        <v>45475</v>
      </c>
      <c r="E58" s="39">
        <v>45840</v>
      </c>
      <c r="F58" s="37" t="s">
        <v>1107</v>
      </c>
      <c r="G58" s="37" t="s">
        <v>62</v>
      </c>
      <c r="H58" s="41">
        <v>9550</v>
      </c>
      <c r="I58" s="42">
        <v>7802</v>
      </c>
      <c r="J58" s="37" t="s">
        <v>1772</v>
      </c>
      <c r="K58" s="39">
        <v>45475</v>
      </c>
      <c r="L58" s="33" t="s">
        <v>58</v>
      </c>
      <c r="M58" s="41">
        <v>382000</v>
      </c>
      <c r="N58" s="34">
        <f t="shared" si="0"/>
        <v>1248.32</v>
      </c>
      <c r="O58" s="36">
        <f t="shared" si="1"/>
        <v>78.02</v>
      </c>
      <c r="P58" s="35">
        <v>500</v>
      </c>
    </row>
    <row r="59" spans="1:16" x14ac:dyDescent="0.25">
      <c r="A59" s="37" t="s">
        <v>170</v>
      </c>
      <c r="B59" s="37"/>
      <c r="C59" s="40" t="s">
        <v>37</v>
      </c>
      <c r="D59" s="39">
        <v>45475</v>
      </c>
      <c r="E59" s="39">
        <v>45840</v>
      </c>
      <c r="F59" s="37" t="s">
        <v>1108</v>
      </c>
      <c r="G59" s="37" t="s">
        <v>61</v>
      </c>
      <c r="H59" s="41">
        <v>8800</v>
      </c>
      <c r="I59" s="42">
        <v>7155</v>
      </c>
      <c r="J59" s="37" t="s">
        <v>1773</v>
      </c>
      <c r="K59" s="39">
        <v>45475</v>
      </c>
      <c r="L59" s="33" t="s">
        <v>58</v>
      </c>
      <c r="M59" s="41">
        <v>352000</v>
      </c>
      <c r="N59" s="34">
        <f t="shared" si="0"/>
        <v>1144.8</v>
      </c>
      <c r="O59" s="36">
        <f t="shared" si="1"/>
        <v>71.55</v>
      </c>
      <c r="P59" s="35">
        <v>500</v>
      </c>
    </row>
    <row r="60" spans="1:16" x14ac:dyDescent="0.25">
      <c r="A60" s="37" t="s">
        <v>171</v>
      </c>
      <c r="B60" s="37"/>
      <c r="C60" s="40" t="s">
        <v>37</v>
      </c>
      <c r="D60" s="39">
        <v>45475</v>
      </c>
      <c r="E60" s="39">
        <v>45840</v>
      </c>
      <c r="F60" s="37" t="s">
        <v>1109</v>
      </c>
      <c r="G60" s="37" t="s">
        <v>61</v>
      </c>
      <c r="H60" s="41">
        <v>8800</v>
      </c>
      <c r="I60" s="42">
        <v>7155</v>
      </c>
      <c r="J60" s="37" t="s">
        <v>1774</v>
      </c>
      <c r="K60" s="39">
        <v>45475</v>
      </c>
      <c r="L60" s="33" t="s">
        <v>58</v>
      </c>
      <c r="M60" s="41">
        <v>352000</v>
      </c>
      <c r="N60" s="34">
        <f t="shared" si="0"/>
        <v>1144.8</v>
      </c>
      <c r="O60" s="36">
        <f t="shared" si="1"/>
        <v>71.55</v>
      </c>
      <c r="P60" s="35">
        <v>500</v>
      </c>
    </row>
    <row r="61" spans="1:16" x14ac:dyDescent="0.25">
      <c r="A61" s="37" t="s">
        <v>172</v>
      </c>
      <c r="B61" s="37"/>
      <c r="C61" s="40" t="s">
        <v>38</v>
      </c>
      <c r="D61" s="39">
        <v>45475</v>
      </c>
      <c r="E61" s="39">
        <v>45840</v>
      </c>
      <c r="F61" s="37" t="s">
        <v>1110</v>
      </c>
      <c r="G61" s="37" t="s">
        <v>61</v>
      </c>
      <c r="H61" s="41">
        <v>12320</v>
      </c>
      <c r="I61" s="42">
        <v>10190</v>
      </c>
      <c r="J61" s="37" t="s">
        <v>1775</v>
      </c>
      <c r="K61" s="39">
        <v>45475</v>
      </c>
      <c r="L61" s="33" t="s">
        <v>58</v>
      </c>
      <c r="M61" s="41">
        <v>352000</v>
      </c>
      <c r="N61" s="34">
        <f t="shared" si="0"/>
        <v>1630.4</v>
      </c>
      <c r="O61" s="36">
        <f t="shared" si="1"/>
        <v>101.9</v>
      </c>
      <c r="P61" s="35">
        <v>500</v>
      </c>
    </row>
    <row r="62" spans="1:16" x14ac:dyDescent="0.25">
      <c r="A62" s="37" t="s">
        <v>173</v>
      </c>
      <c r="B62" s="37"/>
      <c r="C62" s="40" t="s">
        <v>37</v>
      </c>
      <c r="D62" s="39">
        <v>45475</v>
      </c>
      <c r="E62" s="39">
        <v>45840</v>
      </c>
      <c r="F62" s="37" t="s">
        <v>1111</v>
      </c>
      <c r="G62" s="37" t="s">
        <v>61</v>
      </c>
      <c r="H62" s="41">
        <v>8800</v>
      </c>
      <c r="I62" s="42">
        <v>7155</v>
      </c>
      <c r="J62" s="37" t="s">
        <v>1776</v>
      </c>
      <c r="K62" s="39">
        <v>45475</v>
      </c>
      <c r="L62" s="33" t="s">
        <v>58</v>
      </c>
      <c r="M62" s="41">
        <v>352000</v>
      </c>
      <c r="N62" s="34">
        <f t="shared" si="0"/>
        <v>1144.8</v>
      </c>
      <c r="O62" s="36">
        <f t="shared" si="1"/>
        <v>71.55</v>
      </c>
      <c r="P62" s="35">
        <v>500</v>
      </c>
    </row>
    <row r="63" spans="1:16" x14ac:dyDescent="0.25">
      <c r="A63" s="37" t="s">
        <v>174</v>
      </c>
      <c r="B63" s="37"/>
      <c r="C63" s="40" t="s">
        <v>38</v>
      </c>
      <c r="D63" s="39">
        <v>45475</v>
      </c>
      <c r="E63" s="39">
        <v>45840</v>
      </c>
      <c r="F63" s="37" t="s">
        <v>1112</v>
      </c>
      <c r="G63" s="37" t="s">
        <v>61</v>
      </c>
      <c r="H63" s="41">
        <v>12320</v>
      </c>
      <c r="I63" s="42">
        <v>10190</v>
      </c>
      <c r="J63" s="37" t="s">
        <v>1778</v>
      </c>
      <c r="K63" s="39">
        <v>45475</v>
      </c>
      <c r="L63" s="33" t="s">
        <v>58</v>
      </c>
      <c r="M63" s="41">
        <v>352000</v>
      </c>
      <c r="N63" s="34">
        <f t="shared" si="0"/>
        <v>1630.4</v>
      </c>
      <c r="O63" s="36">
        <f t="shared" si="1"/>
        <v>101.9</v>
      </c>
      <c r="P63" s="35">
        <v>500</v>
      </c>
    </row>
    <row r="64" spans="1:16" x14ac:dyDescent="0.25">
      <c r="A64" s="37" t="s">
        <v>175</v>
      </c>
      <c r="B64" s="37"/>
      <c r="C64" s="40" t="s">
        <v>36</v>
      </c>
      <c r="D64" s="39">
        <v>45475</v>
      </c>
      <c r="E64" s="39">
        <v>45840</v>
      </c>
      <c r="F64" s="37" t="s">
        <v>1113</v>
      </c>
      <c r="G64" s="37" t="s">
        <v>62</v>
      </c>
      <c r="H64" s="41">
        <v>13370</v>
      </c>
      <c r="I64" s="42">
        <v>11095</v>
      </c>
      <c r="J64" s="37" t="s">
        <v>1779</v>
      </c>
      <c r="K64" s="39">
        <v>45475</v>
      </c>
      <c r="L64" s="33" t="s">
        <v>58</v>
      </c>
      <c r="M64" s="41">
        <v>382000</v>
      </c>
      <c r="N64" s="34">
        <f t="shared" si="0"/>
        <v>1775.2</v>
      </c>
      <c r="O64" s="36">
        <f t="shared" si="1"/>
        <v>110.95</v>
      </c>
      <c r="P64" s="35">
        <v>500</v>
      </c>
    </row>
    <row r="65" spans="1:16" x14ac:dyDescent="0.25">
      <c r="A65" s="37" t="s">
        <v>176</v>
      </c>
      <c r="B65" s="37"/>
      <c r="C65" s="40" t="s">
        <v>54</v>
      </c>
      <c r="D65" s="39">
        <v>45475</v>
      </c>
      <c r="E65" s="39">
        <v>45840</v>
      </c>
      <c r="F65" s="37" t="s">
        <v>1114</v>
      </c>
      <c r="G65" s="37" t="s">
        <v>63</v>
      </c>
      <c r="H65" s="41">
        <v>13675</v>
      </c>
      <c r="I65" s="42">
        <v>11357</v>
      </c>
      <c r="J65" s="37" t="s">
        <v>1767</v>
      </c>
      <c r="K65" s="39">
        <v>45475</v>
      </c>
      <c r="L65" s="33" t="s">
        <v>58</v>
      </c>
      <c r="M65" s="41">
        <v>547000</v>
      </c>
      <c r="N65" s="34">
        <f t="shared" si="0"/>
        <v>1817.12</v>
      </c>
      <c r="O65" s="36">
        <f t="shared" si="1"/>
        <v>113.57</v>
      </c>
      <c r="P65" s="35">
        <v>500</v>
      </c>
    </row>
    <row r="66" spans="1:16" x14ac:dyDescent="0.25">
      <c r="A66" s="37" t="s">
        <v>177</v>
      </c>
      <c r="B66" s="37"/>
      <c r="C66" s="40" t="s">
        <v>67</v>
      </c>
      <c r="D66" s="39">
        <v>45475</v>
      </c>
      <c r="E66" s="39">
        <v>45840</v>
      </c>
      <c r="F66" s="37" t="s">
        <v>1115</v>
      </c>
      <c r="G66" s="37" t="s">
        <v>65</v>
      </c>
      <c r="H66" s="41">
        <v>9550</v>
      </c>
      <c r="I66" s="42">
        <v>7802</v>
      </c>
      <c r="J66" s="37" t="s">
        <v>1780</v>
      </c>
      <c r="K66" s="39">
        <v>45475</v>
      </c>
      <c r="L66" s="33" t="s">
        <v>58</v>
      </c>
      <c r="M66" s="41">
        <v>382000</v>
      </c>
      <c r="N66" s="34">
        <f t="shared" si="0"/>
        <v>1248.32</v>
      </c>
      <c r="O66" s="36">
        <f t="shared" si="1"/>
        <v>78.02</v>
      </c>
      <c r="P66" s="35">
        <v>500</v>
      </c>
    </row>
    <row r="67" spans="1:16" x14ac:dyDescent="0.25">
      <c r="A67" s="37" t="s">
        <v>178</v>
      </c>
      <c r="B67" s="37"/>
      <c r="C67" s="40" t="s">
        <v>67</v>
      </c>
      <c r="D67" s="39">
        <v>45475</v>
      </c>
      <c r="E67" s="39">
        <v>45840</v>
      </c>
      <c r="F67" s="37" t="s">
        <v>1116</v>
      </c>
      <c r="G67" s="37" t="s">
        <v>61</v>
      </c>
      <c r="H67" s="41">
        <v>8800</v>
      </c>
      <c r="I67" s="42">
        <v>7155</v>
      </c>
      <c r="J67" s="37" t="s">
        <v>1781</v>
      </c>
      <c r="K67" s="39">
        <v>45475</v>
      </c>
      <c r="L67" s="33" t="s">
        <v>58</v>
      </c>
      <c r="M67" s="41">
        <v>352000</v>
      </c>
      <c r="N67" s="34">
        <f t="shared" si="0"/>
        <v>1144.8</v>
      </c>
      <c r="O67" s="36">
        <f t="shared" si="1"/>
        <v>71.55</v>
      </c>
      <c r="P67" s="35">
        <v>500</v>
      </c>
    </row>
    <row r="68" spans="1:16" x14ac:dyDescent="0.25">
      <c r="A68" s="37" t="s">
        <v>179</v>
      </c>
      <c r="B68" s="37"/>
      <c r="C68" s="40" t="s">
        <v>67</v>
      </c>
      <c r="D68" s="39">
        <v>45475</v>
      </c>
      <c r="E68" s="39">
        <v>45840</v>
      </c>
      <c r="F68" s="37" t="s">
        <v>1117</v>
      </c>
      <c r="G68" s="37" t="s">
        <v>62</v>
      </c>
      <c r="H68" s="41">
        <v>9550</v>
      </c>
      <c r="I68" s="42">
        <v>7802</v>
      </c>
      <c r="J68" s="37" t="s">
        <v>1783</v>
      </c>
      <c r="K68" s="39">
        <v>45475</v>
      </c>
      <c r="L68" s="33" t="s">
        <v>58</v>
      </c>
      <c r="M68" s="41">
        <v>382000</v>
      </c>
      <c r="N68" s="34">
        <f t="shared" ref="N68:N130" si="2">I68*16/100</f>
        <v>1248.32</v>
      </c>
      <c r="O68" s="36">
        <f t="shared" ref="O68:O130" si="3">I68*1/100</f>
        <v>78.02</v>
      </c>
      <c r="P68" s="35">
        <v>500</v>
      </c>
    </row>
    <row r="69" spans="1:16" x14ac:dyDescent="0.25">
      <c r="A69" s="37" t="s">
        <v>180</v>
      </c>
      <c r="B69" s="37"/>
      <c r="C69" s="40" t="s">
        <v>32</v>
      </c>
      <c r="D69" s="39">
        <v>45475</v>
      </c>
      <c r="E69" s="39">
        <v>45840</v>
      </c>
      <c r="F69" s="37" t="s">
        <v>1118</v>
      </c>
      <c r="G69" s="37" t="s">
        <v>64</v>
      </c>
      <c r="H69" s="41">
        <v>17465</v>
      </c>
      <c r="I69" s="42">
        <v>14625</v>
      </c>
      <c r="J69" s="37" t="s">
        <v>1784</v>
      </c>
      <c r="K69" s="39">
        <v>45475</v>
      </c>
      <c r="L69" s="33" t="s">
        <v>58</v>
      </c>
      <c r="M69" s="41">
        <v>499000</v>
      </c>
      <c r="N69" s="34">
        <f t="shared" si="2"/>
        <v>2340</v>
      </c>
      <c r="O69" s="36">
        <f t="shared" si="3"/>
        <v>146.25</v>
      </c>
      <c r="P69" s="35">
        <v>500</v>
      </c>
    </row>
    <row r="70" spans="1:16" x14ac:dyDescent="0.25">
      <c r="A70" s="37" t="s">
        <v>181</v>
      </c>
      <c r="B70" s="37"/>
      <c r="C70" s="40" t="s">
        <v>32</v>
      </c>
      <c r="D70" s="39">
        <v>45841</v>
      </c>
      <c r="E70" s="39">
        <v>46206</v>
      </c>
      <c r="F70" s="37" t="s">
        <v>1118</v>
      </c>
      <c r="G70" s="37" t="s">
        <v>64</v>
      </c>
      <c r="H70" s="41">
        <v>17465</v>
      </c>
      <c r="I70" s="42">
        <v>14625</v>
      </c>
      <c r="J70" s="37" t="s">
        <v>1784</v>
      </c>
      <c r="K70" s="39">
        <v>45475</v>
      </c>
      <c r="L70" s="33" t="s">
        <v>58</v>
      </c>
      <c r="M70" s="41">
        <v>499000</v>
      </c>
      <c r="N70" s="34">
        <f t="shared" si="2"/>
        <v>2340</v>
      </c>
      <c r="O70" s="36">
        <f t="shared" si="3"/>
        <v>146.25</v>
      </c>
      <c r="P70" s="35">
        <v>500</v>
      </c>
    </row>
    <row r="71" spans="1:16" x14ac:dyDescent="0.25">
      <c r="A71" s="37" t="s">
        <v>182</v>
      </c>
      <c r="B71" s="37"/>
      <c r="C71" s="40" t="s">
        <v>36</v>
      </c>
      <c r="D71" s="39">
        <v>45475</v>
      </c>
      <c r="E71" s="39">
        <v>45840</v>
      </c>
      <c r="F71" s="37" t="s">
        <v>1119</v>
      </c>
      <c r="G71" s="37" t="s">
        <v>61</v>
      </c>
      <c r="H71" s="41">
        <v>12320</v>
      </c>
      <c r="I71" s="42">
        <v>10190</v>
      </c>
      <c r="J71" s="37" t="s">
        <v>1785</v>
      </c>
      <c r="K71" s="39">
        <v>45475</v>
      </c>
      <c r="L71" s="33" t="s">
        <v>58</v>
      </c>
      <c r="M71" s="41">
        <v>352000</v>
      </c>
      <c r="N71" s="34">
        <f t="shared" si="2"/>
        <v>1630.4</v>
      </c>
      <c r="O71" s="36">
        <f t="shared" si="3"/>
        <v>101.9</v>
      </c>
      <c r="P71" s="35">
        <v>500</v>
      </c>
    </row>
    <row r="72" spans="1:16" x14ac:dyDescent="0.25">
      <c r="A72" s="37" t="s">
        <v>183</v>
      </c>
      <c r="B72" s="37"/>
      <c r="C72" s="40" t="s">
        <v>36</v>
      </c>
      <c r="D72" s="39">
        <v>45841</v>
      </c>
      <c r="E72" s="39">
        <v>46206</v>
      </c>
      <c r="F72" s="37" t="s">
        <v>1119</v>
      </c>
      <c r="G72" s="37" t="s">
        <v>61</v>
      </c>
      <c r="H72" s="41">
        <v>12320</v>
      </c>
      <c r="I72" s="42">
        <v>10190</v>
      </c>
      <c r="J72" s="37" t="s">
        <v>1785</v>
      </c>
      <c r="K72" s="39">
        <v>45475</v>
      </c>
      <c r="L72" s="33" t="s">
        <v>58</v>
      </c>
      <c r="M72" s="41">
        <v>352000</v>
      </c>
      <c r="N72" s="34">
        <f t="shared" si="2"/>
        <v>1630.4</v>
      </c>
      <c r="O72" s="36">
        <f t="shared" si="3"/>
        <v>101.9</v>
      </c>
      <c r="P72" s="35">
        <v>500</v>
      </c>
    </row>
    <row r="73" spans="1:16" x14ac:dyDescent="0.25">
      <c r="A73" s="37" t="s">
        <v>184</v>
      </c>
      <c r="B73" s="37"/>
      <c r="C73" s="40" t="s">
        <v>32</v>
      </c>
      <c r="D73" s="39">
        <v>45475</v>
      </c>
      <c r="E73" s="39">
        <v>45840</v>
      </c>
      <c r="F73" s="37" t="s">
        <v>1120</v>
      </c>
      <c r="G73" s="37" t="s">
        <v>63</v>
      </c>
      <c r="H73" s="41">
        <v>19145</v>
      </c>
      <c r="I73" s="42">
        <v>16073</v>
      </c>
      <c r="J73" s="37" t="s">
        <v>1786</v>
      </c>
      <c r="K73" s="39">
        <v>45475</v>
      </c>
      <c r="L73" s="33" t="s">
        <v>58</v>
      </c>
      <c r="M73" s="41">
        <v>547000</v>
      </c>
      <c r="N73" s="34">
        <f t="shared" si="2"/>
        <v>2571.6799999999998</v>
      </c>
      <c r="O73" s="36">
        <f t="shared" si="3"/>
        <v>160.72999999999999</v>
      </c>
      <c r="P73" s="35">
        <v>500</v>
      </c>
    </row>
    <row r="74" spans="1:16" x14ac:dyDescent="0.25">
      <c r="A74" s="37" t="s">
        <v>185</v>
      </c>
      <c r="B74" s="37"/>
      <c r="C74" s="40" t="s">
        <v>32</v>
      </c>
      <c r="D74" s="39">
        <v>45841</v>
      </c>
      <c r="E74" s="39">
        <v>46206</v>
      </c>
      <c r="F74" s="37" t="s">
        <v>1120</v>
      </c>
      <c r="G74" s="37" t="s">
        <v>63</v>
      </c>
      <c r="H74" s="41">
        <v>19145</v>
      </c>
      <c r="I74" s="42">
        <v>16073</v>
      </c>
      <c r="J74" s="37" t="s">
        <v>1786</v>
      </c>
      <c r="K74" s="39">
        <v>45475</v>
      </c>
      <c r="L74" s="33" t="s">
        <v>58</v>
      </c>
      <c r="M74" s="41">
        <v>547000</v>
      </c>
      <c r="N74" s="34">
        <f t="shared" si="2"/>
        <v>2571.6799999999998</v>
      </c>
      <c r="O74" s="36">
        <f t="shared" si="3"/>
        <v>160.72999999999999</v>
      </c>
      <c r="P74" s="35">
        <v>500</v>
      </c>
    </row>
    <row r="75" spans="1:16" x14ac:dyDescent="0.25">
      <c r="A75" s="37" t="s">
        <v>186</v>
      </c>
      <c r="B75" s="37"/>
      <c r="C75" s="40" t="s">
        <v>50</v>
      </c>
      <c r="D75" s="39">
        <v>45475</v>
      </c>
      <c r="E75" s="39">
        <v>45840</v>
      </c>
      <c r="F75" s="37" t="s">
        <v>1121</v>
      </c>
      <c r="G75" s="37" t="s">
        <v>65</v>
      </c>
      <c r="H75" s="41">
        <v>9550</v>
      </c>
      <c r="I75" s="42">
        <v>7802</v>
      </c>
      <c r="J75" s="37" t="s">
        <v>1787</v>
      </c>
      <c r="K75" s="39">
        <v>45475</v>
      </c>
      <c r="L75" s="33" t="s">
        <v>58</v>
      </c>
      <c r="M75" s="41">
        <v>382001</v>
      </c>
      <c r="N75" s="34">
        <f t="shared" si="2"/>
        <v>1248.32</v>
      </c>
      <c r="O75" s="36">
        <f t="shared" si="3"/>
        <v>78.02</v>
      </c>
      <c r="P75" s="35">
        <v>500</v>
      </c>
    </row>
    <row r="76" spans="1:16" x14ac:dyDescent="0.25">
      <c r="A76" s="37" t="s">
        <v>187</v>
      </c>
      <c r="B76" s="37"/>
      <c r="C76" s="40" t="s">
        <v>49</v>
      </c>
      <c r="D76" s="39">
        <v>45475</v>
      </c>
      <c r="E76" s="39">
        <v>45840</v>
      </c>
      <c r="F76" s="37" t="s">
        <v>1122</v>
      </c>
      <c r="G76" s="37" t="s">
        <v>63</v>
      </c>
      <c r="H76" s="41">
        <v>13675</v>
      </c>
      <c r="I76" s="42">
        <v>11357</v>
      </c>
      <c r="J76" s="37" t="s">
        <v>1788</v>
      </c>
      <c r="K76" s="39">
        <v>45475</v>
      </c>
      <c r="L76" s="33" t="s">
        <v>58</v>
      </c>
      <c r="M76" s="41">
        <v>547000</v>
      </c>
      <c r="N76" s="34">
        <f t="shared" si="2"/>
        <v>1817.12</v>
      </c>
      <c r="O76" s="36">
        <f t="shared" si="3"/>
        <v>113.57</v>
      </c>
      <c r="P76" s="35">
        <v>500</v>
      </c>
    </row>
    <row r="77" spans="1:16" x14ac:dyDescent="0.25">
      <c r="A77" s="37" t="s">
        <v>188</v>
      </c>
      <c r="B77" s="37"/>
      <c r="C77" s="40" t="s">
        <v>39</v>
      </c>
      <c r="D77" s="39">
        <v>45476</v>
      </c>
      <c r="E77" s="39">
        <v>45841</v>
      </c>
      <c r="F77" s="37" t="s">
        <v>1123</v>
      </c>
      <c r="G77" s="37" t="s">
        <v>61</v>
      </c>
      <c r="H77" s="41">
        <v>12320</v>
      </c>
      <c r="I77" s="42">
        <v>10190</v>
      </c>
      <c r="J77" s="37" t="s">
        <v>1790</v>
      </c>
      <c r="K77" s="39">
        <v>45476</v>
      </c>
      <c r="L77" s="33" t="s">
        <v>58</v>
      </c>
      <c r="M77" s="41">
        <v>352000</v>
      </c>
      <c r="N77" s="34">
        <f t="shared" si="2"/>
        <v>1630.4</v>
      </c>
      <c r="O77" s="36">
        <f t="shared" si="3"/>
        <v>101.9</v>
      </c>
      <c r="P77" s="35">
        <v>500</v>
      </c>
    </row>
    <row r="78" spans="1:16" x14ac:dyDescent="0.25">
      <c r="A78" s="37" t="s">
        <v>189</v>
      </c>
      <c r="B78" s="37"/>
      <c r="C78" s="40" t="s">
        <v>39</v>
      </c>
      <c r="D78" s="39">
        <v>45842</v>
      </c>
      <c r="E78" s="39">
        <v>46207</v>
      </c>
      <c r="F78" s="37" t="s">
        <v>1123</v>
      </c>
      <c r="G78" s="37" t="s">
        <v>61</v>
      </c>
      <c r="H78" s="41">
        <v>12320</v>
      </c>
      <c r="I78" s="42">
        <v>10190</v>
      </c>
      <c r="J78" s="37" t="s">
        <v>1790</v>
      </c>
      <c r="K78" s="39">
        <v>45476</v>
      </c>
      <c r="L78" s="33" t="s">
        <v>58</v>
      </c>
      <c r="M78" s="41">
        <v>352000</v>
      </c>
      <c r="N78" s="34">
        <f t="shared" si="2"/>
        <v>1630.4</v>
      </c>
      <c r="O78" s="36">
        <f t="shared" si="3"/>
        <v>101.9</v>
      </c>
      <c r="P78" s="35">
        <v>500</v>
      </c>
    </row>
    <row r="79" spans="1:16" x14ac:dyDescent="0.25">
      <c r="A79" s="37" t="s">
        <v>190</v>
      </c>
      <c r="B79" s="37"/>
      <c r="C79" s="40" t="s">
        <v>32</v>
      </c>
      <c r="D79" s="39">
        <v>45476</v>
      </c>
      <c r="E79" s="39">
        <v>45841</v>
      </c>
      <c r="F79" s="37" t="s">
        <v>1124</v>
      </c>
      <c r="G79" s="37" t="s">
        <v>62</v>
      </c>
      <c r="H79" s="41">
        <v>13370</v>
      </c>
      <c r="I79" s="42">
        <v>11095</v>
      </c>
      <c r="J79" s="37" t="s">
        <v>1791</v>
      </c>
      <c r="K79" s="39">
        <v>45476</v>
      </c>
      <c r="L79" s="33" t="s">
        <v>58</v>
      </c>
      <c r="M79" s="41">
        <v>382000</v>
      </c>
      <c r="N79" s="34">
        <f t="shared" si="2"/>
        <v>1775.2</v>
      </c>
      <c r="O79" s="36">
        <f t="shared" si="3"/>
        <v>110.95</v>
      </c>
      <c r="P79" s="35">
        <v>500</v>
      </c>
    </row>
    <row r="80" spans="1:16" x14ac:dyDescent="0.25">
      <c r="A80" s="37" t="s">
        <v>191</v>
      </c>
      <c r="B80" s="37"/>
      <c r="C80" s="40" t="s">
        <v>32</v>
      </c>
      <c r="D80" s="39">
        <v>45842</v>
      </c>
      <c r="E80" s="39">
        <v>46207</v>
      </c>
      <c r="F80" s="37" t="s">
        <v>1124</v>
      </c>
      <c r="G80" s="37" t="s">
        <v>62</v>
      </c>
      <c r="H80" s="41">
        <v>13370</v>
      </c>
      <c r="I80" s="42">
        <v>11095</v>
      </c>
      <c r="J80" s="37" t="s">
        <v>1791</v>
      </c>
      <c r="K80" s="39">
        <v>45476</v>
      </c>
      <c r="L80" s="33" t="s">
        <v>58</v>
      </c>
      <c r="M80" s="41">
        <v>382000</v>
      </c>
      <c r="N80" s="34">
        <f t="shared" si="2"/>
        <v>1775.2</v>
      </c>
      <c r="O80" s="36">
        <f t="shared" si="3"/>
        <v>110.95</v>
      </c>
      <c r="P80" s="35">
        <v>500</v>
      </c>
    </row>
    <row r="81" spans="1:16" x14ac:dyDescent="0.25">
      <c r="A81" s="37" t="s">
        <v>192</v>
      </c>
      <c r="B81" s="37"/>
      <c r="C81" s="40" t="s">
        <v>32</v>
      </c>
      <c r="D81" s="39">
        <v>45476</v>
      </c>
      <c r="E81" s="39">
        <v>45841</v>
      </c>
      <c r="F81" s="37" t="s">
        <v>1125</v>
      </c>
      <c r="G81" s="37" t="s">
        <v>62</v>
      </c>
      <c r="H81" s="41">
        <v>13370</v>
      </c>
      <c r="I81" s="42">
        <v>11095</v>
      </c>
      <c r="J81" s="37" t="s">
        <v>1792</v>
      </c>
      <c r="K81" s="39">
        <v>45476</v>
      </c>
      <c r="L81" s="33" t="s">
        <v>58</v>
      </c>
      <c r="M81" s="41">
        <v>382000</v>
      </c>
      <c r="N81" s="34">
        <f t="shared" si="2"/>
        <v>1775.2</v>
      </c>
      <c r="O81" s="36">
        <f t="shared" si="3"/>
        <v>110.95</v>
      </c>
      <c r="P81" s="35">
        <v>500</v>
      </c>
    </row>
    <row r="82" spans="1:16" x14ac:dyDescent="0.25">
      <c r="A82" s="37" t="s">
        <v>193</v>
      </c>
      <c r="B82" s="37"/>
      <c r="C82" s="40" t="s">
        <v>32</v>
      </c>
      <c r="D82" s="39">
        <v>45842</v>
      </c>
      <c r="E82" s="39">
        <v>46207</v>
      </c>
      <c r="F82" s="37" t="s">
        <v>1125</v>
      </c>
      <c r="G82" s="37" t="s">
        <v>62</v>
      </c>
      <c r="H82" s="41">
        <v>13370</v>
      </c>
      <c r="I82" s="42">
        <v>11095</v>
      </c>
      <c r="J82" s="37" t="s">
        <v>1792</v>
      </c>
      <c r="K82" s="39">
        <v>45476</v>
      </c>
      <c r="L82" s="33" t="s">
        <v>58</v>
      </c>
      <c r="M82" s="41">
        <v>382000</v>
      </c>
      <c r="N82" s="34">
        <f t="shared" si="2"/>
        <v>1775.2</v>
      </c>
      <c r="O82" s="36">
        <f t="shared" si="3"/>
        <v>110.95</v>
      </c>
      <c r="P82" s="35">
        <v>500</v>
      </c>
    </row>
    <row r="83" spans="1:16" x14ac:dyDescent="0.25">
      <c r="A83" s="37" t="s">
        <v>194</v>
      </c>
      <c r="B83" s="37"/>
      <c r="C83" s="40" t="s">
        <v>31</v>
      </c>
      <c r="D83" s="39">
        <v>45476</v>
      </c>
      <c r="E83" s="39">
        <v>45841</v>
      </c>
      <c r="F83" s="37" t="s">
        <v>1126</v>
      </c>
      <c r="G83" s="37" t="s">
        <v>61</v>
      </c>
      <c r="H83" s="41">
        <v>12320</v>
      </c>
      <c r="I83" s="42">
        <v>10190</v>
      </c>
      <c r="J83" s="37" t="s">
        <v>1793</v>
      </c>
      <c r="K83" s="39">
        <v>45476</v>
      </c>
      <c r="L83" s="33" t="s">
        <v>58</v>
      </c>
      <c r="M83" s="41">
        <v>352000</v>
      </c>
      <c r="N83" s="34">
        <f t="shared" si="2"/>
        <v>1630.4</v>
      </c>
      <c r="O83" s="36">
        <f t="shared" si="3"/>
        <v>101.9</v>
      </c>
      <c r="P83" s="35">
        <v>500</v>
      </c>
    </row>
    <row r="84" spans="1:16" x14ac:dyDescent="0.25">
      <c r="A84" s="37" t="s">
        <v>195</v>
      </c>
      <c r="B84" s="37"/>
      <c r="C84" s="40" t="s">
        <v>32</v>
      </c>
      <c r="D84" s="39">
        <v>45476</v>
      </c>
      <c r="E84" s="39">
        <v>45841</v>
      </c>
      <c r="F84" s="37" t="s">
        <v>1127</v>
      </c>
      <c r="G84" s="37" t="s">
        <v>62</v>
      </c>
      <c r="H84" s="41">
        <v>13370</v>
      </c>
      <c r="I84" s="42">
        <v>11095</v>
      </c>
      <c r="J84" s="37" t="s">
        <v>1794</v>
      </c>
      <c r="K84" s="39">
        <v>45476</v>
      </c>
      <c r="L84" s="33" t="s">
        <v>58</v>
      </c>
      <c r="M84" s="41">
        <v>382000</v>
      </c>
      <c r="N84" s="34">
        <f t="shared" si="2"/>
        <v>1775.2</v>
      </c>
      <c r="O84" s="36">
        <f t="shared" si="3"/>
        <v>110.95</v>
      </c>
      <c r="P84" s="35">
        <v>500</v>
      </c>
    </row>
    <row r="85" spans="1:16" x14ac:dyDescent="0.25">
      <c r="A85" s="37" t="s">
        <v>196</v>
      </c>
      <c r="B85" s="37"/>
      <c r="C85" s="40" t="s">
        <v>32</v>
      </c>
      <c r="D85" s="39">
        <v>45476</v>
      </c>
      <c r="E85" s="39">
        <v>45841</v>
      </c>
      <c r="F85" s="37" t="s">
        <v>1127</v>
      </c>
      <c r="G85" s="37" t="s">
        <v>62</v>
      </c>
      <c r="H85" s="41">
        <v>13370</v>
      </c>
      <c r="I85" s="42">
        <v>11095</v>
      </c>
      <c r="J85" s="37" t="s">
        <v>1794</v>
      </c>
      <c r="K85" s="39">
        <v>45476</v>
      </c>
      <c r="L85" s="33" t="s">
        <v>58</v>
      </c>
      <c r="M85" s="41">
        <v>382000</v>
      </c>
      <c r="N85" s="34">
        <f t="shared" si="2"/>
        <v>1775.2</v>
      </c>
      <c r="O85" s="36">
        <f t="shared" si="3"/>
        <v>110.95</v>
      </c>
      <c r="P85" s="35">
        <v>500</v>
      </c>
    </row>
    <row r="86" spans="1:16" x14ac:dyDescent="0.25">
      <c r="A86" s="37" t="s">
        <v>197</v>
      </c>
      <c r="B86" s="37"/>
      <c r="C86" s="40" t="s">
        <v>54</v>
      </c>
      <c r="D86" s="39">
        <v>45476</v>
      </c>
      <c r="E86" s="39">
        <v>45841</v>
      </c>
      <c r="F86" s="37" t="s">
        <v>1128</v>
      </c>
      <c r="G86" s="37" t="s">
        <v>62</v>
      </c>
      <c r="H86" s="41">
        <v>9550</v>
      </c>
      <c r="I86" s="42">
        <v>7802</v>
      </c>
      <c r="J86" s="37" t="s">
        <v>1795</v>
      </c>
      <c r="K86" s="39">
        <v>45476</v>
      </c>
      <c r="L86" s="33" t="s">
        <v>58</v>
      </c>
      <c r="M86" s="41">
        <v>382000</v>
      </c>
      <c r="N86" s="34">
        <f t="shared" si="2"/>
        <v>1248.32</v>
      </c>
      <c r="O86" s="36">
        <f t="shared" si="3"/>
        <v>78.02</v>
      </c>
      <c r="P86" s="35">
        <v>500</v>
      </c>
    </row>
    <row r="87" spans="1:16" x14ac:dyDescent="0.25">
      <c r="A87" s="37" t="s">
        <v>198</v>
      </c>
      <c r="B87" s="37"/>
      <c r="C87" s="40" t="s">
        <v>54</v>
      </c>
      <c r="D87" s="39">
        <v>45476</v>
      </c>
      <c r="E87" s="39">
        <v>45841</v>
      </c>
      <c r="F87" s="37" t="s">
        <v>1129</v>
      </c>
      <c r="G87" s="37" t="s">
        <v>62</v>
      </c>
      <c r="H87" s="41">
        <v>9550</v>
      </c>
      <c r="I87" s="42">
        <v>7802</v>
      </c>
      <c r="J87" s="37" t="s">
        <v>1796</v>
      </c>
      <c r="K87" s="39">
        <v>45476</v>
      </c>
      <c r="L87" s="33" t="s">
        <v>58</v>
      </c>
      <c r="M87" s="41">
        <v>382000</v>
      </c>
      <c r="N87" s="34">
        <f t="shared" si="2"/>
        <v>1248.32</v>
      </c>
      <c r="O87" s="36">
        <f t="shared" si="3"/>
        <v>78.02</v>
      </c>
      <c r="P87" s="35">
        <v>500</v>
      </c>
    </row>
    <row r="88" spans="1:16" x14ac:dyDescent="0.25">
      <c r="A88" s="37" t="s">
        <v>199</v>
      </c>
      <c r="B88" s="37"/>
      <c r="C88" s="40" t="s">
        <v>32</v>
      </c>
      <c r="D88" s="39">
        <v>45476</v>
      </c>
      <c r="E88" s="39">
        <v>45841</v>
      </c>
      <c r="F88" s="37" t="s">
        <v>1130</v>
      </c>
      <c r="G88" s="37" t="s">
        <v>64</v>
      </c>
      <c r="H88" s="41">
        <v>17465</v>
      </c>
      <c r="I88" s="42">
        <v>14625</v>
      </c>
      <c r="J88" s="37" t="s">
        <v>1797</v>
      </c>
      <c r="K88" s="39">
        <v>45476</v>
      </c>
      <c r="L88" s="33" t="s">
        <v>58</v>
      </c>
      <c r="M88" s="41">
        <v>499000</v>
      </c>
      <c r="N88" s="34">
        <f t="shared" si="2"/>
        <v>2340</v>
      </c>
      <c r="O88" s="36">
        <f t="shared" si="3"/>
        <v>146.25</v>
      </c>
      <c r="P88" s="35">
        <v>500</v>
      </c>
    </row>
    <row r="89" spans="1:16" x14ac:dyDescent="0.25">
      <c r="A89" s="37" t="s">
        <v>200</v>
      </c>
      <c r="B89" s="37"/>
      <c r="C89" s="40" t="s">
        <v>32</v>
      </c>
      <c r="D89" s="39">
        <v>45842</v>
      </c>
      <c r="E89" s="39">
        <v>46207</v>
      </c>
      <c r="F89" s="37" t="s">
        <v>1130</v>
      </c>
      <c r="G89" s="37" t="s">
        <v>64</v>
      </c>
      <c r="H89" s="41">
        <v>17465</v>
      </c>
      <c r="I89" s="42">
        <v>14625</v>
      </c>
      <c r="J89" s="37" t="s">
        <v>1797</v>
      </c>
      <c r="K89" s="39">
        <v>45476</v>
      </c>
      <c r="L89" s="33" t="s">
        <v>58</v>
      </c>
      <c r="M89" s="41">
        <v>499000</v>
      </c>
      <c r="N89" s="34">
        <f t="shared" si="2"/>
        <v>2340</v>
      </c>
      <c r="O89" s="36">
        <f t="shared" si="3"/>
        <v>146.25</v>
      </c>
      <c r="P89" s="35">
        <v>500</v>
      </c>
    </row>
    <row r="90" spans="1:16" x14ac:dyDescent="0.25">
      <c r="A90" s="37" t="s">
        <v>201</v>
      </c>
      <c r="B90" s="37"/>
      <c r="C90" s="40" t="s">
        <v>33</v>
      </c>
      <c r="D90" s="39">
        <v>45476</v>
      </c>
      <c r="E90" s="39">
        <v>45841</v>
      </c>
      <c r="F90" s="37" t="s">
        <v>1131</v>
      </c>
      <c r="G90" s="37" t="s">
        <v>61</v>
      </c>
      <c r="H90" s="41">
        <v>12320</v>
      </c>
      <c r="I90" s="42">
        <v>10190</v>
      </c>
      <c r="J90" s="37" t="s">
        <v>1798</v>
      </c>
      <c r="K90" s="39">
        <v>45476</v>
      </c>
      <c r="L90" s="33" t="s">
        <v>58</v>
      </c>
      <c r="M90" s="41">
        <v>352000</v>
      </c>
      <c r="N90" s="34">
        <f t="shared" si="2"/>
        <v>1630.4</v>
      </c>
      <c r="O90" s="36">
        <f t="shared" si="3"/>
        <v>101.9</v>
      </c>
      <c r="P90" s="35">
        <v>500</v>
      </c>
    </row>
    <row r="91" spans="1:16" x14ac:dyDescent="0.25">
      <c r="A91" s="37" t="s">
        <v>202</v>
      </c>
      <c r="B91" s="37"/>
      <c r="C91" s="40" t="s">
        <v>33</v>
      </c>
      <c r="D91" s="39">
        <v>45842</v>
      </c>
      <c r="E91" s="39">
        <v>46207</v>
      </c>
      <c r="F91" s="37" t="s">
        <v>1131</v>
      </c>
      <c r="G91" s="37" t="s">
        <v>61</v>
      </c>
      <c r="H91" s="41">
        <v>12320</v>
      </c>
      <c r="I91" s="42">
        <v>10190</v>
      </c>
      <c r="J91" s="37" t="s">
        <v>1798</v>
      </c>
      <c r="K91" s="39">
        <v>45476</v>
      </c>
      <c r="L91" s="33" t="s">
        <v>58</v>
      </c>
      <c r="M91" s="41">
        <v>352000</v>
      </c>
      <c r="N91" s="34">
        <f t="shared" si="2"/>
        <v>1630.4</v>
      </c>
      <c r="O91" s="36">
        <f t="shared" si="3"/>
        <v>101.9</v>
      </c>
      <c r="P91" s="35">
        <v>500</v>
      </c>
    </row>
    <row r="92" spans="1:16" x14ac:dyDescent="0.25">
      <c r="A92" s="37" t="s">
        <v>203</v>
      </c>
      <c r="B92" s="37"/>
      <c r="C92" s="40" t="s">
        <v>32</v>
      </c>
      <c r="D92" s="39">
        <v>45476</v>
      </c>
      <c r="E92" s="39">
        <v>45841</v>
      </c>
      <c r="F92" s="37" t="s">
        <v>1132</v>
      </c>
      <c r="G92" s="37" t="s">
        <v>63</v>
      </c>
      <c r="H92" s="41">
        <v>19145</v>
      </c>
      <c r="I92" s="42">
        <v>16073</v>
      </c>
      <c r="J92" s="37" t="s">
        <v>1799</v>
      </c>
      <c r="K92" s="39">
        <v>45476</v>
      </c>
      <c r="L92" s="33" t="s">
        <v>58</v>
      </c>
      <c r="M92" s="41">
        <v>547000</v>
      </c>
      <c r="N92" s="34">
        <f t="shared" si="2"/>
        <v>2571.6799999999998</v>
      </c>
      <c r="O92" s="36">
        <f t="shared" si="3"/>
        <v>160.72999999999999</v>
      </c>
      <c r="P92" s="35">
        <v>500</v>
      </c>
    </row>
    <row r="93" spans="1:16" x14ac:dyDescent="0.25">
      <c r="A93" s="37" t="s">
        <v>204</v>
      </c>
      <c r="B93" s="37"/>
      <c r="C93" s="40" t="s">
        <v>32</v>
      </c>
      <c r="D93" s="39">
        <v>45842</v>
      </c>
      <c r="E93" s="39">
        <v>46207</v>
      </c>
      <c r="F93" s="37" t="s">
        <v>1132</v>
      </c>
      <c r="G93" s="37" t="s">
        <v>63</v>
      </c>
      <c r="H93" s="41">
        <v>19145</v>
      </c>
      <c r="I93" s="42">
        <v>16073</v>
      </c>
      <c r="J93" s="37" t="s">
        <v>1799</v>
      </c>
      <c r="K93" s="39">
        <v>45476</v>
      </c>
      <c r="L93" s="33" t="s">
        <v>58</v>
      </c>
      <c r="M93" s="41">
        <v>547000</v>
      </c>
      <c r="N93" s="34">
        <f t="shared" si="2"/>
        <v>2571.6799999999998</v>
      </c>
      <c r="O93" s="36">
        <f t="shared" si="3"/>
        <v>160.72999999999999</v>
      </c>
      <c r="P93" s="35">
        <v>500</v>
      </c>
    </row>
    <row r="94" spans="1:16" x14ac:dyDescent="0.25">
      <c r="A94" s="37" t="s">
        <v>205</v>
      </c>
      <c r="B94" s="37"/>
      <c r="C94" s="40" t="s">
        <v>31</v>
      </c>
      <c r="D94" s="39">
        <v>45476</v>
      </c>
      <c r="E94" s="39">
        <v>45841</v>
      </c>
      <c r="F94" s="37" t="s">
        <v>1133</v>
      </c>
      <c r="G94" s="37" t="s">
        <v>61</v>
      </c>
      <c r="H94" s="41">
        <v>12320</v>
      </c>
      <c r="I94" s="42">
        <v>10189</v>
      </c>
      <c r="J94" s="37" t="s">
        <v>1800</v>
      </c>
      <c r="K94" s="39">
        <v>45476</v>
      </c>
      <c r="L94" s="33" t="s">
        <v>58</v>
      </c>
      <c r="M94" s="41">
        <v>352000</v>
      </c>
      <c r="N94" s="34">
        <f t="shared" si="2"/>
        <v>1630.24</v>
      </c>
      <c r="O94" s="36">
        <f t="shared" si="3"/>
        <v>101.89</v>
      </c>
      <c r="P94" s="35">
        <v>500</v>
      </c>
    </row>
    <row r="95" spans="1:16" x14ac:dyDescent="0.25">
      <c r="A95" s="37" t="s">
        <v>206</v>
      </c>
      <c r="B95" s="37"/>
      <c r="C95" s="40" t="s">
        <v>74</v>
      </c>
      <c r="D95" s="39">
        <v>45476</v>
      </c>
      <c r="E95" s="39">
        <v>45841</v>
      </c>
      <c r="F95" s="37" t="s">
        <v>1134</v>
      </c>
      <c r="G95" s="37" t="s">
        <v>62</v>
      </c>
      <c r="H95" s="41">
        <v>9550</v>
      </c>
      <c r="I95" s="42">
        <v>7802</v>
      </c>
      <c r="J95" s="37" t="s">
        <v>1802</v>
      </c>
      <c r="K95" s="39">
        <v>45476</v>
      </c>
      <c r="L95" s="33" t="s">
        <v>58</v>
      </c>
      <c r="M95" s="41">
        <v>382001</v>
      </c>
      <c r="N95" s="34">
        <f t="shared" si="2"/>
        <v>1248.32</v>
      </c>
      <c r="O95" s="36">
        <f t="shared" si="3"/>
        <v>78.02</v>
      </c>
      <c r="P95" s="35">
        <v>500</v>
      </c>
    </row>
    <row r="96" spans="1:16" x14ac:dyDescent="0.25">
      <c r="A96" s="37" t="s">
        <v>207</v>
      </c>
      <c r="B96" s="37"/>
      <c r="C96" s="40" t="s">
        <v>74</v>
      </c>
      <c r="D96" s="39">
        <v>45476</v>
      </c>
      <c r="E96" s="39">
        <v>45841</v>
      </c>
      <c r="F96" s="37" t="s">
        <v>1135</v>
      </c>
      <c r="G96" s="37" t="s">
        <v>65</v>
      </c>
      <c r="H96" s="41">
        <v>9550</v>
      </c>
      <c r="I96" s="42">
        <v>7802</v>
      </c>
      <c r="J96" s="37" t="s">
        <v>1803</v>
      </c>
      <c r="K96" s="39">
        <v>45476</v>
      </c>
      <c r="L96" s="33" t="s">
        <v>58</v>
      </c>
      <c r="M96" s="41">
        <v>382001</v>
      </c>
      <c r="N96" s="34">
        <f t="shared" si="2"/>
        <v>1248.32</v>
      </c>
      <c r="O96" s="36">
        <f t="shared" si="3"/>
        <v>78.02</v>
      </c>
      <c r="P96" s="35">
        <v>500</v>
      </c>
    </row>
    <row r="97" spans="1:16" x14ac:dyDescent="0.25">
      <c r="A97" s="37" t="s">
        <v>208</v>
      </c>
      <c r="B97" s="37"/>
      <c r="C97" s="40" t="s">
        <v>32</v>
      </c>
      <c r="D97" s="39">
        <v>45476</v>
      </c>
      <c r="E97" s="39">
        <v>45841</v>
      </c>
      <c r="F97" s="37" t="s">
        <v>1136</v>
      </c>
      <c r="G97" s="37" t="s">
        <v>62</v>
      </c>
      <c r="H97" s="41">
        <v>13370</v>
      </c>
      <c r="I97" s="42">
        <v>11095</v>
      </c>
      <c r="J97" s="37" t="s">
        <v>1804</v>
      </c>
      <c r="K97" s="39">
        <v>45476</v>
      </c>
      <c r="L97" s="33" t="s">
        <v>58</v>
      </c>
      <c r="M97" s="41">
        <v>382000</v>
      </c>
      <c r="N97" s="34">
        <f t="shared" si="2"/>
        <v>1775.2</v>
      </c>
      <c r="O97" s="36">
        <f t="shared" si="3"/>
        <v>110.95</v>
      </c>
      <c r="P97" s="35">
        <v>500</v>
      </c>
    </row>
    <row r="98" spans="1:16" x14ac:dyDescent="0.25">
      <c r="A98" s="37" t="s">
        <v>209</v>
      </c>
      <c r="B98" s="37"/>
      <c r="C98" s="40" t="s">
        <v>34</v>
      </c>
      <c r="D98" s="39">
        <v>45476</v>
      </c>
      <c r="E98" s="39">
        <v>45841</v>
      </c>
      <c r="F98" s="37" t="s">
        <v>1137</v>
      </c>
      <c r="G98" s="37" t="s">
        <v>61</v>
      </c>
      <c r="H98" s="41">
        <v>8800</v>
      </c>
      <c r="I98" s="42">
        <v>7155</v>
      </c>
      <c r="J98" s="37" t="s">
        <v>1805</v>
      </c>
      <c r="K98" s="39">
        <v>45476</v>
      </c>
      <c r="L98" s="33" t="s">
        <v>58</v>
      </c>
      <c r="M98" s="41">
        <v>352000</v>
      </c>
      <c r="N98" s="34">
        <f t="shared" si="2"/>
        <v>1144.8</v>
      </c>
      <c r="O98" s="36">
        <f t="shared" si="3"/>
        <v>71.55</v>
      </c>
      <c r="P98" s="35">
        <v>500</v>
      </c>
    </row>
    <row r="99" spans="1:16" x14ac:dyDescent="0.25">
      <c r="A99" s="37" t="s">
        <v>210</v>
      </c>
      <c r="B99" s="37"/>
      <c r="C99" s="40" t="s">
        <v>34</v>
      </c>
      <c r="D99" s="39">
        <v>45476</v>
      </c>
      <c r="E99" s="39">
        <v>45841</v>
      </c>
      <c r="F99" s="37" t="s">
        <v>1138</v>
      </c>
      <c r="G99" s="37" t="s">
        <v>64</v>
      </c>
      <c r="H99" s="41">
        <v>12475</v>
      </c>
      <c r="I99" s="42">
        <v>10324</v>
      </c>
      <c r="J99" s="37" t="s">
        <v>1806</v>
      </c>
      <c r="K99" s="39">
        <v>45476</v>
      </c>
      <c r="L99" s="33" t="s">
        <v>58</v>
      </c>
      <c r="M99" s="41">
        <v>499000</v>
      </c>
      <c r="N99" s="34">
        <f t="shared" si="2"/>
        <v>1651.84</v>
      </c>
      <c r="O99" s="36">
        <f t="shared" si="3"/>
        <v>103.24</v>
      </c>
      <c r="P99" s="35">
        <v>500</v>
      </c>
    </row>
    <row r="100" spans="1:16" x14ac:dyDescent="0.25">
      <c r="A100" s="37" t="s">
        <v>211</v>
      </c>
      <c r="B100" s="37"/>
      <c r="C100" s="40" t="s">
        <v>34</v>
      </c>
      <c r="D100" s="39">
        <v>45476</v>
      </c>
      <c r="E100" s="39">
        <v>45841</v>
      </c>
      <c r="F100" s="37" t="s">
        <v>1139</v>
      </c>
      <c r="G100" s="37" t="s">
        <v>61</v>
      </c>
      <c r="H100" s="41">
        <v>8800</v>
      </c>
      <c r="I100" s="42">
        <v>7155</v>
      </c>
      <c r="J100" s="37" t="s">
        <v>1807</v>
      </c>
      <c r="K100" s="39">
        <v>45476</v>
      </c>
      <c r="L100" s="33" t="s">
        <v>58</v>
      </c>
      <c r="M100" s="41">
        <v>352000</v>
      </c>
      <c r="N100" s="34">
        <f t="shared" si="2"/>
        <v>1144.8</v>
      </c>
      <c r="O100" s="36">
        <f t="shared" si="3"/>
        <v>71.55</v>
      </c>
      <c r="P100" s="35">
        <v>500</v>
      </c>
    </row>
    <row r="101" spans="1:16" x14ac:dyDescent="0.25">
      <c r="A101" s="37" t="s">
        <v>212</v>
      </c>
      <c r="B101" s="37"/>
      <c r="C101" s="40" t="s">
        <v>34</v>
      </c>
      <c r="D101" s="39">
        <v>45476</v>
      </c>
      <c r="E101" s="39">
        <v>45841</v>
      </c>
      <c r="F101" s="37" t="s">
        <v>1140</v>
      </c>
      <c r="G101" s="37" t="s">
        <v>61</v>
      </c>
      <c r="H101" s="41">
        <v>8800</v>
      </c>
      <c r="I101" s="42">
        <v>7155</v>
      </c>
      <c r="J101" s="37" t="s">
        <v>1809</v>
      </c>
      <c r="K101" s="39">
        <v>45476</v>
      </c>
      <c r="L101" s="33" t="s">
        <v>58</v>
      </c>
      <c r="M101" s="41">
        <v>352000</v>
      </c>
      <c r="N101" s="34">
        <f t="shared" si="2"/>
        <v>1144.8</v>
      </c>
      <c r="O101" s="36">
        <f t="shared" si="3"/>
        <v>71.55</v>
      </c>
      <c r="P101" s="35">
        <v>500</v>
      </c>
    </row>
    <row r="102" spans="1:16" x14ac:dyDescent="0.25">
      <c r="A102" s="37" t="s">
        <v>213</v>
      </c>
      <c r="B102" s="37"/>
      <c r="C102" s="40" t="s">
        <v>34</v>
      </c>
      <c r="D102" s="39">
        <v>45476</v>
      </c>
      <c r="E102" s="39">
        <v>45841</v>
      </c>
      <c r="F102" s="37" t="s">
        <v>1141</v>
      </c>
      <c r="G102" s="37" t="s">
        <v>62</v>
      </c>
      <c r="H102" s="41">
        <v>9550</v>
      </c>
      <c r="I102" s="42">
        <v>7802</v>
      </c>
      <c r="J102" s="37" t="s">
        <v>1810</v>
      </c>
      <c r="K102" s="39">
        <v>45476</v>
      </c>
      <c r="L102" s="33" t="s">
        <v>58</v>
      </c>
      <c r="M102" s="41">
        <v>382000</v>
      </c>
      <c r="N102" s="34">
        <f t="shared" si="2"/>
        <v>1248.32</v>
      </c>
      <c r="O102" s="36">
        <f t="shared" si="3"/>
        <v>78.02</v>
      </c>
      <c r="P102" s="35">
        <v>500</v>
      </c>
    </row>
    <row r="103" spans="1:16" x14ac:dyDescent="0.25">
      <c r="A103" s="37" t="s">
        <v>214</v>
      </c>
      <c r="B103" s="37"/>
      <c r="C103" s="40" t="s">
        <v>34</v>
      </c>
      <c r="D103" s="39">
        <v>45476</v>
      </c>
      <c r="E103" s="39">
        <v>45841</v>
      </c>
      <c r="F103" s="37" t="s">
        <v>1142</v>
      </c>
      <c r="G103" s="37" t="s">
        <v>61</v>
      </c>
      <c r="H103" s="41">
        <v>8800</v>
      </c>
      <c r="I103" s="42">
        <v>7155</v>
      </c>
      <c r="J103" s="37" t="s">
        <v>1811</v>
      </c>
      <c r="K103" s="39">
        <v>45476</v>
      </c>
      <c r="L103" s="33" t="s">
        <v>58</v>
      </c>
      <c r="M103" s="41">
        <v>352000</v>
      </c>
      <c r="N103" s="34">
        <f t="shared" si="2"/>
        <v>1144.8</v>
      </c>
      <c r="O103" s="36">
        <f t="shared" si="3"/>
        <v>71.55</v>
      </c>
      <c r="P103" s="35">
        <v>500</v>
      </c>
    </row>
    <row r="104" spans="1:16" x14ac:dyDescent="0.25">
      <c r="A104" s="37" t="s">
        <v>215</v>
      </c>
      <c r="B104" s="37"/>
      <c r="C104" s="40" t="s">
        <v>87</v>
      </c>
      <c r="D104" s="39">
        <v>45476</v>
      </c>
      <c r="E104" s="39">
        <v>45841</v>
      </c>
      <c r="F104" s="37" t="s">
        <v>1143</v>
      </c>
      <c r="G104" s="37" t="s">
        <v>61</v>
      </c>
      <c r="H104" s="41">
        <v>8800</v>
      </c>
      <c r="I104" s="42">
        <v>7155</v>
      </c>
      <c r="J104" s="37" t="s">
        <v>1812</v>
      </c>
      <c r="K104" s="39">
        <v>45476</v>
      </c>
      <c r="L104" s="33" t="s">
        <v>58</v>
      </c>
      <c r="M104" s="41">
        <v>352001</v>
      </c>
      <c r="N104" s="34">
        <f t="shared" si="2"/>
        <v>1144.8</v>
      </c>
      <c r="O104" s="36">
        <f t="shared" si="3"/>
        <v>71.55</v>
      </c>
      <c r="P104" s="35">
        <v>500</v>
      </c>
    </row>
    <row r="105" spans="1:16" x14ac:dyDescent="0.25">
      <c r="A105" s="37" t="s">
        <v>216</v>
      </c>
      <c r="B105" s="37"/>
      <c r="C105" s="40" t="s">
        <v>34</v>
      </c>
      <c r="D105" s="39">
        <v>45476</v>
      </c>
      <c r="E105" s="39">
        <v>45841</v>
      </c>
      <c r="F105" s="37" t="s">
        <v>59</v>
      </c>
      <c r="G105" s="37" t="s">
        <v>61</v>
      </c>
      <c r="H105" s="41">
        <v>8800</v>
      </c>
      <c r="I105" s="42">
        <v>7155</v>
      </c>
      <c r="J105" s="37" t="s">
        <v>1813</v>
      </c>
      <c r="K105" s="39">
        <v>45476</v>
      </c>
      <c r="L105" s="33" t="s">
        <v>58</v>
      </c>
      <c r="M105" s="41">
        <v>352000</v>
      </c>
      <c r="N105" s="34">
        <f t="shared" si="2"/>
        <v>1144.8</v>
      </c>
      <c r="O105" s="36">
        <f t="shared" si="3"/>
        <v>71.55</v>
      </c>
      <c r="P105" s="35">
        <v>500</v>
      </c>
    </row>
    <row r="106" spans="1:16" x14ac:dyDescent="0.25">
      <c r="A106" s="37" t="s">
        <v>217</v>
      </c>
      <c r="B106" s="37"/>
      <c r="C106" s="40" t="s">
        <v>34</v>
      </c>
      <c r="D106" s="39">
        <v>45476</v>
      </c>
      <c r="E106" s="39">
        <v>45841</v>
      </c>
      <c r="F106" s="37" t="s">
        <v>1144</v>
      </c>
      <c r="G106" s="37" t="s">
        <v>61</v>
      </c>
      <c r="H106" s="41">
        <v>8800</v>
      </c>
      <c r="I106" s="42">
        <v>7155</v>
      </c>
      <c r="J106" s="37" t="s">
        <v>1814</v>
      </c>
      <c r="K106" s="39">
        <v>45476</v>
      </c>
      <c r="L106" s="33" t="s">
        <v>58</v>
      </c>
      <c r="M106" s="41">
        <v>352000</v>
      </c>
      <c r="N106" s="34">
        <f t="shared" si="2"/>
        <v>1144.8</v>
      </c>
      <c r="O106" s="36">
        <f t="shared" si="3"/>
        <v>71.55</v>
      </c>
      <c r="P106" s="35">
        <v>500</v>
      </c>
    </row>
    <row r="107" spans="1:16" x14ac:dyDescent="0.25">
      <c r="A107" s="37" t="s">
        <v>218</v>
      </c>
      <c r="B107" s="37"/>
      <c r="C107" s="40" t="s">
        <v>34</v>
      </c>
      <c r="D107" s="39">
        <v>45476</v>
      </c>
      <c r="E107" s="39">
        <v>45841</v>
      </c>
      <c r="F107" s="37" t="s">
        <v>1145</v>
      </c>
      <c r="G107" s="37" t="s">
        <v>61</v>
      </c>
      <c r="H107" s="41">
        <v>8800</v>
      </c>
      <c r="I107" s="42">
        <v>7155</v>
      </c>
      <c r="J107" s="37" t="s">
        <v>1815</v>
      </c>
      <c r="K107" s="39">
        <v>45476</v>
      </c>
      <c r="L107" s="33" t="s">
        <v>58</v>
      </c>
      <c r="M107" s="41">
        <v>352000</v>
      </c>
      <c r="N107" s="34">
        <f t="shared" si="2"/>
        <v>1144.8</v>
      </c>
      <c r="O107" s="36">
        <f t="shared" si="3"/>
        <v>71.55</v>
      </c>
      <c r="P107" s="35">
        <v>500</v>
      </c>
    </row>
    <row r="108" spans="1:16" x14ac:dyDescent="0.25">
      <c r="A108" s="37" t="s">
        <v>219</v>
      </c>
      <c r="B108" s="37"/>
      <c r="C108" s="40" t="s">
        <v>34</v>
      </c>
      <c r="D108" s="39">
        <v>45476</v>
      </c>
      <c r="E108" s="39">
        <v>45841</v>
      </c>
      <c r="F108" s="37" t="s">
        <v>1146</v>
      </c>
      <c r="G108" s="37" t="s">
        <v>63</v>
      </c>
      <c r="H108" s="41">
        <v>13675</v>
      </c>
      <c r="I108" s="42">
        <v>11357</v>
      </c>
      <c r="J108" s="37" t="s">
        <v>1816</v>
      </c>
      <c r="K108" s="39">
        <v>45476</v>
      </c>
      <c r="L108" s="33" t="s">
        <v>58</v>
      </c>
      <c r="M108" s="41">
        <v>547000</v>
      </c>
      <c r="N108" s="34">
        <f t="shared" si="2"/>
        <v>1817.12</v>
      </c>
      <c r="O108" s="36">
        <f t="shared" si="3"/>
        <v>113.57</v>
      </c>
      <c r="P108" s="35">
        <v>500</v>
      </c>
    </row>
    <row r="109" spans="1:16" x14ac:dyDescent="0.25">
      <c r="A109" s="37" t="s">
        <v>220</v>
      </c>
      <c r="B109" s="37"/>
      <c r="C109" s="40" t="s">
        <v>35</v>
      </c>
      <c r="D109" s="39">
        <v>45476</v>
      </c>
      <c r="E109" s="39">
        <v>45841</v>
      </c>
      <c r="F109" s="37" t="s">
        <v>1147</v>
      </c>
      <c r="G109" s="37" t="s">
        <v>61</v>
      </c>
      <c r="H109" s="41">
        <v>12320</v>
      </c>
      <c r="I109" s="42">
        <v>10190</v>
      </c>
      <c r="J109" s="37" t="s">
        <v>1818</v>
      </c>
      <c r="K109" s="39">
        <v>45476</v>
      </c>
      <c r="L109" s="33" t="s">
        <v>58</v>
      </c>
      <c r="M109" s="41">
        <v>352000</v>
      </c>
      <c r="N109" s="34">
        <f t="shared" si="2"/>
        <v>1630.4</v>
      </c>
      <c r="O109" s="36">
        <f t="shared" si="3"/>
        <v>101.9</v>
      </c>
      <c r="P109" s="35">
        <v>500</v>
      </c>
    </row>
    <row r="110" spans="1:16" x14ac:dyDescent="0.25">
      <c r="A110" s="37" t="s">
        <v>221</v>
      </c>
      <c r="B110" s="37"/>
      <c r="C110" s="40" t="s">
        <v>35</v>
      </c>
      <c r="D110" s="39">
        <v>45842</v>
      </c>
      <c r="E110" s="39">
        <v>46207</v>
      </c>
      <c r="F110" s="37" t="s">
        <v>1147</v>
      </c>
      <c r="G110" s="37" t="s">
        <v>61</v>
      </c>
      <c r="H110" s="41">
        <v>12320</v>
      </c>
      <c r="I110" s="42">
        <v>10190</v>
      </c>
      <c r="J110" s="37" t="s">
        <v>1818</v>
      </c>
      <c r="K110" s="39">
        <v>45476</v>
      </c>
      <c r="L110" s="33" t="s">
        <v>58</v>
      </c>
      <c r="M110" s="41">
        <v>352000</v>
      </c>
      <c r="N110" s="34">
        <f t="shared" si="2"/>
        <v>1630.4</v>
      </c>
      <c r="O110" s="36">
        <f t="shared" si="3"/>
        <v>101.9</v>
      </c>
      <c r="P110" s="35">
        <v>500</v>
      </c>
    </row>
    <row r="111" spans="1:16" x14ac:dyDescent="0.25">
      <c r="A111" s="37" t="s">
        <v>222</v>
      </c>
      <c r="B111" s="37"/>
      <c r="C111" s="40" t="s">
        <v>31</v>
      </c>
      <c r="D111" s="39">
        <v>45476</v>
      </c>
      <c r="E111" s="39">
        <v>45841</v>
      </c>
      <c r="F111" s="37" t="s">
        <v>1148</v>
      </c>
      <c r="G111" s="37" t="s">
        <v>61</v>
      </c>
      <c r="H111" s="41">
        <v>12320</v>
      </c>
      <c r="I111" s="42">
        <v>10190</v>
      </c>
      <c r="J111" s="37" t="s">
        <v>1819</v>
      </c>
      <c r="K111" s="39">
        <v>45476</v>
      </c>
      <c r="L111" s="33" t="s">
        <v>58</v>
      </c>
      <c r="M111" s="41">
        <v>352000</v>
      </c>
      <c r="N111" s="34">
        <f>I111*16/100</f>
        <v>1630.4</v>
      </c>
      <c r="O111" s="36">
        <f>I111*1/100</f>
        <v>101.9</v>
      </c>
      <c r="P111" s="35">
        <v>500</v>
      </c>
    </row>
    <row r="112" spans="1:16" x14ac:dyDescent="0.25">
      <c r="A112" s="37" t="s">
        <v>223</v>
      </c>
      <c r="B112" s="37"/>
      <c r="C112" s="40" t="s">
        <v>1071</v>
      </c>
      <c r="D112" s="39">
        <v>45476</v>
      </c>
      <c r="E112" s="39">
        <v>45841</v>
      </c>
      <c r="F112" s="37" t="s">
        <v>1149</v>
      </c>
      <c r="G112" s="37" t="s">
        <v>61</v>
      </c>
      <c r="H112" s="41">
        <v>8800</v>
      </c>
      <c r="I112" s="42">
        <v>7155</v>
      </c>
      <c r="J112" s="37" t="s">
        <v>1820</v>
      </c>
      <c r="K112" s="39">
        <v>45476</v>
      </c>
      <c r="L112" s="33" t="s">
        <v>58</v>
      </c>
      <c r="M112" s="41">
        <v>352000</v>
      </c>
      <c r="N112" s="34">
        <f t="shared" si="2"/>
        <v>1144.8</v>
      </c>
      <c r="O112" s="36">
        <f t="shared" si="3"/>
        <v>71.55</v>
      </c>
      <c r="P112" s="35">
        <v>500</v>
      </c>
    </row>
    <row r="113" spans="1:16" x14ac:dyDescent="0.25">
      <c r="A113" s="37" t="s">
        <v>224</v>
      </c>
      <c r="B113" s="37"/>
      <c r="C113" s="40" t="s">
        <v>72</v>
      </c>
      <c r="D113" s="39">
        <v>45477</v>
      </c>
      <c r="E113" s="39">
        <v>45842</v>
      </c>
      <c r="F113" s="37" t="s">
        <v>1150</v>
      </c>
      <c r="G113" s="37" t="s">
        <v>64</v>
      </c>
      <c r="H113" s="41">
        <v>12475</v>
      </c>
      <c r="I113" s="42">
        <v>10323</v>
      </c>
      <c r="J113" s="37" t="s">
        <v>1821</v>
      </c>
      <c r="K113" s="39">
        <v>45477</v>
      </c>
      <c r="L113" s="33" t="s">
        <v>58</v>
      </c>
      <c r="M113" s="41">
        <v>499000</v>
      </c>
      <c r="N113" s="34">
        <f t="shared" si="2"/>
        <v>1651.68</v>
      </c>
      <c r="O113" s="36">
        <f t="shared" si="3"/>
        <v>103.23</v>
      </c>
      <c r="P113" s="35">
        <v>500</v>
      </c>
    </row>
    <row r="114" spans="1:16" x14ac:dyDescent="0.25">
      <c r="A114" s="37" t="s">
        <v>225</v>
      </c>
      <c r="B114" s="37"/>
      <c r="C114" s="40" t="s">
        <v>53</v>
      </c>
      <c r="D114" s="39">
        <v>45477</v>
      </c>
      <c r="E114" s="39">
        <v>45842</v>
      </c>
      <c r="F114" s="37" t="s">
        <v>1151</v>
      </c>
      <c r="G114" s="37" t="s">
        <v>61</v>
      </c>
      <c r="H114" s="41">
        <v>8800</v>
      </c>
      <c r="I114" s="42">
        <v>7155</v>
      </c>
      <c r="J114" s="37" t="s">
        <v>1822</v>
      </c>
      <c r="K114" s="39">
        <v>45477</v>
      </c>
      <c r="L114" s="33" t="s">
        <v>58</v>
      </c>
      <c r="M114" s="41">
        <v>352000</v>
      </c>
      <c r="N114" s="34">
        <f t="shared" si="2"/>
        <v>1144.8</v>
      </c>
      <c r="O114" s="36">
        <f t="shared" si="3"/>
        <v>71.55</v>
      </c>
      <c r="P114" s="35">
        <v>500</v>
      </c>
    </row>
    <row r="115" spans="1:16" x14ac:dyDescent="0.25">
      <c r="A115" s="37" t="s">
        <v>226</v>
      </c>
      <c r="B115" s="37"/>
      <c r="C115" s="40" t="s">
        <v>39</v>
      </c>
      <c r="D115" s="39">
        <v>45477</v>
      </c>
      <c r="E115" s="39">
        <v>45842</v>
      </c>
      <c r="F115" s="37" t="s">
        <v>1152</v>
      </c>
      <c r="G115" s="37" t="s">
        <v>61</v>
      </c>
      <c r="H115" s="41">
        <v>19145</v>
      </c>
      <c r="I115" s="42">
        <v>16073</v>
      </c>
      <c r="J115" s="37" t="s">
        <v>1823</v>
      </c>
      <c r="K115" s="39">
        <v>45477</v>
      </c>
      <c r="L115" s="33" t="s">
        <v>58</v>
      </c>
      <c r="M115" s="41">
        <v>547000</v>
      </c>
      <c r="N115" s="34">
        <f t="shared" si="2"/>
        <v>2571.6799999999998</v>
      </c>
      <c r="O115" s="36">
        <f t="shared" si="3"/>
        <v>160.72999999999999</v>
      </c>
      <c r="P115" s="35">
        <v>500</v>
      </c>
    </row>
    <row r="116" spans="1:16" x14ac:dyDescent="0.25">
      <c r="A116" s="37" t="s">
        <v>227</v>
      </c>
      <c r="B116" s="37"/>
      <c r="C116" s="40" t="s">
        <v>30</v>
      </c>
      <c r="D116" s="39">
        <v>45477</v>
      </c>
      <c r="E116" s="39">
        <v>45842</v>
      </c>
      <c r="F116" s="37" t="s">
        <v>1153</v>
      </c>
      <c r="G116" s="37" t="s">
        <v>61</v>
      </c>
      <c r="H116" s="41">
        <v>12320</v>
      </c>
      <c r="I116" s="42">
        <v>10190</v>
      </c>
      <c r="J116" s="37" t="s">
        <v>1824</v>
      </c>
      <c r="K116" s="39">
        <v>45477</v>
      </c>
      <c r="L116" s="33" t="s">
        <v>58</v>
      </c>
      <c r="M116" s="41">
        <v>352000</v>
      </c>
      <c r="N116" s="34">
        <f t="shared" si="2"/>
        <v>1630.4</v>
      </c>
      <c r="O116" s="36">
        <f t="shared" si="3"/>
        <v>101.9</v>
      </c>
      <c r="P116" s="35">
        <v>500</v>
      </c>
    </row>
    <row r="117" spans="1:16" x14ac:dyDescent="0.25">
      <c r="A117" s="37" t="s">
        <v>228</v>
      </c>
      <c r="B117" s="37"/>
      <c r="C117" s="40" t="s">
        <v>30</v>
      </c>
      <c r="D117" s="39">
        <v>45843</v>
      </c>
      <c r="E117" s="39">
        <v>46208</v>
      </c>
      <c r="F117" s="37" t="s">
        <v>1153</v>
      </c>
      <c r="G117" s="37" t="s">
        <v>61</v>
      </c>
      <c r="H117" s="41">
        <v>12320</v>
      </c>
      <c r="I117" s="42">
        <v>10190</v>
      </c>
      <c r="J117" s="37" t="s">
        <v>1824</v>
      </c>
      <c r="K117" s="39">
        <v>45477</v>
      </c>
      <c r="L117" s="33" t="s">
        <v>58</v>
      </c>
      <c r="M117" s="41">
        <v>352000</v>
      </c>
      <c r="N117" s="34">
        <f t="shared" si="2"/>
        <v>1630.4</v>
      </c>
      <c r="O117" s="36">
        <f t="shared" si="3"/>
        <v>101.9</v>
      </c>
      <c r="P117" s="35">
        <v>500</v>
      </c>
    </row>
    <row r="118" spans="1:16" x14ac:dyDescent="0.25">
      <c r="A118" s="37" t="s">
        <v>229</v>
      </c>
      <c r="B118" s="37"/>
      <c r="C118" s="40" t="s">
        <v>30</v>
      </c>
      <c r="D118" s="39">
        <v>45477</v>
      </c>
      <c r="E118" s="39">
        <v>45842</v>
      </c>
      <c r="F118" s="37" t="s">
        <v>1154</v>
      </c>
      <c r="G118" s="37" t="s">
        <v>61</v>
      </c>
      <c r="H118" s="41">
        <v>12320</v>
      </c>
      <c r="I118" s="42">
        <v>10190</v>
      </c>
      <c r="J118" s="37" t="s">
        <v>1825</v>
      </c>
      <c r="K118" s="39">
        <v>45477</v>
      </c>
      <c r="L118" s="33" t="s">
        <v>58</v>
      </c>
      <c r="M118" s="41">
        <v>352000</v>
      </c>
      <c r="N118" s="34">
        <f t="shared" si="2"/>
        <v>1630.4</v>
      </c>
      <c r="O118" s="36">
        <f t="shared" si="3"/>
        <v>101.9</v>
      </c>
      <c r="P118" s="35">
        <v>500</v>
      </c>
    </row>
    <row r="119" spans="1:16" x14ac:dyDescent="0.25">
      <c r="A119" s="37" t="s">
        <v>230</v>
      </c>
      <c r="B119" s="37"/>
      <c r="C119" s="40" t="s">
        <v>72</v>
      </c>
      <c r="D119" s="39">
        <v>45477</v>
      </c>
      <c r="E119" s="39">
        <v>45842</v>
      </c>
      <c r="F119" s="37" t="s">
        <v>1155</v>
      </c>
      <c r="G119" s="37" t="s">
        <v>63</v>
      </c>
      <c r="H119" s="41">
        <v>13675</v>
      </c>
      <c r="I119" s="42">
        <v>11358</v>
      </c>
      <c r="J119" s="37" t="s">
        <v>1817</v>
      </c>
      <c r="K119" s="39">
        <v>45477</v>
      </c>
      <c r="L119" s="33" t="s">
        <v>58</v>
      </c>
      <c r="M119" s="41">
        <v>547000</v>
      </c>
      <c r="N119" s="34">
        <f t="shared" si="2"/>
        <v>1817.28</v>
      </c>
      <c r="O119" s="36">
        <f t="shared" si="3"/>
        <v>113.58</v>
      </c>
      <c r="P119" s="35">
        <v>500</v>
      </c>
    </row>
    <row r="120" spans="1:16" x14ac:dyDescent="0.25">
      <c r="A120" s="37" t="s">
        <v>231</v>
      </c>
      <c r="B120" s="37"/>
      <c r="C120" s="40" t="s">
        <v>66</v>
      </c>
      <c r="D120" s="39">
        <v>45477</v>
      </c>
      <c r="E120" s="39">
        <v>45842</v>
      </c>
      <c r="F120" s="37" t="s">
        <v>1156</v>
      </c>
      <c r="G120" s="37" t="s">
        <v>61</v>
      </c>
      <c r="H120" s="41">
        <v>8800</v>
      </c>
      <c r="I120" s="42">
        <v>7155</v>
      </c>
      <c r="J120" s="37" t="s">
        <v>1826</v>
      </c>
      <c r="K120" s="39">
        <v>45477</v>
      </c>
      <c r="L120" s="33" t="s">
        <v>58</v>
      </c>
      <c r="M120" s="41">
        <v>352001</v>
      </c>
      <c r="N120" s="34">
        <f t="shared" si="2"/>
        <v>1144.8</v>
      </c>
      <c r="O120" s="36">
        <f t="shared" si="3"/>
        <v>71.55</v>
      </c>
      <c r="P120" s="35">
        <v>500</v>
      </c>
    </row>
    <row r="121" spans="1:16" x14ac:dyDescent="0.25">
      <c r="A121" s="37" t="s">
        <v>232</v>
      </c>
      <c r="B121" s="37"/>
      <c r="C121" s="40" t="s">
        <v>66</v>
      </c>
      <c r="D121" s="39">
        <v>45477</v>
      </c>
      <c r="E121" s="39">
        <v>45842</v>
      </c>
      <c r="F121" s="37" t="s">
        <v>1157</v>
      </c>
      <c r="G121" s="37" t="s">
        <v>61</v>
      </c>
      <c r="H121" s="41">
        <v>8800</v>
      </c>
      <c r="I121" s="42">
        <v>7155</v>
      </c>
      <c r="J121" s="37" t="s">
        <v>1827</v>
      </c>
      <c r="K121" s="39">
        <v>45477</v>
      </c>
      <c r="L121" s="33" t="s">
        <v>58</v>
      </c>
      <c r="M121" s="41">
        <v>352001</v>
      </c>
      <c r="N121" s="34">
        <f t="shared" si="2"/>
        <v>1144.8</v>
      </c>
      <c r="O121" s="36">
        <f t="shared" si="3"/>
        <v>71.55</v>
      </c>
      <c r="P121" s="35">
        <v>500</v>
      </c>
    </row>
    <row r="122" spans="1:16" x14ac:dyDescent="0.25">
      <c r="A122" s="37" t="s">
        <v>233</v>
      </c>
      <c r="B122" s="37"/>
      <c r="C122" s="40" t="s">
        <v>66</v>
      </c>
      <c r="D122" s="39">
        <v>45477</v>
      </c>
      <c r="E122" s="39">
        <v>45842</v>
      </c>
      <c r="F122" s="37" t="s">
        <v>1158</v>
      </c>
      <c r="G122" s="37" t="s">
        <v>61</v>
      </c>
      <c r="H122" s="41">
        <v>8800</v>
      </c>
      <c r="I122" s="42">
        <v>7155</v>
      </c>
      <c r="J122" s="37" t="s">
        <v>1828</v>
      </c>
      <c r="K122" s="39">
        <v>45477</v>
      </c>
      <c r="L122" s="33" t="s">
        <v>58</v>
      </c>
      <c r="M122" s="41">
        <v>352001</v>
      </c>
      <c r="N122" s="34">
        <f t="shared" si="2"/>
        <v>1144.8</v>
      </c>
      <c r="O122" s="36">
        <f t="shared" si="3"/>
        <v>71.55</v>
      </c>
      <c r="P122" s="35">
        <v>500</v>
      </c>
    </row>
    <row r="123" spans="1:16" x14ac:dyDescent="0.25">
      <c r="A123" s="37" t="s">
        <v>234</v>
      </c>
      <c r="B123" s="37"/>
      <c r="C123" s="40" t="s">
        <v>66</v>
      </c>
      <c r="D123" s="39">
        <v>45477</v>
      </c>
      <c r="E123" s="39">
        <v>45842</v>
      </c>
      <c r="F123" s="37" t="s">
        <v>1159</v>
      </c>
      <c r="G123" s="37" t="s">
        <v>61</v>
      </c>
      <c r="H123" s="41">
        <v>8800</v>
      </c>
      <c r="I123" s="42">
        <v>7155</v>
      </c>
      <c r="J123" s="37" t="s">
        <v>1830</v>
      </c>
      <c r="K123" s="39">
        <v>45477</v>
      </c>
      <c r="L123" s="33" t="s">
        <v>58</v>
      </c>
      <c r="M123" s="41">
        <v>352001</v>
      </c>
      <c r="N123" s="34">
        <f t="shared" si="2"/>
        <v>1144.8</v>
      </c>
      <c r="O123" s="36">
        <f t="shared" si="3"/>
        <v>71.55</v>
      </c>
      <c r="P123" s="35">
        <v>500</v>
      </c>
    </row>
    <row r="124" spans="1:16" x14ac:dyDescent="0.25">
      <c r="A124" s="37" t="s">
        <v>235</v>
      </c>
      <c r="B124" s="37"/>
      <c r="C124" s="40" t="s">
        <v>74</v>
      </c>
      <c r="D124" s="39">
        <v>45477</v>
      </c>
      <c r="E124" s="39">
        <v>45842</v>
      </c>
      <c r="F124" s="37" t="s">
        <v>1160</v>
      </c>
      <c r="G124" s="37" t="s">
        <v>61</v>
      </c>
      <c r="H124" s="41">
        <v>8800</v>
      </c>
      <c r="I124" s="42">
        <v>7155</v>
      </c>
      <c r="J124" s="37" t="s">
        <v>1831</v>
      </c>
      <c r="K124" s="39">
        <v>45477</v>
      </c>
      <c r="L124" s="33" t="s">
        <v>58</v>
      </c>
      <c r="M124" s="41">
        <v>352001</v>
      </c>
      <c r="N124" s="34">
        <f t="shared" si="2"/>
        <v>1144.8</v>
      </c>
      <c r="O124" s="36">
        <f t="shared" si="3"/>
        <v>71.55</v>
      </c>
      <c r="P124" s="35">
        <v>500</v>
      </c>
    </row>
    <row r="125" spans="1:16" x14ac:dyDescent="0.25">
      <c r="A125" s="37" t="s">
        <v>236</v>
      </c>
      <c r="B125" s="37"/>
      <c r="C125" s="40" t="s">
        <v>87</v>
      </c>
      <c r="D125" s="39">
        <v>45477</v>
      </c>
      <c r="E125" s="39">
        <v>45842</v>
      </c>
      <c r="F125" s="37" t="s">
        <v>1161</v>
      </c>
      <c r="G125" s="37" t="s">
        <v>62</v>
      </c>
      <c r="H125" s="41">
        <v>9550</v>
      </c>
      <c r="I125" s="42">
        <v>7802</v>
      </c>
      <c r="J125" s="37" t="s">
        <v>1832</v>
      </c>
      <c r="K125" s="39">
        <v>45477</v>
      </c>
      <c r="L125" s="33" t="s">
        <v>58</v>
      </c>
      <c r="M125" s="41">
        <v>382001</v>
      </c>
      <c r="N125" s="34">
        <f t="shared" si="2"/>
        <v>1248.32</v>
      </c>
      <c r="O125" s="36">
        <f t="shared" si="3"/>
        <v>78.02</v>
      </c>
      <c r="P125" s="35">
        <v>500</v>
      </c>
    </row>
    <row r="126" spans="1:16" x14ac:dyDescent="0.25">
      <c r="A126" s="37" t="s">
        <v>237</v>
      </c>
      <c r="B126" s="37"/>
      <c r="C126" s="40" t="s">
        <v>1071</v>
      </c>
      <c r="D126" s="39">
        <v>45477</v>
      </c>
      <c r="E126" s="39">
        <v>45842</v>
      </c>
      <c r="F126" s="37" t="s">
        <v>1149</v>
      </c>
      <c r="G126" s="37" t="s">
        <v>61</v>
      </c>
      <c r="H126" s="41">
        <v>8800</v>
      </c>
      <c r="I126" s="42">
        <v>7155</v>
      </c>
      <c r="J126" s="37" t="s">
        <v>1833</v>
      </c>
      <c r="K126" s="39">
        <v>45477</v>
      </c>
      <c r="L126" s="33" t="s">
        <v>58</v>
      </c>
      <c r="M126" s="41">
        <v>352000</v>
      </c>
      <c r="N126" s="34">
        <f t="shared" si="2"/>
        <v>1144.8</v>
      </c>
      <c r="O126" s="36">
        <f t="shared" si="3"/>
        <v>71.55</v>
      </c>
      <c r="P126" s="35">
        <v>500</v>
      </c>
    </row>
    <row r="127" spans="1:16" x14ac:dyDescent="0.25">
      <c r="A127" s="37" t="s">
        <v>238</v>
      </c>
      <c r="B127" s="37"/>
      <c r="C127" s="40" t="s">
        <v>1071</v>
      </c>
      <c r="D127" s="39">
        <v>45477</v>
      </c>
      <c r="E127" s="39">
        <v>45842</v>
      </c>
      <c r="F127" s="37" t="s">
        <v>1162</v>
      </c>
      <c r="G127" s="37" t="s">
        <v>61</v>
      </c>
      <c r="H127" s="41">
        <v>8800</v>
      </c>
      <c r="I127" s="42">
        <v>7155</v>
      </c>
      <c r="J127" s="37" t="s">
        <v>1833</v>
      </c>
      <c r="K127" s="39">
        <v>45477</v>
      </c>
      <c r="L127" s="33" t="s">
        <v>58</v>
      </c>
      <c r="M127" s="41">
        <v>352000</v>
      </c>
      <c r="N127" s="34">
        <f t="shared" si="2"/>
        <v>1144.8</v>
      </c>
      <c r="O127" s="36">
        <f t="shared" si="3"/>
        <v>71.55</v>
      </c>
      <c r="P127" s="35">
        <v>500</v>
      </c>
    </row>
    <row r="128" spans="1:16" x14ac:dyDescent="0.25">
      <c r="A128" s="37" t="s">
        <v>239</v>
      </c>
      <c r="B128" s="37"/>
      <c r="C128" s="40" t="s">
        <v>53</v>
      </c>
      <c r="D128" s="39">
        <v>45477</v>
      </c>
      <c r="E128" s="39">
        <v>45842</v>
      </c>
      <c r="F128" s="37" t="s">
        <v>1163</v>
      </c>
      <c r="G128" s="37" t="s">
        <v>63</v>
      </c>
      <c r="H128" s="41">
        <v>13675</v>
      </c>
      <c r="I128" s="42">
        <v>11358</v>
      </c>
      <c r="J128" s="37" t="s">
        <v>1834</v>
      </c>
      <c r="K128" s="39">
        <v>45477</v>
      </c>
      <c r="L128" s="33" t="s">
        <v>58</v>
      </c>
      <c r="M128" s="41">
        <v>547000</v>
      </c>
      <c r="N128" s="34">
        <f t="shared" si="2"/>
        <v>1817.28</v>
      </c>
      <c r="O128" s="36">
        <f t="shared" si="3"/>
        <v>113.58</v>
      </c>
      <c r="P128" s="35">
        <v>500</v>
      </c>
    </row>
    <row r="129" spans="1:16" x14ac:dyDescent="0.25">
      <c r="A129" s="37" t="s">
        <v>240</v>
      </c>
      <c r="B129" s="37"/>
      <c r="C129" s="40" t="s">
        <v>39</v>
      </c>
      <c r="D129" s="39">
        <v>45477</v>
      </c>
      <c r="E129" s="39">
        <v>45842</v>
      </c>
      <c r="F129" s="37" t="s">
        <v>1164</v>
      </c>
      <c r="G129" s="37" t="s">
        <v>61</v>
      </c>
      <c r="H129" s="41">
        <v>12320</v>
      </c>
      <c r="I129" s="42">
        <v>10190</v>
      </c>
      <c r="J129" s="37" t="s">
        <v>1835</v>
      </c>
      <c r="K129" s="39">
        <v>45477</v>
      </c>
      <c r="L129" s="33" t="s">
        <v>58</v>
      </c>
      <c r="M129" s="41">
        <v>352000</v>
      </c>
      <c r="N129" s="34">
        <f t="shared" si="2"/>
        <v>1630.4</v>
      </c>
      <c r="O129" s="36">
        <f t="shared" si="3"/>
        <v>101.9</v>
      </c>
      <c r="P129" s="35">
        <v>500</v>
      </c>
    </row>
    <row r="130" spans="1:16" x14ac:dyDescent="0.25">
      <c r="A130" s="37" t="s">
        <v>241</v>
      </c>
      <c r="B130" s="37"/>
      <c r="C130" s="40" t="s">
        <v>39</v>
      </c>
      <c r="D130" s="39">
        <v>45843</v>
      </c>
      <c r="E130" s="39">
        <v>46208</v>
      </c>
      <c r="F130" s="37" t="s">
        <v>1164</v>
      </c>
      <c r="G130" s="37" t="s">
        <v>61</v>
      </c>
      <c r="H130" s="41">
        <v>12320</v>
      </c>
      <c r="I130" s="42">
        <v>10190</v>
      </c>
      <c r="J130" s="37" t="s">
        <v>1835</v>
      </c>
      <c r="K130" s="39">
        <v>45477</v>
      </c>
      <c r="L130" s="33" t="s">
        <v>58</v>
      </c>
      <c r="M130" s="41">
        <v>352000</v>
      </c>
      <c r="N130" s="34">
        <f t="shared" si="2"/>
        <v>1630.4</v>
      </c>
      <c r="O130" s="36">
        <f t="shared" si="3"/>
        <v>101.9</v>
      </c>
      <c r="P130" s="35">
        <v>500</v>
      </c>
    </row>
    <row r="131" spans="1:16" x14ac:dyDescent="0.25">
      <c r="A131" s="37" t="s">
        <v>242</v>
      </c>
      <c r="B131" s="37"/>
      <c r="C131" s="40" t="s">
        <v>72</v>
      </c>
      <c r="D131" s="39">
        <v>45478</v>
      </c>
      <c r="E131" s="39">
        <v>45843</v>
      </c>
      <c r="F131" s="37" t="s">
        <v>1165</v>
      </c>
      <c r="G131" s="37" t="s">
        <v>61</v>
      </c>
      <c r="H131" s="41">
        <v>8800</v>
      </c>
      <c r="I131" s="42">
        <v>7155</v>
      </c>
      <c r="J131" s="37" t="s">
        <v>1836</v>
      </c>
      <c r="K131" s="39">
        <v>45478</v>
      </c>
      <c r="L131" s="33" t="s">
        <v>58</v>
      </c>
      <c r="M131" s="41">
        <v>352000</v>
      </c>
      <c r="N131" s="34">
        <f t="shared" ref="N131:N194" si="4">I131*16/100</f>
        <v>1144.8</v>
      </c>
      <c r="O131" s="36">
        <f t="shared" ref="O131:O194" si="5">I131*1/100</f>
        <v>71.55</v>
      </c>
      <c r="P131" s="35">
        <v>500</v>
      </c>
    </row>
    <row r="132" spans="1:16" x14ac:dyDescent="0.25">
      <c r="A132" s="37" t="s">
        <v>243</v>
      </c>
      <c r="B132" s="37"/>
      <c r="C132" s="40" t="s">
        <v>72</v>
      </c>
      <c r="D132" s="39">
        <v>45478</v>
      </c>
      <c r="E132" s="39">
        <v>45843</v>
      </c>
      <c r="F132" s="37" t="s">
        <v>1166</v>
      </c>
      <c r="G132" s="37" t="s">
        <v>64</v>
      </c>
      <c r="H132" s="41">
        <v>12475</v>
      </c>
      <c r="I132" s="42">
        <v>10323</v>
      </c>
      <c r="J132" s="37" t="s">
        <v>1837</v>
      </c>
      <c r="K132" s="39">
        <v>45478</v>
      </c>
      <c r="L132" s="33" t="s">
        <v>58</v>
      </c>
      <c r="M132" s="41">
        <v>499000</v>
      </c>
      <c r="N132" s="34">
        <f t="shared" si="4"/>
        <v>1651.68</v>
      </c>
      <c r="O132" s="36">
        <f t="shared" si="5"/>
        <v>103.23</v>
      </c>
      <c r="P132" s="35">
        <v>500</v>
      </c>
    </row>
    <row r="133" spans="1:16" x14ac:dyDescent="0.25">
      <c r="A133" s="37" t="s">
        <v>244</v>
      </c>
      <c r="B133" s="37"/>
      <c r="C133" s="40" t="s">
        <v>72</v>
      </c>
      <c r="D133" s="39">
        <v>45478</v>
      </c>
      <c r="E133" s="39">
        <v>45843</v>
      </c>
      <c r="F133" s="37" t="s">
        <v>1167</v>
      </c>
      <c r="G133" s="37" t="s">
        <v>62</v>
      </c>
      <c r="H133" s="41">
        <v>9550</v>
      </c>
      <c r="I133" s="42">
        <v>7802</v>
      </c>
      <c r="J133" s="37" t="s">
        <v>1838</v>
      </c>
      <c r="K133" s="39">
        <v>45478</v>
      </c>
      <c r="L133" s="33" t="s">
        <v>58</v>
      </c>
      <c r="M133" s="41">
        <v>382000</v>
      </c>
      <c r="N133" s="34">
        <f t="shared" si="4"/>
        <v>1248.32</v>
      </c>
      <c r="O133" s="36">
        <f t="shared" si="5"/>
        <v>78.02</v>
      </c>
      <c r="P133" s="35">
        <v>500</v>
      </c>
    </row>
    <row r="134" spans="1:16" x14ac:dyDescent="0.25">
      <c r="A134" s="37" t="s">
        <v>245</v>
      </c>
      <c r="B134" s="37"/>
      <c r="C134" s="40" t="s">
        <v>37</v>
      </c>
      <c r="D134" s="39">
        <v>45478</v>
      </c>
      <c r="E134" s="39">
        <v>45843</v>
      </c>
      <c r="F134" s="37" t="s">
        <v>107</v>
      </c>
      <c r="G134" s="37" t="s">
        <v>61</v>
      </c>
      <c r="H134" s="41">
        <v>8800</v>
      </c>
      <c r="I134" s="42">
        <v>7155</v>
      </c>
      <c r="J134" s="37" t="s">
        <v>1839</v>
      </c>
      <c r="K134" s="39">
        <v>45478</v>
      </c>
      <c r="L134" s="33" t="s">
        <v>58</v>
      </c>
      <c r="M134" s="41">
        <v>352000</v>
      </c>
      <c r="N134" s="34">
        <f t="shared" si="4"/>
        <v>1144.8</v>
      </c>
      <c r="O134" s="36">
        <f t="shared" si="5"/>
        <v>71.55</v>
      </c>
      <c r="P134" s="35">
        <v>500</v>
      </c>
    </row>
    <row r="135" spans="1:16" x14ac:dyDescent="0.25">
      <c r="A135" s="37" t="s">
        <v>246</v>
      </c>
      <c r="B135" s="37"/>
      <c r="C135" s="40" t="s">
        <v>37</v>
      </c>
      <c r="D135" s="39">
        <v>45478</v>
      </c>
      <c r="E135" s="39">
        <v>45843</v>
      </c>
      <c r="F135" s="37" t="s">
        <v>59</v>
      </c>
      <c r="G135" s="37" t="s">
        <v>61</v>
      </c>
      <c r="H135" s="41">
        <v>8800</v>
      </c>
      <c r="I135" s="42">
        <v>7155</v>
      </c>
      <c r="J135" s="37" t="s">
        <v>1841</v>
      </c>
      <c r="K135" s="39">
        <v>45478</v>
      </c>
      <c r="L135" s="33" t="s">
        <v>58</v>
      </c>
      <c r="M135" s="41">
        <v>352000</v>
      </c>
      <c r="N135" s="34">
        <f t="shared" si="4"/>
        <v>1144.8</v>
      </c>
      <c r="O135" s="36">
        <f t="shared" si="5"/>
        <v>71.55</v>
      </c>
      <c r="P135" s="35">
        <v>500</v>
      </c>
    </row>
    <row r="136" spans="1:16" x14ac:dyDescent="0.25">
      <c r="A136" s="37" t="s">
        <v>247</v>
      </c>
      <c r="B136" s="37"/>
      <c r="C136" s="40" t="s">
        <v>39</v>
      </c>
      <c r="D136" s="39">
        <v>45478</v>
      </c>
      <c r="E136" s="39">
        <v>45843</v>
      </c>
      <c r="F136" s="37" t="s">
        <v>1168</v>
      </c>
      <c r="G136" s="37" t="s">
        <v>61</v>
      </c>
      <c r="H136" s="41">
        <v>12320</v>
      </c>
      <c r="I136" s="42">
        <v>10190</v>
      </c>
      <c r="J136" s="37" t="s">
        <v>1842</v>
      </c>
      <c r="K136" s="39">
        <v>45478</v>
      </c>
      <c r="L136" s="33" t="s">
        <v>58</v>
      </c>
      <c r="M136" s="41">
        <v>352000</v>
      </c>
      <c r="N136" s="34">
        <f t="shared" si="4"/>
        <v>1630.4</v>
      </c>
      <c r="O136" s="36">
        <f t="shared" si="5"/>
        <v>101.9</v>
      </c>
      <c r="P136" s="35">
        <v>500</v>
      </c>
    </row>
    <row r="137" spans="1:16" x14ac:dyDescent="0.25">
      <c r="A137" s="37" t="s">
        <v>248</v>
      </c>
      <c r="B137" s="37"/>
      <c r="C137" s="40" t="s">
        <v>39</v>
      </c>
      <c r="D137" s="39">
        <v>45844</v>
      </c>
      <c r="E137" s="39">
        <v>46209</v>
      </c>
      <c r="F137" s="37" t="s">
        <v>1168</v>
      </c>
      <c r="G137" s="37" t="s">
        <v>61</v>
      </c>
      <c r="H137" s="41">
        <v>12320</v>
      </c>
      <c r="I137" s="42">
        <v>10190</v>
      </c>
      <c r="J137" s="37" t="s">
        <v>1842</v>
      </c>
      <c r="K137" s="39">
        <v>45478</v>
      </c>
      <c r="L137" s="33" t="s">
        <v>58</v>
      </c>
      <c r="M137" s="41">
        <v>352000</v>
      </c>
      <c r="N137" s="34">
        <f t="shared" si="4"/>
        <v>1630.4</v>
      </c>
      <c r="O137" s="36">
        <f t="shared" si="5"/>
        <v>101.9</v>
      </c>
      <c r="P137" s="35">
        <v>500</v>
      </c>
    </row>
    <row r="138" spans="1:16" x14ac:dyDescent="0.25">
      <c r="A138" s="37" t="s">
        <v>249</v>
      </c>
      <c r="B138" s="37"/>
      <c r="C138" s="40" t="s">
        <v>37</v>
      </c>
      <c r="D138" s="39">
        <v>45478</v>
      </c>
      <c r="E138" s="39">
        <v>45843</v>
      </c>
      <c r="F138" s="37" t="s">
        <v>1169</v>
      </c>
      <c r="G138" s="37" t="s">
        <v>61</v>
      </c>
      <c r="H138" s="41">
        <v>8800</v>
      </c>
      <c r="I138" s="42">
        <v>7155</v>
      </c>
      <c r="J138" s="37" t="s">
        <v>1843</v>
      </c>
      <c r="K138" s="39">
        <v>45478</v>
      </c>
      <c r="L138" s="33" t="s">
        <v>58</v>
      </c>
      <c r="M138" s="41">
        <v>352000</v>
      </c>
      <c r="N138" s="34">
        <f t="shared" si="4"/>
        <v>1144.8</v>
      </c>
      <c r="O138" s="36">
        <f t="shared" si="5"/>
        <v>71.55</v>
      </c>
      <c r="P138" s="35">
        <v>500</v>
      </c>
    </row>
    <row r="139" spans="1:16" x14ac:dyDescent="0.25">
      <c r="A139" s="37" t="s">
        <v>250</v>
      </c>
      <c r="B139" s="37"/>
      <c r="C139" s="40" t="s">
        <v>37</v>
      </c>
      <c r="D139" s="39">
        <v>45478</v>
      </c>
      <c r="E139" s="39">
        <v>45843</v>
      </c>
      <c r="F139" s="37" t="s">
        <v>1170</v>
      </c>
      <c r="G139" s="37" t="s">
        <v>61</v>
      </c>
      <c r="H139" s="41">
        <v>8800</v>
      </c>
      <c r="I139" s="42">
        <v>7155</v>
      </c>
      <c r="J139" s="37" t="s">
        <v>1844</v>
      </c>
      <c r="K139" s="39">
        <v>45478</v>
      </c>
      <c r="L139" s="33" t="s">
        <v>58</v>
      </c>
      <c r="M139" s="41">
        <v>352000</v>
      </c>
      <c r="N139" s="34">
        <f t="shared" si="4"/>
        <v>1144.8</v>
      </c>
      <c r="O139" s="36">
        <f t="shared" si="5"/>
        <v>71.55</v>
      </c>
      <c r="P139" s="35">
        <v>500</v>
      </c>
    </row>
    <row r="140" spans="1:16" x14ac:dyDescent="0.25">
      <c r="A140" s="37" t="s">
        <v>251</v>
      </c>
      <c r="B140" s="37"/>
      <c r="C140" s="40" t="s">
        <v>37</v>
      </c>
      <c r="D140" s="39">
        <v>45478</v>
      </c>
      <c r="E140" s="39">
        <v>45843</v>
      </c>
      <c r="F140" s="37" t="s">
        <v>1109</v>
      </c>
      <c r="G140" s="37" t="s">
        <v>61</v>
      </c>
      <c r="H140" s="41">
        <v>8800</v>
      </c>
      <c r="I140" s="42">
        <v>7155</v>
      </c>
      <c r="J140" s="37" t="s">
        <v>1777</v>
      </c>
      <c r="K140" s="39">
        <v>45478</v>
      </c>
      <c r="L140" s="33" t="s">
        <v>58</v>
      </c>
      <c r="M140" s="41">
        <v>352000</v>
      </c>
      <c r="N140" s="34">
        <f t="shared" si="4"/>
        <v>1144.8</v>
      </c>
      <c r="O140" s="36">
        <f t="shared" si="5"/>
        <v>71.55</v>
      </c>
      <c r="P140" s="35">
        <v>500</v>
      </c>
    </row>
    <row r="141" spans="1:16" x14ac:dyDescent="0.25">
      <c r="A141" s="37" t="s">
        <v>252</v>
      </c>
      <c r="B141" s="37"/>
      <c r="C141" s="40" t="s">
        <v>37</v>
      </c>
      <c r="D141" s="39">
        <v>45478</v>
      </c>
      <c r="E141" s="39">
        <v>45843</v>
      </c>
      <c r="F141" s="37" t="s">
        <v>1136</v>
      </c>
      <c r="G141" s="37" t="s">
        <v>61</v>
      </c>
      <c r="H141" s="41">
        <v>8800</v>
      </c>
      <c r="I141" s="42">
        <v>7155</v>
      </c>
      <c r="J141" s="37" t="s">
        <v>1840</v>
      </c>
      <c r="K141" s="39">
        <v>45478</v>
      </c>
      <c r="L141" s="33" t="s">
        <v>58</v>
      </c>
      <c r="M141" s="41">
        <v>352000</v>
      </c>
      <c r="N141" s="34">
        <f t="shared" si="4"/>
        <v>1144.8</v>
      </c>
      <c r="O141" s="36">
        <f t="shared" si="5"/>
        <v>71.55</v>
      </c>
      <c r="P141" s="35">
        <v>500</v>
      </c>
    </row>
    <row r="142" spans="1:16" x14ac:dyDescent="0.25">
      <c r="A142" s="37" t="s">
        <v>253</v>
      </c>
      <c r="B142" s="37"/>
      <c r="C142" s="40" t="s">
        <v>37</v>
      </c>
      <c r="D142" s="39">
        <v>45478</v>
      </c>
      <c r="E142" s="39">
        <v>45843</v>
      </c>
      <c r="F142" s="37" t="s">
        <v>85</v>
      </c>
      <c r="G142" s="37" t="s">
        <v>61</v>
      </c>
      <c r="H142" s="41">
        <v>8800</v>
      </c>
      <c r="I142" s="42">
        <v>7155</v>
      </c>
      <c r="J142" s="37" t="s">
        <v>1845</v>
      </c>
      <c r="K142" s="39">
        <v>45478</v>
      </c>
      <c r="L142" s="33" t="s">
        <v>58</v>
      </c>
      <c r="M142" s="41">
        <v>352000</v>
      </c>
      <c r="N142" s="34">
        <f t="shared" si="4"/>
        <v>1144.8</v>
      </c>
      <c r="O142" s="36">
        <f t="shared" si="5"/>
        <v>71.55</v>
      </c>
      <c r="P142" s="35">
        <v>500</v>
      </c>
    </row>
    <row r="143" spans="1:16" x14ac:dyDescent="0.25">
      <c r="A143" s="37" t="s">
        <v>254</v>
      </c>
      <c r="B143" s="37"/>
      <c r="C143" s="40" t="s">
        <v>34</v>
      </c>
      <c r="D143" s="39">
        <v>45478</v>
      </c>
      <c r="E143" s="39">
        <v>45843</v>
      </c>
      <c r="F143" s="37" t="s">
        <v>1171</v>
      </c>
      <c r="G143" s="37" t="s">
        <v>61</v>
      </c>
      <c r="H143" s="41">
        <v>8800</v>
      </c>
      <c r="I143" s="42">
        <v>7155</v>
      </c>
      <c r="J143" s="37" t="s">
        <v>1846</v>
      </c>
      <c r="K143" s="39">
        <v>45478</v>
      </c>
      <c r="L143" s="33" t="s">
        <v>58</v>
      </c>
      <c r="M143" s="41">
        <v>352000</v>
      </c>
      <c r="N143" s="34">
        <f t="shared" si="4"/>
        <v>1144.8</v>
      </c>
      <c r="O143" s="36">
        <f t="shared" si="5"/>
        <v>71.55</v>
      </c>
      <c r="P143" s="35">
        <v>500</v>
      </c>
    </row>
    <row r="144" spans="1:16" x14ac:dyDescent="0.25">
      <c r="A144" s="37" t="s">
        <v>255</v>
      </c>
      <c r="B144" s="37"/>
      <c r="C144" s="40" t="s">
        <v>36</v>
      </c>
      <c r="D144" s="39">
        <v>45478</v>
      </c>
      <c r="E144" s="39">
        <v>45843</v>
      </c>
      <c r="F144" s="37" t="s">
        <v>56</v>
      </c>
      <c r="G144" s="37" t="s">
        <v>61</v>
      </c>
      <c r="H144" s="41">
        <v>12320</v>
      </c>
      <c r="I144" s="42">
        <v>10190</v>
      </c>
      <c r="J144" s="37" t="s">
        <v>1848</v>
      </c>
      <c r="K144" s="39">
        <v>45478</v>
      </c>
      <c r="L144" s="33" t="s">
        <v>58</v>
      </c>
      <c r="M144" s="41">
        <v>352000</v>
      </c>
      <c r="N144" s="34">
        <f t="shared" si="4"/>
        <v>1630.4</v>
      </c>
      <c r="O144" s="36">
        <f t="shared" si="5"/>
        <v>101.9</v>
      </c>
      <c r="P144" s="35">
        <v>500</v>
      </c>
    </row>
    <row r="145" spans="1:16" x14ac:dyDescent="0.25">
      <c r="A145" s="37" t="s">
        <v>256</v>
      </c>
      <c r="B145" s="37"/>
      <c r="C145" s="40" t="s">
        <v>50</v>
      </c>
      <c r="D145" s="39">
        <v>45478</v>
      </c>
      <c r="E145" s="39">
        <v>45843</v>
      </c>
      <c r="F145" s="37" t="s">
        <v>1172</v>
      </c>
      <c r="G145" s="37" t="s">
        <v>63</v>
      </c>
      <c r="H145" s="41">
        <v>13675</v>
      </c>
      <c r="I145" s="42">
        <v>11358</v>
      </c>
      <c r="J145" s="37" t="s">
        <v>1849</v>
      </c>
      <c r="K145" s="39">
        <v>45478</v>
      </c>
      <c r="L145" s="33" t="s">
        <v>58</v>
      </c>
      <c r="M145" s="41">
        <v>547001</v>
      </c>
      <c r="N145" s="34">
        <f t="shared" si="4"/>
        <v>1817.28</v>
      </c>
      <c r="O145" s="36">
        <f t="shared" si="5"/>
        <v>113.58</v>
      </c>
      <c r="P145" s="35">
        <v>500</v>
      </c>
    </row>
    <row r="146" spans="1:16" x14ac:dyDescent="0.25">
      <c r="A146" s="37" t="s">
        <v>257</v>
      </c>
      <c r="B146" s="37"/>
      <c r="C146" s="40" t="s">
        <v>34</v>
      </c>
      <c r="D146" s="39">
        <v>45478</v>
      </c>
      <c r="E146" s="39">
        <v>45843</v>
      </c>
      <c r="F146" s="37" t="s">
        <v>90</v>
      </c>
      <c r="G146" s="37" t="s">
        <v>61</v>
      </c>
      <c r="H146" s="41">
        <v>8800</v>
      </c>
      <c r="I146" s="42">
        <v>7155</v>
      </c>
      <c r="J146" s="37" t="s">
        <v>1850</v>
      </c>
      <c r="K146" s="39">
        <v>45478</v>
      </c>
      <c r="L146" s="33" t="s">
        <v>58</v>
      </c>
      <c r="M146" s="41">
        <v>352000</v>
      </c>
      <c r="N146" s="34">
        <f t="shared" si="4"/>
        <v>1144.8</v>
      </c>
      <c r="O146" s="36">
        <f t="shared" si="5"/>
        <v>71.55</v>
      </c>
      <c r="P146" s="35">
        <v>500</v>
      </c>
    </row>
    <row r="147" spans="1:16" x14ac:dyDescent="0.25">
      <c r="A147" s="37" t="s">
        <v>258</v>
      </c>
      <c r="B147" s="37"/>
      <c r="C147" s="40" t="s">
        <v>50</v>
      </c>
      <c r="D147" s="39">
        <v>45478</v>
      </c>
      <c r="E147" s="39">
        <v>45843</v>
      </c>
      <c r="F147" s="37" t="s">
        <v>1173</v>
      </c>
      <c r="G147" s="37" t="s">
        <v>63</v>
      </c>
      <c r="H147" s="41">
        <v>13675</v>
      </c>
      <c r="I147" s="42">
        <v>11358</v>
      </c>
      <c r="J147" s="37" t="s">
        <v>1789</v>
      </c>
      <c r="K147" s="39">
        <v>45478</v>
      </c>
      <c r="L147" s="33" t="s">
        <v>58</v>
      </c>
      <c r="M147" s="41">
        <v>547001</v>
      </c>
      <c r="N147" s="34">
        <f t="shared" si="4"/>
        <v>1817.28</v>
      </c>
      <c r="O147" s="36">
        <f t="shared" si="5"/>
        <v>113.58</v>
      </c>
      <c r="P147" s="35">
        <v>500</v>
      </c>
    </row>
    <row r="148" spans="1:16" x14ac:dyDescent="0.25">
      <c r="A148" s="37" t="s">
        <v>259</v>
      </c>
      <c r="B148" s="37"/>
      <c r="C148" s="40" t="s">
        <v>50</v>
      </c>
      <c r="D148" s="39">
        <v>45478</v>
      </c>
      <c r="E148" s="39">
        <v>45843</v>
      </c>
      <c r="F148" s="37" t="s">
        <v>1174</v>
      </c>
      <c r="G148" s="37" t="s">
        <v>61</v>
      </c>
      <c r="H148" s="41">
        <v>8800</v>
      </c>
      <c r="I148" s="42">
        <v>7155</v>
      </c>
      <c r="J148" s="37" t="s">
        <v>1852</v>
      </c>
      <c r="K148" s="39">
        <v>45478</v>
      </c>
      <c r="L148" s="33" t="s">
        <v>58</v>
      </c>
      <c r="M148" s="41">
        <v>352001</v>
      </c>
      <c r="N148" s="34">
        <f t="shared" si="4"/>
        <v>1144.8</v>
      </c>
      <c r="O148" s="36">
        <f t="shared" si="5"/>
        <v>71.55</v>
      </c>
      <c r="P148" s="35">
        <v>500</v>
      </c>
    </row>
    <row r="149" spans="1:16" x14ac:dyDescent="0.25">
      <c r="A149" s="37" t="s">
        <v>260</v>
      </c>
      <c r="B149" s="37"/>
      <c r="C149" s="40" t="s">
        <v>34</v>
      </c>
      <c r="D149" s="39">
        <v>45478</v>
      </c>
      <c r="E149" s="39">
        <v>45843</v>
      </c>
      <c r="F149" s="37" t="s">
        <v>1175</v>
      </c>
      <c r="G149" s="37" t="s">
        <v>61</v>
      </c>
      <c r="H149" s="41">
        <v>8800</v>
      </c>
      <c r="I149" s="42">
        <v>7155</v>
      </c>
      <c r="J149" s="37" t="s">
        <v>1853</v>
      </c>
      <c r="K149" s="39">
        <v>45478</v>
      </c>
      <c r="L149" s="33" t="s">
        <v>58</v>
      </c>
      <c r="M149" s="41">
        <v>352000</v>
      </c>
      <c r="N149" s="34">
        <f t="shared" si="4"/>
        <v>1144.8</v>
      </c>
      <c r="O149" s="36">
        <f t="shared" si="5"/>
        <v>71.55</v>
      </c>
      <c r="P149" s="35">
        <v>500</v>
      </c>
    </row>
    <row r="150" spans="1:16" x14ac:dyDescent="0.25">
      <c r="A150" s="37" t="s">
        <v>261</v>
      </c>
      <c r="B150" s="37"/>
      <c r="C150" s="40" t="s">
        <v>34</v>
      </c>
      <c r="D150" s="39">
        <v>45478</v>
      </c>
      <c r="E150" s="39">
        <v>45843</v>
      </c>
      <c r="F150" s="37" t="s">
        <v>1176</v>
      </c>
      <c r="G150" s="37" t="s">
        <v>61</v>
      </c>
      <c r="H150" s="41">
        <v>8800</v>
      </c>
      <c r="I150" s="42">
        <v>7155</v>
      </c>
      <c r="J150" s="37" t="s">
        <v>1854</v>
      </c>
      <c r="K150" s="39">
        <v>45478</v>
      </c>
      <c r="L150" s="33" t="s">
        <v>58</v>
      </c>
      <c r="M150" s="41">
        <v>352000</v>
      </c>
      <c r="N150" s="34">
        <f t="shared" si="4"/>
        <v>1144.8</v>
      </c>
      <c r="O150" s="36">
        <f t="shared" si="5"/>
        <v>71.55</v>
      </c>
      <c r="P150" s="35">
        <v>500</v>
      </c>
    </row>
    <row r="151" spans="1:16" x14ac:dyDescent="0.25">
      <c r="A151" s="37" t="s">
        <v>262</v>
      </c>
      <c r="B151" s="37"/>
      <c r="C151" s="40" t="s">
        <v>50</v>
      </c>
      <c r="D151" s="39">
        <v>45478</v>
      </c>
      <c r="E151" s="39">
        <v>45843</v>
      </c>
      <c r="F151" s="37" t="s">
        <v>1177</v>
      </c>
      <c r="G151" s="37" t="s">
        <v>62</v>
      </c>
      <c r="H151" s="41">
        <v>9550</v>
      </c>
      <c r="I151" s="42">
        <v>7802</v>
      </c>
      <c r="J151" s="37" t="s">
        <v>1855</v>
      </c>
      <c r="K151" s="39">
        <v>45478</v>
      </c>
      <c r="L151" s="33" t="s">
        <v>58</v>
      </c>
      <c r="M151" s="41">
        <v>382001</v>
      </c>
      <c r="N151" s="34">
        <f t="shared" si="4"/>
        <v>1248.32</v>
      </c>
      <c r="O151" s="36">
        <f t="shared" si="5"/>
        <v>78.02</v>
      </c>
      <c r="P151" s="35">
        <v>500</v>
      </c>
    </row>
    <row r="152" spans="1:16" x14ac:dyDescent="0.25">
      <c r="A152" s="37" t="s">
        <v>263</v>
      </c>
      <c r="B152" s="37"/>
      <c r="C152" s="40" t="s">
        <v>50</v>
      </c>
      <c r="D152" s="39">
        <v>45478</v>
      </c>
      <c r="E152" s="39">
        <v>45843</v>
      </c>
      <c r="F152" s="37" t="s">
        <v>1178</v>
      </c>
      <c r="G152" s="37" t="s">
        <v>61</v>
      </c>
      <c r="H152" s="41">
        <v>8800</v>
      </c>
      <c r="I152" s="42">
        <v>7155</v>
      </c>
      <c r="J152" s="37" t="s">
        <v>1856</v>
      </c>
      <c r="K152" s="39">
        <v>45478</v>
      </c>
      <c r="L152" s="33" t="s">
        <v>58</v>
      </c>
      <c r="M152" s="41">
        <v>352001</v>
      </c>
      <c r="N152" s="34">
        <f t="shared" si="4"/>
        <v>1144.8</v>
      </c>
      <c r="O152" s="36">
        <f t="shared" si="5"/>
        <v>71.55</v>
      </c>
      <c r="P152" s="35">
        <v>500</v>
      </c>
    </row>
    <row r="153" spans="1:16" x14ac:dyDescent="0.25">
      <c r="A153" s="37" t="s">
        <v>264</v>
      </c>
      <c r="B153" s="37"/>
      <c r="C153" s="40" t="s">
        <v>34</v>
      </c>
      <c r="D153" s="39">
        <v>45478</v>
      </c>
      <c r="E153" s="39">
        <v>45843</v>
      </c>
      <c r="F153" s="37" t="s">
        <v>1179</v>
      </c>
      <c r="G153" s="37" t="s">
        <v>61</v>
      </c>
      <c r="H153" s="41">
        <v>8800</v>
      </c>
      <c r="I153" s="42">
        <v>7155</v>
      </c>
      <c r="J153" s="37" t="s">
        <v>1857</v>
      </c>
      <c r="K153" s="39">
        <v>45478</v>
      </c>
      <c r="L153" s="33" t="s">
        <v>58</v>
      </c>
      <c r="M153" s="41">
        <v>352000</v>
      </c>
      <c r="N153" s="34">
        <f t="shared" si="4"/>
        <v>1144.8</v>
      </c>
      <c r="O153" s="36">
        <f t="shared" si="5"/>
        <v>71.55</v>
      </c>
      <c r="P153" s="35">
        <v>500</v>
      </c>
    </row>
    <row r="154" spans="1:16" x14ac:dyDescent="0.25">
      <c r="A154" s="37" t="s">
        <v>265</v>
      </c>
      <c r="B154" s="37"/>
      <c r="C154" s="40" t="s">
        <v>34</v>
      </c>
      <c r="D154" s="39">
        <v>45478</v>
      </c>
      <c r="E154" s="39">
        <v>45843</v>
      </c>
      <c r="F154" s="37" t="s">
        <v>1180</v>
      </c>
      <c r="G154" s="37" t="s">
        <v>64</v>
      </c>
      <c r="H154" s="41">
        <v>12475</v>
      </c>
      <c r="I154" s="42">
        <v>10323</v>
      </c>
      <c r="J154" s="37" t="s">
        <v>1858</v>
      </c>
      <c r="K154" s="39">
        <v>45478</v>
      </c>
      <c r="L154" s="33" t="s">
        <v>58</v>
      </c>
      <c r="M154" s="41">
        <v>499000</v>
      </c>
      <c r="N154" s="34">
        <f t="shared" si="4"/>
        <v>1651.68</v>
      </c>
      <c r="O154" s="36">
        <f t="shared" si="5"/>
        <v>103.23</v>
      </c>
      <c r="P154" s="35">
        <v>500</v>
      </c>
    </row>
    <row r="155" spans="1:16" x14ac:dyDescent="0.25">
      <c r="A155" s="37" t="s">
        <v>266</v>
      </c>
      <c r="B155" s="37"/>
      <c r="C155" s="40" t="s">
        <v>34</v>
      </c>
      <c r="D155" s="39">
        <v>45478</v>
      </c>
      <c r="E155" s="39">
        <v>45843</v>
      </c>
      <c r="F155" s="37" t="s">
        <v>1181</v>
      </c>
      <c r="G155" s="37" t="s">
        <v>62</v>
      </c>
      <c r="H155" s="41">
        <v>9550</v>
      </c>
      <c r="I155" s="42">
        <v>7802</v>
      </c>
      <c r="J155" s="37" t="s">
        <v>1859</v>
      </c>
      <c r="K155" s="39">
        <v>45478</v>
      </c>
      <c r="L155" s="33" t="s">
        <v>58</v>
      </c>
      <c r="M155" s="41">
        <v>382000</v>
      </c>
      <c r="N155" s="34">
        <f t="shared" si="4"/>
        <v>1248.32</v>
      </c>
      <c r="O155" s="36">
        <f t="shared" si="5"/>
        <v>78.02</v>
      </c>
      <c r="P155" s="35">
        <v>500</v>
      </c>
    </row>
    <row r="156" spans="1:16" x14ac:dyDescent="0.25">
      <c r="A156" s="37" t="s">
        <v>267</v>
      </c>
      <c r="B156" s="37"/>
      <c r="C156" s="40" t="s">
        <v>35</v>
      </c>
      <c r="D156" s="39">
        <v>45478</v>
      </c>
      <c r="E156" s="39">
        <v>45843</v>
      </c>
      <c r="F156" s="37" t="s">
        <v>1182</v>
      </c>
      <c r="G156" s="37" t="s">
        <v>61</v>
      </c>
      <c r="H156" s="41">
        <v>12320</v>
      </c>
      <c r="I156" s="42">
        <v>10190</v>
      </c>
      <c r="J156" s="37" t="s">
        <v>1860</v>
      </c>
      <c r="K156" s="39">
        <v>45478</v>
      </c>
      <c r="L156" s="33" t="s">
        <v>58</v>
      </c>
      <c r="M156" s="41">
        <v>352000</v>
      </c>
      <c r="N156" s="34">
        <f t="shared" si="4"/>
        <v>1630.4</v>
      </c>
      <c r="O156" s="36">
        <f t="shared" si="5"/>
        <v>101.9</v>
      </c>
      <c r="P156" s="35">
        <v>500</v>
      </c>
    </row>
    <row r="157" spans="1:16" x14ac:dyDescent="0.25">
      <c r="A157" s="37" t="s">
        <v>268</v>
      </c>
      <c r="B157" s="37"/>
      <c r="C157" s="40" t="s">
        <v>34</v>
      </c>
      <c r="D157" s="39">
        <v>45478</v>
      </c>
      <c r="E157" s="39">
        <v>45843</v>
      </c>
      <c r="F157" s="37" t="s">
        <v>1183</v>
      </c>
      <c r="G157" s="37" t="s">
        <v>64</v>
      </c>
      <c r="H157" s="41">
        <v>12475</v>
      </c>
      <c r="I157" s="42">
        <v>10323</v>
      </c>
      <c r="J157" s="37" t="s">
        <v>1861</v>
      </c>
      <c r="K157" s="39">
        <v>45478</v>
      </c>
      <c r="L157" s="33" t="s">
        <v>58</v>
      </c>
      <c r="M157" s="41">
        <v>499000</v>
      </c>
      <c r="N157" s="34">
        <f t="shared" si="4"/>
        <v>1651.68</v>
      </c>
      <c r="O157" s="36">
        <f t="shared" si="5"/>
        <v>103.23</v>
      </c>
      <c r="P157" s="35">
        <v>500</v>
      </c>
    </row>
    <row r="158" spans="1:16" x14ac:dyDescent="0.25">
      <c r="A158" s="37" t="s">
        <v>269</v>
      </c>
      <c r="B158" s="37"/>
      <c r="C158" s="40" t="s">
        <v>34</v>
      </c>
      <c r="D158" s="39">
        <v>45478</v>
      </c>
      <c r="E158" s="39">
        <v>45843</v>
      </c>
      <c r="F158" s="37" t="s">
        <v>1184</v>
      </c>
      <c r="G158" s="37" t="s">
        <v>63</v>
      </c>
      <c r="H158" s="41">
        <v>13675</v>
      </c>
      <c r="I158" s="42">
        <v>11358</v>
      </c>
      <c r="J158" s="37" t="s">
        <v>1862</v>
      </c>
      <c r="K158" s="39">
        <v>45478</v>
      </c>
      <c r="L158" s="33" t="s">
        <v>58</v>
      </c>
      <c r="M158" s="41">
        <v>547000</v>
      </c>
      <c r="N158" s="34">
        <f t="shared" si="4"/>
        <v>1817.28</v>
      </c>
      <c r="O158" s="36">
        <f t="shared" si="5"/>
        <v>113.58</v>
      </c>
      <c r="P158" s="35">
        <v>500</v>
      </c>
    </row>
    <row r="159" spans="1:16" x14ac:dyDescent="0.25">
      <c r="A159" s="37" t="s">
        <v>270</v>
      </c>
      <c r="B159" s="37"/>
      <c r="C159" s="40" t="s">
        <v>35</v>
      </c>
      <c r="D159" s="39">
        <v>45478</v>
      </c>
      <c r="E159" s="39">
        <v>45843</v>
      </c>
      <c r="F159" s="37" t="s">
        <v>1185</v>
      </c>
      <c r="G159" s="37" t="s">
        <v>61</v>
      </c>
      <c r="H159" s="41">
        <v>12320</v>
      </c>
      <c r="I159" s="42">
        <v>10190</v>
      </c>
      <c r="J159" s="37" t="s">
        <v>1863</v>
      </c>
      <c r="K159" s="39">
        <v>45478</v>
      </c>
      <c r="L159" s="33" t="s">
        <v>58</v>
      </c>
      <c r="M159" s="41">
        <v>352000</v>
      </c>
      <c r="N159" s="34">
        <f t="shared" si="4"/>
        <v>1630.4</v>
      </c>
      <c r="O159" s="36">
        <f t="shared" si="5"/>
        <v>101.9</v>
      </c>
      <c r="P159" s="35">
        <v>500</v>
      </c>
    </row>
    <row r="160" spans="1:16" x14ac:dyDescent="0.25">
      <c r="A160" s="37" t="s">
        <v>271</v>
      </c>
      <c r="B160" s="37"/>
      <c r="C160" s="40" t="s">
        <v>35</v>
      </c>
      <c r="D160" s="39">
        <v>45844</v>
      </c>
      <c r="E160" s="39">
        <v>46209</v>
      </c>
      <c r="F160" s="37" t="s">
        <v>1185</v>
      </c>
      <c r="G160" s="37" t="s">
        <v>61</v>
      </c>
      <c r="H160" s="41">
        <v>12320</v>
      </c>
      <c r="I160" s="42">
        <v>10190</v>
      </c>
      <c r="J160" s="37" t="s">
        <v>1863</v>
      </c>
      <c r="K160" s="39">
        <v>45478</v>
      </c>
      <c r="L160" s="33" t="s">
        <v>58</v>
      </c>
      <c r="M160" s="41">
        <v>352000</v>
      </c>
      <c r="N160" s="34">
        <f t="shared" si="4"/>
        <v>1630.4</v>
      </c>
      <c r="O160" s="36">
        <f t="shared" si="5"/>
        <v>101.9</v>
      </c>
      <c r="P160" s="35">
        <v>500</v>
      </c>
    </row>
    <row r="161" spans="1:16" x14ac:dyDescent="0.25">
      <c r="A161" s="37" t="s">
        <v>272</v>
      </c>
      <c r="B161" s="37"/>
      <c r="C161" s="40" t="s">
        <v>34</v>
      </c>
      <c r="D161" s="39">
        <v>45478</v>
      </c>
      <c r="E161" s="39">
        <v>45843</v>
      </c>
      <c r="F161" s="37" t="s">
        <v>1109</v>
      </c>
      <c r="G161" s="37" t="s">
        <v>61</v>
      </c>
      <c r="H161" s="41">
        <v>8800</v>
      </c>
      <c r="I161" s="42">
        <v>7155</v>
      </c>
      <c r="J161" s="37" t="s">
        <v>1864</v>
      </c>
      <c r="K161" s="39">
        <v>45478</v>
      </c>
      <c r="L161" s="33" t="s">
        <v>58</v>
      </c>
      <c r="M161" s="41">
        <v>352000</v>
      </c>
      <c r="N161" s="34">
        <f t="shared" si="4"/>
        <v>1144.8</v>
      </c>
      <c r="O161" s="36">
        <f t="shared" si="5"/>
        <v>71.55</v>
      </c>
      <c r="P161" s="35">
        <v>500</v>
      </c>
    </row>
    <row r="162" spans="1:16" x14ac:dyDescent="0.25">
      <c r="A162" s="37" t="s">
        <v>273</v>
      </c>
      <c r="B162" s="37"/>
      <c r="C162" s="40" t="s">
        <v>35</v>
      </c>
      <c r="D162" s="39">
        <v>45478</v>
      </c>
      <c r="E162" s="39">
        <v>45843</v>
      </c>
      <c r="F162" s="37" t="s">
        <v>1186</v>
      </c>
      <c r="G162" s="37" t="s">
        <v>61</v>
      </c>
      <c r="H162" s="41">
        <v>12320</v>
      </c>
      <c r="I162" s="42">
        <v>10190</v>
      </c>
      <c r="J162" s="37" t="s">
        <v>1865</v>
      </c>
      <c r="K162" s="39">
        <v>45478</v>
      </c>
      <c r="L162" s="33" t="s">
        <v>58</v>
      </c>
      <c r="M162" s="41">
        <v>352000</v>
      </c>
      <c r="N162" s="34">
        <f t="shared" si="4"/>
        <v>1630.4</v>
      </c>
      <c r="O162" s="36">
        <f t="shared" si="5"/>
        <v>101.9</v>
      </c>
      <c r="P162" s="35">
        <v>500</v>
      </c>
    </row>
    <row r="163" spans="1:16" x14ac:dyDescent="0.25">
      <c r="A163" s="37" t="s">
        <v>274</v>
      </c>
      <c r="B163" s="37"/>
      <c r="C163" s="40" t="s">
        <v>36</v>
      </c>
      <c r="D163" s="39">
        <v>45479</v>
      </c>
      <c r="E163" s="39">
        <v>45844</v>
      </c>
      <c r="F163" s="37" t="s">
        <v>1187</v>
      </c>
      <c r="G163" s="37" t="s">
        <v>62</v>
      </c>
      <c r="H163" s="41">
        <v>13370</v>
      </c>
      <c r="I163" s="42">
        <v>11095</v>
      </c>
      <c r="J163" s="37" t="s">
        <v>1866</v>
      </c>
      <c r="K163" s="39">
        <v>45479</v>
      </c>
      <c r="L163" s="33" t="s">
        <v>58</v>
      </c>
      <c r="M163" s="41">
        <v>382000</v>
      </c>
      <c r="N163" s="34">
        <f t="shared" si="4"/>
        <v>1775.2</v>
      </c>
      <c r="O163" s="36">
        <f t="shared" si="5"/>
        <v>110.95</v>
      </c>
      <c r="P163" s="35">
        <v>500</v>
      </c>
    </row>
    <row r="164" spans="1:16" x14ac:dyDescent="0.25">
      <c r="A164" s="37" t="s">
        <v>275</v>
      </c>
      <c r="B164" s="37"/>
      <c r="C164" s="40" t="s">
        <v>36</v>
      </c>
      <c r="D164" s="39">
        <v>45845</v>
      </c>
      <c r="E164" s="39">
        <v>46210</v>
      </c>
      <c r="F164" s="37" t="s">
        <v>1187</v>
      </c>
      <c r="G164" s="37" t="s">
        <v>62</v>
      </c>
      <c r="H164" s="41">
        <v>13370</v>
      </c>
      <c r="I164" s="42">
        <v>11095</v>
      </c>
      <c r="J164" s="37" t="s">
        <v>1866</v>
      </c>
      <c r="K164" s="39">
        <v>45479</v>
      </c>
      <c r="L164" s="33" t="s">
        <v>58</v>
      </c>
      <c r="M164" s="41">
        <v>382000</v>
      </c>
      <c r="N164" s="34">
        <f t="shared" si="4"/>
        <v>1775.2</v>
      </c>
      <c r="O164" s="36">
        <f t="shared" si="5"/>
        <v>110.95</v>
      </c>
      <c r="P164" s="35">
        <v>500</v>
      </c>
    </row>
    <row r="165" spans="1:16" x14ac:dyDescent="0.25">
      <c r="A165" s="37" t="s">
        <v>276</v>
      </c>
      <c r="B165" s="37"/>
      <c r="C165" s="40" t="s">
        <v>49</v>
      </c>
      <c r="D165" s="39">
        <v>45479</v>
      </c>
      <c r="E165" s="39">
        <v>45844</v>
      </c>
      <c r="F165" s="37" t="s">
        <v>109</v>
      </c>
      <c r="G165" s="37" t="s">
        <v>61</v>
      </c>
      <c r="H165" s="41">
        <v>8800</v>
      </c>
      <c r="I165" s="42">
        <v>7155</v>
      </c>
      <c r="J165" s="37" t="s">
        <v>1867</v>
      </c>
      <c r="K165" s="39">
        <v>45479</v>
      </c>
      <c r="L165" s="33" t="s">
        <v>58</v>
      </c>
      <c r="M165" s="41">
        <v>352000</v>
      </c>
      <c r="N165" s="34">
        <f t="shared" si="4"/>
        <v>1144.8</v>
      </c>
      <c r="O165" s="36">
        <f t="shared" si="5"/>
        <v>71.55</v>
      </c>
      <c r="P165" s="35">
        <v>500</v>
      </c>
    </row>
    <row r="166" spans="1:16" x14ac:dyDescent="0.25">
      <c r="A166" s="37" t="s">
        <v>277</v>
      </c>
      <c r="B166" s="37"/>
      <c r="C166" s="40" t="s">
        <v>37</v>
      </c>
      <c r="D166" s="39">
        <v>45479</v>
      </c>
      <c r="E166" s="39">
        <v>45844</v>
      </c>
      <c r="F166" s="37" t="s">
        <v>1188</v>
      </c>
      <c r="G166" s="37" t="s">
        <v>64</v>
      </c>
      <c r="H166" s="41">
        <v>12475</v>
      </c>
      <c r="I166" s="42">
        <v>10323</v>
      </c>
      <c r="J166" s="37" t="s">
        <v>1868</v>
      </c>
      <c r="K166" s="39">
        <v>45479</v>
      </c>
      <c r="L166" s="33" t="s">
        <v>58</v>
      </c>
      <c r="M166" s="41">
        <v>499000</v>
      </c>
      <c r="N166" s="34">
        <f t="shared" si="4"/>
        <v>1651.68</v>
      </c>
      <c r="O166" s="36">
        <f t="shared" si="5"/>
        <v>103.23</v>
      </c>
      <c r="P166" s="35">
        <v>500</v>
      </c>
    </row>
    <row r="167" spans="1:16" x14ac:dyDescent="0.25">
      <c r="A167" s="37" t="s">
        <v>278</v>
      </c>
      <c r="B167" s="37"/>
      <c r="C167" s="40" t="s">
        <v>33</v>
      </c>
      <c r="D167" s="39">
        <v>45479</v>
      </c>
      <c r="E167" s="39">
        <v>45844</v>
      </c>
      <c r="F167" s="37" t="s">
        <v>1189</v>
      </c>
      <c r="G167" s="37" t="s">
        <v>61</v>
      </c>
      <c r="H167" s="41">
        <v>12320</v>
      </c>
      <c r="I167" s="42">
        <v>10190</v>
      </c>
      <c r="J167" s="37" t="s">
        <v>1869</v>
      </c>
      <c r="K167" s="39">
        <v>45479</v>
      </c>
      <c r="L167" s="33" t="s">
        <v>58</v>
      </c>
      <c r="M167" s="41">
        <v>352000</v>
      </c>
      <c r="N167" s="34">
        <f t="shared" si="4"/>
        <v>1630.4</v>
      </c>
      <c r="O167" s="36">
        <f t="shared" si="5"/>
        <v>101.9</v>
      </c>
      <c r="P167" s="35">
        <v>500</v>
      </c>
    </row>
    <row r="168" spans="1:16" x14ac:dyDescent="0.25">
      <c r="A168" s="37" t="s">
        <v>279</v>
      </c>
      <c r="B168" s="37"/>
      <c r="C168" s="40" t="s">
        <v>33</v>
      </c>
      <c r="D168" s="39">
        <v>45845</v>
      </c>
      <c r="E168" s="39">
        <v>46210</v>
      </c>
      <c r="F168" s="37" t="s">
        <v>1189</v>
      </c>
      <c r="G168" s="37" t="s">
        <v>61</v>
      </c>
      <c r="H168" s="41">
        <v>12320</v>
      </c>
      <c r="I168" s="42">
        <v>10190</v>
      </c>
      <c r="J168" s="37" t="s">
        <v>1869</v>
      </c>
      <c r="K168" s="39">
        <v>45479</v>
      </c>
      <c r="L168" s="33" t="s">
        <v>58</v>
      </c>
      <c r="M168" s="41">
        <v>352000</v>
      </c>
      <c r="N168" s="34">
        <f t="shared" si="4"/>
        <v>1630.4</v>
      </c>
      <c r="O168" s="36">
        <f t="shared" si="5"/>
        <v>101.9</v>
      </c>
      <c r="P168" s="35">
        <v>500</v>
      </c>
    </row>
    <row r="169" spans="1:16" x14ac:dyDescent="0.25">
      <c r="A169" s="37" t="s">
        <v>280</v>
      </c>
      <c r="B169" s="37"/>
      <c r="C169" s="40" t="s">
        <v>37</v>
      </c>
      <c r="D169" s="39">
        <v>45479</v>
      </c>
      <c r="E169" s="39">
        <v>45844</v>
      </c>
      <c r="F169" s="37" t="s">
        <v>1190</v>
      </c>
      <c r="G169" s="37" t="s">
        <v>64</v>
      </c>
      <c r="H169" s="41">
        <v>12475</v>
      </c>
      <c r="I169" s="42">
        <v>10323</v>
      </c>
      <c r="J169" s="37" t="s">
        <v>1870</v>
      </c>
      <c r="K169" s="39">
        <v>45479</v>
      </c>
      <c r="L169" s="33" t="s">
        <v>58</v>
      </c>
      <c r="M169" s="41">
        <v>499000</v>
      </c>
      <c r="N169" s="34">
        <f t="shared" si="4"/>
        <v>1651.68</v>
      </c>
      <c r="O169" s="36">
        <f t="shared" si="5"/>
        <v>103.23</v>
      </c>
      <c r="P169" s="35">
        <v>500</v>
      </c>
    </row>
    <row r="170" spans="1:16" x14ac:dyDescent="0.25">
      <c r="A170" s="37" t="s">
        <v>281</v>
      </c>
      <c r="B170" s="37"/>
      <c r="C170" s="40" t="s">
        <v>37</v>
      </c>
      <c r="D170" s="39">
        <v>45479</v>
      </c>
      <c r="E170" s="39">
        <v>45844</v>
      </c>
      <c r="F170" s="37" t="s">
        <v>1191</v>
      </c>
      <c r="G170" s="37" t="s">
        <v>61</v>
      </c>
      <c r="H170" s="41">
        <v>8800</v>
      </c>
      <c r="I170" s="42">
        <v>7155</v>
      </c>
      <c r="J170" s="37" t="s">
        <v>1871</v>
      </c>
      <c r="K170" s="39">
        <v>45479</v>
      </c>
      <c r="L170" s="33" t="s">
        <v>58</v>
      </c>
      <c r="M170" s="41">
        <v>352000</v>
      </c>
      <c r="N170" s="34">
        <f t="shared" si="4"/>
        <v>1144.8</v>
      </c>
      <c r="O170" s="36">
        <f t="shared" si="5"/>
        <v>71.55</v>
      </c>
      <c r="P170" s="35">
        <v>500</v>
      </c>
    </row>
    <row r="171" spans="1:16" x14ac:dyDescent="0.25">
      <c r="A171" s="37" t="s">
        <v>282</v>
      </c>
      <c r="B171" s="37"/>
      <c r="C171" s="40" t="s">
        <v>37</v>
      </c>
      <c r="D171" s="39">
        <v>45479</v>
      </c>
      <c r="E171" s="39">
        <v>45844</v>
      </c>
      <c r="F171" s="37" t="s">
        <v>1192</v>
      </c>
      <c r="G171" s="37" t="s">
        <v>64</v>
      </c>
      <c r="H171" s="41">
        <v>12475</v>
      </c>
      <c r="I171" s="42">
        <v>10323</v>
      </c>
      <c r="J171" s="37" t="s">
        <v>1872</v>
      </c>
      <c r="K171" s="39">
        <v>45479</v>
      </c>
      <c r="L171" s="33" t="s">
        <v>58</v>
      </c>
      <c r="M171" s="41">
        <v>499000</v>
      </c>
      <c r="N171" s="34">
        <f t="shared" si="4"/>
        <v>1651.68</v>
      </c>
      <c r="O171" s="36">
        <f t="shared" si="5"/>
        <v>103.23</v>
      </c>
      <c r="P171" s="35">
        <v>500</v>
      </c>
    </row>
    <row r="172" spans="1:16" x14ac:dyDescent="0.25">
      <c r="A172" s="37" t="s">
        <v>283</v>
      </c>
      <c r="B172" s="37"/>
      <c r="C172" s="40" t="s">
        <v>36</v>
      </c>
      <c r="D172" s="39">
        <v>45479</v>
      </c>
      <c r="E172" s="39">
        <v>45844</v>
      </c>
      <c r="F172" s="37" t="s">
        <v>1193</v>
      </c>
      <c r="G172" s="37" t="s">
        <v>62</v>
      </c>
      <c r="H172" s="41">
        <v>13370</v>
      </c>
      <c r="I172" s="42">
        <v>11095</v>
      </c>
      <c r="J172" s="37" t="s">
        <v>1873</v>
      </c>
      <c r="K172" s="39">
        <v>45479</v>
      </c>
      <c r="L172" s="33" t="s">
        <v>58</v>
      </c>
      <c r="M172" s="41">
        <v>382000</v>
      </c>
      <c r="N172" s="34">
        <f t="shared" si="4"/>
        <v>1775.2</v>
      </c>
      <c r="O172" s="36">
        <f t="shared" si="5"/>
        <v>110.95</v>
      </c>
      <c r="P172" s="35">
        <v>500</v>
      </c>
    </row>
    <row r="173" spans="1:16" x14ac:dyDescent="0.25">
      <c r="A173" s="37" t="s">
        <v>284</v>
      </c>
      <c r="B173" s="37"/>
      <c r="C173" s="40" t="s">
        <v>36</v>
      </c>
      <c r="D173" s="39">
        <v>45845</v>
      </c>
      <c r="E173" s="39">
        <v>46210</v>
      </c>
      <c r="F173" s="37" t="s">
        <v>1193</v>
      </c>
      <c r="G173" s="37" t="s">
        <v>62</v>
      </c>
      <c r="H173" s="41">
        <v>13370</v>
      </c>
      <c r="I173" s="42">
        <v>11095</v>
      </c>
      <c r="J173" s="37" t="s">
        <v>1873</v>
      </c>
      <c r="K173" s="39">
        <v>45479</v>
      </c>
      <c r="L173" s="33" t="s">
        <v>58</v>
      </c>
      <c r="M173" s="41">
        <v>382000</v>
      </c>
      <c r="N173" s="34">
        <f t="shared" si="4"/>
        <v>1775.2</v>
      </c>
      <c r="O173" s="36">
        <f t="shared" si="5"/>
        <v>110.95</v>
      </c>
      <c r="P173" s="35">
        <v>500</v>
      </c>
    </row>
    <row r="174" spans="1:16" x14ac:dyDescent="0.25">
      <c r="A174" s="37" t="s">
        <v>285</v>
      </c>
      <c r="B174" s="37"/>
      <c r="C174" s="40" t="s">
        <v>1071</v>
      </c>
      <c r="D174" s="39">
        <v>45479</v>
      </c>
      <c r="E174" s="39">
        <v>45844</v>
      </c>
      <c r="F174" s="37" t="s">
        <v>1194</v>
      </c>
      <c r="G174" s="37" t="s">
        <v>61</v>
      </c>
      <c r="H174" s="41">
        <v>8800</v>
      </c>
      <c r="I174" s="42">
        <v>7155</v>
      </c>
      <c r="J174" s="37" t="s">
        <v>1874</v>
      </c>
      <c r="K174" s="39">
        <v>45479</v>
      </c>
      <c r="L174" s="33" t="s">
        <v>58</v>
      </c>
      <c r="M174" s="41">
        <v>352000</v>
      </c>
      <c r="N174" s="34">
        <f t="shared" si="4"/>
        <v>1144.8</v>
      </c>
      <c r="O174" s="36">
        <f t="shared" si="5"/>
        <v>71.55</v>
      </c>
      <c r="P174" s="35">
        <v>500</v>
      </c>
    </row>
    <row r="175" spans="1:16" x14ac:dyDescent="0.25">
      <c r="A175" s="37" t="s">
        <v>286</v>
      </c>
      <c r="B175" s="37"/>
      <c r="C175" s="40" t="s">
        <v>1071</v>
      </c>
      <c r="D175" s="39">
        <v>45479</v>
      </c>
      <c r="E175" s="39">
        <v>45844</v>
      </c>
      <c r="F175" s="37" t="s">
        <v>1195</v>
      </c>
      <c r="G175" s="37" t="s">
        <v>61</v>
      </c>
      <c r="H175" s="41">
        <v>8800</v>
      </c>
      <c r="I175" s="42">
        <v>7155</v>
      </c>
      <c r="J175" s="37" t="s">
        <v>1875</v>
      </c>
      <c r="K175" s="39">
        <v>45479</v>
      </c>
      <c r="L175" s="33" t="s">
        <v>58</v>
      </c>
      <c r="M175" s="41">
        <v>352000</v>
      </c>
      <c r="N175" s="34">
        <f t="shared" si="4"/>
        <v>1144.8</v>
      </c>
      <c r="O175" s="36">
        <f t="shared" si="5"/>
        <v>71.55</v>
      </c>
      <c r="P175" s="35">
        <v>500</v>
      </c>
    </row>
    <row r="176" spans="1:16" x14ac:dyDescent="0.25">
      <c r="A176" s="37" t="s">
        <v>287</v>
      </c>
      <c r="B176" s="37"/>
      <c r="C176" s="40" t="s">
        <v>1071</v>
      </c>
      <c r="D176" s="39">
        <v>45479</v>
      </c>
      <c r="E176" s="39">
        <v>45844</v>
      </c>
      <c r="F176" s="37" t="s">
        <v>1196</v>
      </c>
      <c r="G176" s="37" t="s">
        <v>61</v>
      </c>
      <c r="H176" s="41">
        <v>8800</v>
      </c>
      <c r="I176" s="42">
        <v>7155</v>
      </c>
      <c r="J176" s="37" t="s">
        <v>1877</v>
      </c>
      <c r="K176" s="39">
        <v>45479</v>
      </c>
      <c r="L176" s="33" t="s">
        <v>58</v>
      </c>
      <c r="M176" s="41">
        <v>352000</v>
      </c>
      <c r="N176" s="34">
        <f t="shared" si="4"/>
        <v>1144.8</v>
      </c>
      <c r="O176" s="36">
        <f t="shared" si="5"/>
        <v>71.55</v>
      </c>
      <c r="P176" s="35">
        <v>500</v>
      </c>
    </row>
    <row r="177" spans="1:16" x14ac:dyDescent="0.25">
      <c r="A177" s="37" t="s">
        <v>288</v>
      </c>
      <c r="B177" s="37"/>
      <c r="C177" s="40" t="s">
        <v>1071</v>
      </c>
      <c r="D177" s="39">
        <v>45479</v>
      </c>
      <c r="E177" s="39">
        <v>45844</v>
      </c>
      <c r="F177" s="37" t="s">
        <v>1197</v>
      </c>
      <c r="G177" s="37" t="s">
        <v>61</v>
      </c>
      <c r="H177" s="41">
        <v>8800</v>
      </c>
      <c r="I177" s="42">
        <v>7155</v>
      </c>
      <c r="J177" s="37" t="s">
        <v>1876</v>
      </c>
      <c r="K177" s="39">
        <v>45479</v>
      </c>
      <c r="L177" s="33" t="s">
        <v>58</v>
      </c>
      <c r="M177" s="41">
        <v>352000</v>
      </c>
      <c r="N177" s="34">
        <f t="shared" si="4"/>
        <v>1144.8</v>
      </c>
      <c r="O177" s="36">
        <f t="shared" si="5"/>
        <v>71.55</v>
      </c>
      <c r="P177" s="35">
        <v>500</v>
      </c>
    </row>
    <row r="178" spans="1:16" x14ac:dyDescent="0.25">
      <c r="A178" s="37" t="s">
        <v>289</v>
      </c>
      <c r="B178" s="37"/>
      <c r="C178" s="40" t="s">
        <v>1071</v>
      </c>
      <c r="D178" s="39">
        <v>45479</v>
      </c>
      <c r="E178" s="39">
        <v>45844</v>
      </c>
      <c r="F178" s="37" t="s">
        <v>1198</v>
      </c>
      <c r="G178" s="37" t="s">
        <v>61</v>
      </c>
      <c r="H178" s="41">
        <v>8800</v>
      </c>
      <c r="I178" s="42">
        <v>7155</v>
      </c>
      <c r="J178" s="37" t="s">
        <v>1879</v>
      </c>
      <c r="K178" s="39">
        <v>45479</v>
      </c>
      <c r="L178" s="33" t="s">
        <v>58</v>
      </c>
      <c r="M178" s="41">
        <v>352000</v>
      </c>
      <c r="N178" s="34">
        <f t="shared" si="4"/>
        <v>1144.8</v>
      </c>
      <c r="O178" s="36">
        <f t="shared" si="5"/>
        <v>71.55</v>
      </c>
      <c r="P178" s="35">
        <v>500</v>
      </c>
    </row>
    <row r="179" spans="1:16" x14ac:dyDescent="0.25">
      <c r="A179" s="37" t="s">
        <v>290</v>
      </c>
      <c r="B179" s="37"/>
      <c r="C179" s="40" t="s">
        <v>33</v>
      </c>
      <c r="D179" s="39">
        <v>45479</v>
      </c>
      <c r="E179" s="39">
        <v>45844</v>
      </c>
      <c r="F179" s="37" t="s">
        <v>1199</v>
      </c>
      <c r="G179" s="37" t="s">
        <v>61</v>
      </c>
      <c r="H179" s="41">
        <v>12320</v>
      </c>
      <c r="I179" s="42">
        <v>10190</v>
      </c>
      <c r="J179" s="37" t="s">
        <v>1880</v>
      </c>
      <c r="K179" s="39">
        <v>45479</v>
      </c>
      <c r="L179" s="33" t="s">
        <v>58</v>
      </c>
      <c r="M179" s="41">
        <v>352000</v>
      </c>
      <c r="N179" s="34">
        <f t="shared" si="4"/>
        <v>1630.4</v>
      </c>
      <c r="O179" s="36">
        <f t="shared" si="5"/>
        <v>101.9</v>
      </c>
      <c r="P179" s="35">
        <v>500</v>
      </c>
    </row>
    <row r="180" spans="1:16" x14ac:dyDescent="0.25">
      <c r="A180" s="37" t="s">
        <v>291</v>
      </c>
      <c r="B180" s="37"/>
      <c r="C180" s="40" t="s">
        <v>35</v>
      </c>
      <c r="D180" s="39">
        <v>45479</v>
      </c>
      <c r="E180" s="39">
        <v>45844</v>
      </c>
      <c r="F180" s="37" t="s">
        <v>1200</v>
      </c>
      <c r="G180" s="37" t="s">
        <v>62</v>
      </c>
      <c r="H180" s="41">
        <v>13370</v>
      </c>
      <c r="I180" s="42">
        <v>11095</v>
      </c>
      <c r="J180" s="37" t="s">
        <v>1881</v>
      </c>
      <c r="K180" s="39">
        <v>45479</v>
      </c>
      <c r="L180" s="33" t="s">
        <v>58</v>
      </c>
      <c r="M180" s="41">
        <v>382000</v>
      </c>
      <c r="N180" s="34">
        <f t="shared" si="4"/>
        <v>1775.2</v>
      </c>
      <c r="O180" s="36">
        <f t="shared" si="5"/>
        <v>110.95</v>
      </c>
      <c r="P180" s="35">
        <v>500</v>
      </c>
    </row>
    <row r="181" spans="1:16" x14ac:dyDescent="0.25">
      <c r="A181" s="37" t="s">
        <v>292</v>
      </c>
      <c r="B181" s="37"/>
      <c r="C181" s="40" t="s">
        <v>35</v>
      </c>
      <c r="D181" s="39">
        <v>45845</v>
      </c>
      <c r="E181" s="39">
        <v>46210</v>
      </c>
      <c r="F181" s="37" t="s">
        <v>1200</v>
      </c>
      <c r="G181" s="37" t="s">
        <v>62</v>
      </c>
      <c r="H181" s="41">
        <v>13370</v>
      </c>
      <c r="I181" s="42">
        <v>11095</v>
      </c>
      <c r="J181" s="37" t="s">
        <v>1881</v>
      </c>
      <c r="K181" s="39">
        <v>45479</v>
      </c>
      <c r="L181" s="33" t="s">
        <v>58</v>
      </c>
      <c r="M181" s="41">
        <v>382000</v>
      </c>
      <c r="N181" s="34">
        <f t="shared" si="4"/>
        <v>1775.2</v>
      </c>
      <c r="O181" s="36">
        <f t="shared" si="5"/>
        <v>110.95</v>
      </c>
      <c r="P181" s="35">
        <v>500</v>
      </c>
    </row>
    <row r="182" spans="1:16" x14ac:dyDescent="0.25">
      <c r="A182" s="37" t="s">
        <v>293</v>
      </c>
      <c r="B182" s="37"/>
      <c r="C182" s="40" t="s">
        <v>34</v>
      </c>
      <c r="D182" s="39">
        <v>45479</v>
      </c>
      <c r="E182" s="39">
        <v>45844</v>
      </c>
      <c r="F182" s="37" t="s">
        <v>1201</v>
      </c>
      <c r="G182" s="37" t="s">
        <v>64</v>
      </c>
      <c r="H182" s="41">
        <v>12475</v>
      </c>
      <c r="I182" s="42">
        <v>10323</v>
      </c>
      <c r="J182" s="37" t="s">
        <v>1882</v>
      </c>
      <c r="K182" s="39">
        <v>45479</v>
      </c>
      <c r="L182" s="33" t="s">
        <v>58</v>
      </c>
      <c r="M182" s="41">
        <v>499000</v>
      </c>
      <c r="N182" s="34">
        <f t="shared" si="4"/>
        <v>1651.68</v>
      </c>
      <c r="O182" s="36">
        <f t="shared" si="5"/>
        <v>103.23</v>
      </c>
      <c r="P182" s="35">
        <v>500</v>
      </c>
    </row>
    <row r="183" spans="1:16" x14ac:dyDescent="0.25">
      <c r="A183" s="37" t="s">
        <v>294</v>
      </c>
      <c r="B183" s="37"/>
      <c r="C183" s="40" t="s">
        <v>34</v>
      </c>
      <c r="D183" s="39">
        <v>45479</v>
      </c>
      <c r="E183" s="39">
        <v>45844</v>
      </c>
      <c r="F183" s="37" t="s">
        <v>1202</v>
      </c>
      <c r="G183" s="37" t="s">
        <v>61</v>
      </c>
      <c r="H183" s="41">
        <v>8800</v>
      </c>
      <c r="I183" s="42">
        <v>7155</v>
      </c>
      <c r="J183" s="37" t="s">
        <v>1883</v>
      </c>
      <c r="K183" s="39">
        <v>45479</v>
      </c>
      <c r="L183" s="33" t="s">
        <v>58</v>
      </c>
      <c r="M183" s="41">
        <v>352000</v>
      </c>
      <c r="N183" s="34">
        <f t="shared" si="4"/>
        <v>1144.8</v>
      </c>
      <c r="O183" s="36">
        <f t="shared" si="5"/>
        <v>71.55</v>
      </c>
      <c r="P183" s="35">
        <v>500</v>
      </c>
    </row>
    <row r="184" spans="1:16" x14ac:dyDescent="0.25">
      <c r="A184" s="37" t="s">
        <v>295</v>
      </c>
      <c r="B184" s="37"/>
      <c r="C184" s="40" t="s">
        <v>34</v>
      </c>
      <c r="D184" s="39">
        <v>45479</v>
      </c>
      <c r="E184" s="39">
        <v>45844</v>
      </c>
      <c r="F184" s="37" t="s">
        <v>1203</v>
      </c>
      <c r="G184" s="37" t="s">
        <v>61</v>
      </c>
      <c r="H184" s="41">
        <v>8800</v>
      </c>
      <c r="I184" s="42">
        <v>7155</v>
      </c>
      <c r="J184" s="37" t="s">
        <v>1884</v>
      </c>
      <c r="K184" s="39">
        <v>45479</v>
      </c>
      <c r="L184" s="33" t="s">
        <v>58</v>
      </c>
      <c r="M184" s="41">
        <v>352000</v>
      </c>
      <c r="N184" s="34">
        <f t="shared" si="4"/>
        <v>1144.8</v>
      </c>
      <c r="O184" s="36">
        <f t="shared" si="5"/>
        <v>71.55</v>
      </c>
      <c r="P184" s="35">
        <v>500</v>
      </c>
    </row>
    <row r="185" spans="1:16" x14ac:dyDescent="0.25">
      <c r="A185" s="37" t="s">
        <v>296</v>
      </c>
      <c r="B185" s="37"/>
      <c r="C185" s="40" t="s">
        <v>54</v>
      </c>
      <c r="D185" s="39">
        <v>45479</v>
      </c>
      <c r="E185" s="39">
        <v>45844</v>
      </c>
      <c r="F185" s="37" t="s">
        <v>1204</v>
      </c>
      <c r="G185" s="37" t="s">
        <v>61</v>
      </c>
      <c r="H185" s="41">
        <v>8800</v>
      </c>
      <c r="I185" s="42">
        <v>7155</v>
      </c>
      <c r="J185" s="37" t="s">
        <v>1885</v>
      </c>
      <c r="K185" s="39">
        <v>45479</v>
      </c>
      <c r="L185" s="33" t="s">
        <v>58</v>
      </c>
      <c r="M185" s="41">
        <v>352000</v>
      </c>
      <c r="N185" s="34">
        <f t="shared" si="4"/>
        <v>1144.8</v>
      </c>
      <c r="O185" s="36">
        <f t="shared" si="5"/>
        <v>71.55</v>
      </c>
      <c r="P185" s="35">
        <v>500</v>
      </c>
    </row>
    <row r="186" spans="1:16" x14ac:dyDescent="0.25">
      <c r="A186" s="37" t="s">
        <v>297</v>
      </c>
      <c r="B186" s="37"/>
      <c r="C186" s="40" t="s">
        <v>34</v>
      </c>
      <c r="D186" s="39">
        <v>45479</v>
      </c>
      <c r="E186" s="39">
        <v>45844</v>
      </c>
      <c r="F186" s="37" t="s">
        <v>1205</v>
      </c>
      <c r="G186" s="37" t="s">
        <v>64</v>
      </c>
      <c r="H186" s="41">
        <v>12475</v>
      </c>
      <c r="I186" s="42">
        <v>10323</v>
      </c>
      <c r="J186" s="37" t="s">
        <v>1887</v>
      </c>
      <c r="K186" s="39">
        <v>45479</v>
      </c>
      <c r="L186" s="33" t="s">
        <v>58</v>
      </c>
      <c r="M186" s="41">
        <v>499000</v>
      </c>
      <c r="N186" s="34">
        <f t="shared" si="4"/>
        <v>1651.68</v>
      </c>
      <c r="O186" s="36">
        <f t="shared" si="5"/>
        <v>103.23</v>
      </c>
      <c r="P186" s="35">
        <v>500</v>
      </c>
    </row>
    <row r="187" spans="1:16" x14ac:dyDescent="0.25">
      <c r="A187" s="37" t="s">
        <v>298</v>
      </c>
      <c r="B187" s="37"/>
      <c r="C187" s="40" t="s">
        <v>34</v>
      </c>
      <c r="D187" s="39">
        <v>45479</v>
      </c>
      <c r="E187" s="39">
        <v>45844</v>
      </c>
      <c r="F187" s="37" t="s">
        <v>1206</v>
      </c>
      <c r="G187" s="37" t="s">
        <v>61</v>
      </c>
      <c r="H187" s="41">
        <v>8800</v>
      </c>
      <c r="I187" s="42">
        <v>7155</v>
      </c>
      <c r="J187" s="37" t="s">
        <v>1888</v>
      </c>
      <c r="K187" s="39">
        <v>45479</v>
      </c>
      <c r="L187" s="33" t="s">
        <v>58</v>
      </c>
      <c r="M187" s="41">
        <v>352000</v>
      </c>
      <c r="N187" s="34">
        <f t="shared" si="4"/>
        <v>1144.8</v>
      </c>
      <c r="O187" s="36">
        <f t="shared" si="5"/>
        <v>71.55</v>
      </c>
      <c r="P187" s="35">
        <v>500</v>
      </c>
    </row>
    <row r="188" spans="1:16" x14ac:dyDescent="0.25">
      <c r="A188" s="37" t="s">
        <v>299</v>
      </c>
      <c r="B188" s="37"/>
      <c r="C188" s="40" t="s">
        <v>34</v>
      </c>
      <c r="D188" s="39">
        <v>45479</v>
      </c>
      <c r="E188" s="39">
        <v>45844</v>
      </c>
      <c r="F188" s="37" t="s">
        <v>1207</v>
      </c>
      <c r="G188" s="37" t="s">
        <v>61</v>
      </c>
      <c r="H188" s="41">
        <v>8800</v>
      </c>
      <c r="I188" s="42">
        <v>7155</v>
      </c>
      <c r="J188" s="37" t="s">
        <v>1889</v>
      </c>
      <c r="K188" s="39">
        <v>45479</v>
      </c>
      <c r="L188" s="33" t="s">
        <v>58</v>
      </c>
      <c r="M188" s="41">
        <v>352000</v>
      </c>
      <c r="N188" s="34">
        <f t="shared" si="4"/>
        <v>1144.8</v>
      </c>
      <c r="O188" s="36">
        <f t="shared" si="5"/>
        <v>71.55</v>
      </c>
      <c r="P188" s="35">
        <v>500</v>
      </c>
    </row>
    <row r="189" spans="1:16" x14ac:dyDescent="0.25">
      <c r="A189" s="37" t="s">
        <v>300</v>
      </c>
      <c r="B189" s="37"/>
      <c r="C189" s="40" t="s">
        <v>34</v>
      </c>
      <c r="D189" s="39">
        <v>45479</v>
      </c>
      <c r="E189" s="39">
        <v>45844</v>
      </c>
      <c r="F189" s="37" t="s">
        <v>94</v>
      </c>
      <c r="G189" s="37" t="s">
        <v>63</v>
      </c>
      <c r="H189" s="41">
        <v>13675</v>
      </c>
      <c r="I189" s="42">
        <v>11358</v>
      </c>
      <c r="J189" s="37" t="s">
        <v>1890</v>
      </c>
      <c r="K189" s="39">
        <v>45479</v>
      </c>
      <c r="L189" s="33" t="s">
        <v>58</v>
      </c>
      <c r="M189" s="41">
        <v>547000</v>
      </c>
      <c r="N189" s="34">
        <f t="shared" si="4"/>
        <v>1817.28</v>
      </c>
      <c r="O189" s="36">
        <f t="shared" si="5"/>
        <v>113.58</v>
      </c>
      <c r="P189" s="35">
        <v>500</v>
      </c>
    </row>
    <row r="190" spans="1:16" x14ac:dyDescent="0.25">
      <c r="A190" s="37" t="s">
        <v>301</v>
      </c>
      <c r="B190" s="37"/>
      <c r="C190" s="40" t="s">
        <v>1072</v>
      </c>
      <c r="D190" s="39">
        <v>45481</v>
      </c>
      <c r="E190" s="39">
        <v>45846</v>
      </c>
      <c r="F190" s="37" t="s">
        <v>1208</v>
      </c>
      <c r="G190" s="37" t="s">
        <v>61</v>
      </c>
      <c r="H190" s="41">
        <v>8800</v>
      </c>
      <c r="I190" s="42">
        <v>7155</v>
      </c>
      <c r="J190" s="37" t="s">
        <v>1891</v>
      </c>
      <c r="K190" s="39">
        <v>45481</v>
      </c>
      <c r="L190" s="33" t="s">
        <v>58</v>
      </c>
      <c r="M190" s="41">
        <v>352000</v>
      </c>
      <c r="N190" s="34">
        <f t="shared" si="4"/>
        <v>1144.8</v>
      </c>
      <c r="O190" s="36">
        <f t="shared" si="5"/>
        <v>71.55</v>
      </c>
      <c r="P190" s="35">
        <v>500</v>
      </c>
    </row>
    <row r="191" spans="1:16" x14ac:dyDescent="0.25">
      <c r="A191" s="37" t="s">
        <v>302</v>
      </c>
      <c r="B191" s="37"/>
      <c r="C191" s="40" t="s">
        <v>88</v>
      </c>
      <c r="D191" s="39">
        <v>45481</v>
      </c>
      <c r="E191" s="39">
        <v>45846</v>
      </c>
      <c r="F191" s="37" t="s">
        <v>1209</v>
      </c>
      <c r="G191" s="37" t="s">
        <v>62</v>
      </c>
      <c r="H191" s="41">
        <v>9550</v>
      </c>
      <c r="I191" s="42">
        <v>7802</v>
      </c>
      <c r="J191" s="37" t="s">
        <v>1892</v>
      </c>
      <c r="K191" s="39">
        <v>45481</v>
      </c>
      <c r="L191" s="33" t="s">
        <v>58</v>
      </c>
      <c r="M191" s="41">
        <v>382001</v>
      </c>
      <c r="N191" s="34">
        <f t="shared" si="4"/>
        <v>1248.32</v>
      </c>
      <c r="O191" s="36">
        <f t="shared" si="5"/>
        <v>78.02</v>
      </c>
      <c r="P191" s="35">
        <v>500</v>
      </c>
    </row>
    <row r="192" spans="1:16" x14ac:dyDescent="0.25">
      <c r="A192" s="37" t="s">
        <v>303</v>
      </c>
      <c r="B192" s="37"/>
      <c r="C192" s="40" t="s">
        <v>88</v>
      </c>
      <c r="D192" s="39">
        <v>45481</v>
      </c>
      <c r="E192" s="39">
        <v>45846</v>
      </c>
      <c r="F192" s="37" t="s">
        <v>1210</v>
      </c>
      <c r="G192" s="37" t="s">
        <v>61</v>
      </c>
      <c r="H192" s="41">
        <v>8800</v>
      </c>
      <c r="I192" s="42">
        <v>7155</v>
      </c>
      <c r="J192" s="37" t="s">
        <v>1893</v>
      </c>
      <c r="K192" s="39">
        <v>45481</v>
      </c>
      <c r="L192" s="33" t="s">
        <v>58</v>
      </c>
      <c r="M192" s="41">
        <v>352001</v>
      </c>
      <c r="N192" s="34">
        <f t="shared" si="4"/>
        <v>1144.8</v>
      </c>
      <c r="O192" s="36">
        <f t="shared" si="5"/>
        <v>71.55</v>
      </c>
      <c r="P192" s="35">
        <v>500</v>
      </c>
    </row>
    <row r="193" spans="1:16" x14ac:dyDescent="0.25">
      <c r="A193" s="37" t="s">
        <v>304</v>
      </c>
      <c r="B193" s="37"/>
      <c r="C193" s="40" t="s">
        <v>88</v>
      </c>
      <c r="D193" s="39">
        <v>45481</v>
      </c>
      <c r="E193" s="39">
        <v>45846</v>
      </c>
      <c r="F193" s="37" t="s">
        <v>1211</v>
      </c>
      <c r="G193" s="37" t="s">
        <v>64</v>
      </c>
      <c r="H193" s="41">
        <v>12475</v>
      </c>
      <c r="I193" s="42">
        <v>10323</v>
      </c>
      <c r="J193" s="37" t="s">
        <v>1895</v>
      </c>
      <c r="K193" s="39">
        <v>45481</v>
      </c>
      <c r="L193" s="33" t="s">
        <v>58</v>
      </c>
      <c r="M193" s="41">
        <v>499001</v>
      </c>
      <c r="N193" s="34">
        <f t="shared" si="4"/>
        <v>1651.68</v>
      </c>
      <c r="O193" s="36">
        <f t="shared" si="5"/>
        <v>103.23</v>
      </c>
      <c r="P193" s="35">
        <v>500</v>
      </c>
    </row>
    <row r="194" spans="1:16" x14ac:dyDescent="0.25">
      <c r="A194" s="37" t="s">
        <v>305</v>
      </c>
      <c r="B194" s="37"/>
      <c r="C194" s="40" t="s">
        <v>1072</v>
      </c>
      <c r="D194" s="39">
        <v>45481</v>
      </c>
      <c r="E194" s="39">
        <v>45846</v>
      </c>
      <c r="F194" s="37" t="s">
        <v>1212</v>
      </c>
      <c r="G194" s="37" t="s">
        <v>64</v>
      </c>
      <c r="H194" s="41">
        <v>12475</v>
      </c>
      <c r="I194" s="42">
        <v>10323</v>
      </c>
      <c r="J194" s="37" t="s">
        <v>1896</v>
      </c>
      <c r="K194" s="39">
        <v>45481</v>
      </c>
      <c r="L194" s="33" t="s">
        <v>58</v>
      </c>
      <c r="M194" s="41">
        <v>499000</v>
      </c>
      <c r="N194" s="34">
        <f t="shared" si="4"/>
        <v>1651.68</v>
      </c>
      <c r="O194" s="36">
        <f t="shared" si="5"/>
        <v>103.23</v>
      </c>
      <c r="P194" s="35">
        <v>500</v>
      </c>
    </row>
    <row r="195" spans="1:16" x14ac:dyDescent="0.25">
      <c r="A195" s="37" t="s">
        <v>306</v>
      </c>
      <c r="B195" s="37"/>
      <c r="C195" s="40" t="s">
        <v>88</v>
      </c>
      <c r="D195" s="39">
        <v>45481</v>
      </c>
      <c r="E195" s="39">
        <v>45846</v>
      </c>
      <c r="F195" s="37" t="s">
        <v>1213</v>
      </c>
      <c r="G195" s="37" t="s">
        <v>62</v>
      </c>
      <c r="H195" s="41">
        <v>9550</v>
      </c>
      <c r="I195" s="42">
        <v>7802</v>
      </c>
      <c r="J195" s="37" t="s">
        <v>1897</v>
      </c>
      <c r="K195" s="39">
        <v>45481</v>
      </c>
      <c r="L195" s="33" t="s">
        <v>58</v>
      </c>
      <c r="M195" s="41">
        <v>382001</v>
      </c>
      <c r="N195" s="34">
        <f t="shared" ref="N195:N258" si="6">I195*16/100</f>
        <v>1248.32</v>
      </c>
      <c r="O195" s="36">
        <f t="shared" ref="O195:O258" si="7">I195*1/100</f>
        <v>78.02</v>
      </c>
      <c r="P195" s="35">
        <v>500</v>
      </c>
    </row>
    <row r="196" spans="1:16" x14ac:dyDescent="0.25">
      <c r="A196" s="37" t="s">
        <v>307</v>
      </c>
      <c r="B196" s="37"/>
      <c r="C196" s="40" t="s">
        <v>88</v>
      </c>
      <c r="D196" s="39">
        <v>45481</v>
      </c>
      <c r="E196" s="39">
        <v>45846</v>
      </c>
      <c r="F196" s="37" t="s">
        <v>1214</v>
      </c>
      <c r="G196" s="37" t="s">
        <v>61</v>
      </c>
      <c r="H196" s="41">
        <v>8800</v>
      </c>
      <c r="I196" s="42">
        <v>7155</v>
      </c>
      <c r="J196" s="37" t="s">
        <v>1898</v>
      </c>
      <c r="K196" s="39">
        <v>45481</v>
      </c>
      <c r="L196" s="33" t="s">
        <v>58</v>
      </c>
      <c r="M196" s="41">
        <v>352001</v>
      </c>
      <c r="N196" s="34">
        <f t="shared" si="6"/>
        <v>1144.8</v>
      </c>
      <c r="O196" s="36">
        <f t="shared" si="7"/>
        <v>71.55</v>
      </c>
      <c r="P196" s="35">
        <v>500</v>
      </c>
    </row>
    <row r="197" spans="1:16" x14ac:dyDescent="0.25">
      <c r="A197" s="37" t="s">
        <v>308</v>
      </c>
      <c r="B197" s="37"/>
      <c r="C197" s="40" t="s">
        <v>1072</v>
      </c>
      <c r="D197" s="39">
        <v>45481</v>
      </c>
      <c r="E197" s="39">
        <v>45846</v>
      </c>
      <c r="F197" s="37" t="s">
        <v>81</v>
      </c>
      <c r="G197" s="37" t="s">
        <v>64</v>
      </c>
      <c r="H197" s="41">
        <v>12475</v>
      </c>
      <c r="I197" s="42">
        <v>10323</v>
      </c>
      <c r="J197" s="37" t="s">
        <v>1900</v>
      </c>
      <c r="K197" s="39">
        <v>45481</v>
      </c>
      <c r="L197" s="33" t="s">
        <v>58</v>
      </c>
      <c r="M197" s="41">
        <v>499000</v>
      </c>
      <c r="N197" s="34">
        <f t="shared" si="6"/>
        <v>1651.68</v>
      </c>
      <c r="O197" s="36">
        <f t="shared" si="7"/>
        <v>103.23</v>
      </c>
      <c r="P197" s="35">
        <v>500</v>
      </c>
    </row>
    <row r="198" spans="1:16" x14ac:dyDescent="0.25">
      <c r="A198" s="37" t="s">
        <v>309</v>
      </c>
      <c r="B198" s="37"/>
      <c r="C198" s="40" t="s">
        <v>34</v>
      </c>
      <c r="D198" s="39">
        <v>45481</v>
      </c>
      <c r="E198" s="39">
        <v>45846</v>
      </c>
      <c r="F198" s="37" t="s">
        <v>1215</v>
      </c>
      <c r="G198" s="37" t="s">
        <v>61</v>
      </c>
      <c r="H198" s="41">
        <v>8800</v>
      </c>
      <c r="I198" s="42">
        <v>7155</v>
      </c>
      <c r="J198" s="37" t="s">
        <v>1847</v>
      </c>
      <c r="K198" s="39">
        <v>45481</v>
      </c>
      <c r="L198" s="33" t="s">
        <v>58</v>
      </c>
      <c r="M198" s="41">
        <v>352000</v>
      </c>
      <c r="N198" s="34">
        <f t="shared" si="6"/>
        <v>1144.8</v>
      </c>
      <c r="O198" s="36">
        <f t="shared" si="7"/>
        <v>71.55</v>
      </c>
      <c r="P198" s="35">
        <v>500</v>
      </c>
    </row>
    <row r="199" spans="1:16" x14ac:dyDescent="0.25">
      <c r="A199" s="37" t="s">
        <v>310</v>
      </c>
      <c r="B199" s="37"/>
      <c r="C199" s="40" t="s">
        <v>33</v>
      </c>
      <c r="D199" s="39">
        <v>45481</v>
      </c>
      <c r="E199" s="39">
        <v>45846</v>
      </c>
      <c r="F199" s="37" t="s">
        <v>1216</v>
      </c>
      <c r="G199" s="37" t="s">
        <v>63</v>
      </c>
      <c r="H199" s="41">
        <v>19145</v>
      </c>
      <c r="I199" s="42">
        <v>16073</v>
      </c>
      <c r="J199" s="37" t="s">
        <v>1901</v>
      </c>
      <c r="K199" s="39">
        <v>45481</v>
      </c>
      <c r="L199" s="33" t="s">
        <v>58</v>
      </c>
      <c r="M199" s="41">
        <v>547000</v>
      </c>
      <c r="N199" s="34">
        <f t="shared" si="6"/>
        <v>2571.6799999999998</v>
      </c>
      <c r="O199" s="36">
        <f t="shared" si="7"/>
        <v>160.72999999999999</v>
      </c>
      <c r="P199" s="35">
        <v>500</v>
      </c>
    </row>
    <row r="200" spans="1:16" x14ac:dyDescent="0.25">
      <c r="A200" s="37" t="s">
        <v>311</v>
      </c>
      <c r="B200" s="37"/>
      <c r="C200" s="40" t="s">
        <v>34</v>
      </c>
      <c r="D200" s="39">
        <v>45481</v>
      </c>
      <c r="E200" s="39">
        <v>45846</v>
      </c>
      <c r="F200" s="37" t="s">
        <v>1215</v>
      </c>
      <c r="G200" s="37" t="s">
        <v>61</v>
      </c>
      <c r="H200" s="41">
        <v>8800</v>
      </c>
      <c r="I200" s="42">
        <v>7155</v>
      </c>
      <c r="J200" s="37" t="s">
        <v>1902</v>
      </c>
      <c r="K200" s="39">
        <v>45481</v>
      </c>
      <c r="L200" s="33" t="s">
        <v>58</v>
      </c>
      <c r="M200" s="41">
        <v>352000</v>
      </c>
      <c r="N200" s="34">
        <f t="shared" si="6"/>
        <v>1144.8</v>
      </c>
      <c r="O200" s="36">
        <f t="shared" si="7"/>
        <v>71.55</v>
      </c>
      <c r="P200" s="35">
        <v>500</v>
      </c>
    </row>
    <row r="201" spans="1:16" x14ac:dyDescent="0.25">
      <c r="A201" s="37" t="s">
        <v>312</v>
      </c>
      <c r="B201" s="37"/>
      <c r="C201" s="40" t="s">
        <v>34</v>
      </c>
      <c r="D201" s="39">
        <v>45481</v>
      </c>
      <c r="E201" s="39">
        <v>45846</v>
      </c>
      <c r="F201" s="37" t="s">
        <v>1215</v>
      </c>
      <c r="G201" s="37" t="s">
        <v>61</v>
      </c>
      <c r="H201" s="41">
        <v>8800</v>
      </c>
      <c r="I201" s="42">
        <v>7155</v>
      </c>
      <c r="J201" s="37" t="s">
        <v>1903</v>
      </c>
      <c r="K201" s="39">
        <v>45481</v>
      </c>
      <c r="L201" s="33" t="s">
        <v>58</v>
      </c>
      <c r="M201" s="41">
        <v>352000</v>
      </c>
      <c r="N201" s="34">
        <f t="shared" si="6"/>
        <v>1144.8</v>
      </c>
      <c r="O201" s="36">
        <f t="shared" si="7"/>
        <v>71.55</v>
      </c>
      <c r="P201" s="35">
        <v>500</v>
      </c>
    </row>
    <row r="202" spans="1:16" x14ac:dyDescent="0.25">
      <c r="A202" s="37" t="s">
        <v>313</v>
      </c>
      <c r="B202" s="37"/>
      <c r="C202" s="40" t="s">
        <v>1072</v>
      </c>
      <c r="D202" s="39">
        <v>45481</v>
      </c>
      <c r="E202" s="39">
        <v>45846</v>
      </c>
      <c r="F202" s="37" t="s">
        <v>1217</v>
      </c>
      <c r="G202" s="37" t="s">
        <v>61</v>
      </c>
      <c r="H202" s="41">
        <v>8800</v>
      </c>
      <c r="I202" s="42">
        <v>7155</v>
      </c>
      <c r="J202" s="37" t="s">
        <v>1904</v>
      </c>
      <c r="K202" s="39">
        <v>45481</v>
      </c>
      <c r="L202" s="33" t="s">
        <v>58</v>
      </c>
      <c r="M202" s="41">
        <v>352000</v>
      </c>
      <c r="N202" s="34">
        <f t="shared" si="6"/>
        <v>1144.8</v>
      </c>
      <c r="O202" s="36">
        <f t="shared" si="7"/>
        <v>71.55</v>
      </c>
      <c r="P202" s="35">
        <v>500</v>
      </c>
    </row>
    <row r="203" spans="1:16" x14ac:dyDescent="0.25">
      <c r="A203" s="37" t="s">
        <v>314</v>
      </c>
      <c r="B203" s="37"/>
      <c r="C203" s="40" t="s">
        <v>37</v>
      </c>
      <c r="D203" s="39">
        <v>45481</v>
      </c>
      <c r="E203" s="39">
        <v>45846</v>
      </c>
      <c r="F203" s="37" t="s">
        <v>1218</v>
      </c>
      <c r="G203" s="37" t="s">
        <v>64</v>
      </c>
      <c r="H203" s="41">
        <v>12475</v>
      </c>
      <c r="I203" s="42">
        <v>10323</v>
      </c>
      <c r="J203" s="37" t="s">
        <v>1905</v>
      </c>
      <c r="K203" s="39">
        <v>45481</v>
      </c>
      <c r="L203" s="33" t="s">
        <v>58</v>
      </c>
      <c r="M203" s="41">
        <v>499000</v>
      </c>
      <c r="N203" s="34">
        <f t="shared" si="6"/>
        <v>1651.68</v>
      </c>
      <c r="O203" s="36">
        <f t="shared" si="7"/>
        <v>103.23</v>
      </c>
      <c r="P203" s="35">
        <v>500</v>
      </c>
    </row>
    <row r="204" spans="1:16" x14ac:dyDescent="0.25">
      <c r="A204" s="37" t="s">
        <v>315</v>
      </c>
      <c r="B204" s="37"/>
      <c r="C204" s="40" t="s">
        <v>38</v>
      </c>
      <c r="D204" s="39">
        <v>45481</v>
      </c>
      <c r="E204" s="39">
        <v>45846</v>
      </c>
      <c r="F204" s="37" t="s">
        <v>1219</v>
      </c>
      <c r="G204" s="37" t="s">
        <v>61</v>
      </c>
      <c r="H204" s="41">
        <v>12320</v>
      </c>
      <c r="I204" s="42">
        <v>10190</v>
      </c>
      <c r="J204" s="37" t="s">
        <v>1906</v>
      </c>
      <c r="K204" s="39">
        <v>45481</v>
      </c>
      <c r="L204" s="33" t="s">
        <v>58</v>
      </c>
      <c r="M204" s="41">
        <v>352000</v>
      </c>
      <c r="N204" s="34">
        <f t="shared" si="6"/>
        <v>1630.4</v>
      </c>
      <c r="O204" s="36">
        <f t="shared" si="7"/>
        <v>101.9</v>
      </c>
      <c r="P204" s="35">
        <v>500</v>
      </c>
    </row>
    <row r="205" spans="1:16" x14ac:dyDescent="0.25">
      <c r="A205" s="37" t="s">
        <v>316</v>
      </c>
      <c r="B205" s="37"/>
      <c r="C205" s="40" t="s">
        <v>38</v>
      </c>
      <c r="D205" s="39">
        <v>45847</v>
      </c>
      <c r="E205" s="39">
        <v>46212</v>
      </c>
      <c r="F205" s="37" t="s">
        <v>1219</v>
      </c>
      <c r="G205" s="37" t="s">
        <v>61</v>
      </c>
      <c r="H205" s="41">
        <v>12320</v>
      </c>
      <c r="I205" s="42">
        <v>10190</v>
      </c>
      <c r="J205" s="37" t="s">
        <v>1906</v>
      </c>
      <c r="K205" s="39">
        <v>45481</v>
      </c>
      <c r="L205" s="33" t="s">
        <v>58</v>
      </c>
      <c r="M205" s="41">
        <v>352000</v>
      </c>
      <c r="N205" s="34">
        <f t="shared" si="6"/>
        <v>1630.4</v>
      </c>
      <c r="O205" s="36">
        <f t="shared" si="7"/>
        <v>101.9</v>
      </c>
      <c r="P205" s="35">
        <v>500</v>
      </c>
    </row>
    <row r="206" spans="1:16" x14ac:dyDescent="0.25">
      <c r="A206" s="37" t="s">
        <v>317</v>
      </c>
      <c r="B206" s="37"/>
      <c r="C206" s="40" t="s">
        <v>38</v>
      </c>
      <c r="D206" s="39">
        <v>45481</v>
      </c>
      <c r="E206" s="39">
        <v>45846</v>
      </c>
      <c r="F206" s="37" t="s">
        <v>1220</v>
      </c>
      <c r="G206" s="37" t="s">
        <v>61</v>
      </c>
      <c r="H206" s="41">
        <v>12320</v>
      </c>
      <c r="I206" s="42">
        <v>10190</v>
      </c>
      <c r="J206" s="37" t="s">
        <v>1908</v>
      </c>
      <c r="K206" s="39">
        <v>45481</v>
      </c>
      <c r="L206" s="33" t="s">
        <v>58</v>
      </c>
      <c r="M206" s="41">
        <v>352000</v>
      </c>
      <c r="N206" s="34">
        <f t="shared" si="6"/>
        <v>1630.4</v>
      </c>
      <c r="O206" s="36">
        <f t="shared" si="7"/>
        <v>101.9</v>
      </c>
      <c r="P206" s="35">
        <v>500</v>
      </c>
    </row>
    <row r="207" spans="1:16" x14ac:dyDescent="0.25">
      <c r="A207" s="37" t="s">
        <v>318</v>
      </c>
      <c r="B207" s="37"/>
      <c r="C207" s="40" t="s">
        <v>38</v>
      </c>
      <c r="D207" s="39">
        <v>45847</v>
      </c>
      <c r="E207" s="39">
        <v>46212</v>
      </c>
      <c r="F207" s="37" t="s">
        <v>1220</v>
      </c>
      <c r="G207" s="37" t="s">
        <v>61</v>
      </c>
      <c r="H207" s="41">
        <v>12320</v>
      </c>
      <c r="I207" s="42">
        <v>10190</v>
      </c>
      <c r="J207" s="37" t="s">
        <v>1908</v>
      </c>
      <c r="K207" s="39">
        <v>45481</v>
      </c>
      <c r="L207" s="33" t="s">
        <v>58</v>
      </c>
      <c r="M207" s="41">
        <v>352000</v>
      </c>
      <c r="N207" s="34">
        <f t="shared" si="6"/>
        <v>1630.4</v>
      </c>
      <c r="O207" s="36">
        <f t="shared" si="7"/>
        <v>101.9</v>
      </c>
      <c r="P207" s="35">
        <v>500</v>
      </c>
    </row>
    <row r="208" spans="1:16" x14ac:dyDescent="0.25">
      <c r="A208" s="37" t="s">
        <v>319</v>
      </c>
      <c r="B208" s="37"/>
      <c r="C208" s="40" t="s">
        <v>36</v>
      </c>
      <c r="D208" s="39">
        <v>45481</v>
      </c>
      <c r="E208" s="39">
        <v>45846</v>
      </c>
      <c r="F208" s="37" t="s">
        <v>1221</v>
      </c>
      <c r="G208" s="37" t="s">
        <v>61</v>
      </c>
      <c r="H208" s="41">
        <v>12320</v>
      </c>
      <c r="I208" s="42">
        <v>10190</v>
      </c>
      <c r="J208" s="37" t="s">
        <v>1909</v>
      </c>
      <c r="K208" s="39">
        <v>45481</v>
      </c>
      <c r="L208" s="33" t="s">
        <v>58</v>
      </c>
      <c r="M208" s="41">
        <v>352000</v>
      </c>
      <c r="N208" s="34">
        <f t="shared" si="6"/>
        <v>1630.4</v>
      </c>
      <c r="O208" s="36">
        <f t="shared" si="7"/>
        <v>101.9</v>
      </c>
      <c r="P208" s="35">
        <v>500</v>
      </c>
    </row>
    <row r="209" spans="1:16" x14ac:dyDescent="0.25">
      <c r="A209" s="37" t="s">
        <v>320</v>
      </c>
      <c r="B209" s="37"/>
      <c r="C209" s="40" t="s">
        <v>35</v>
      </c>
      <c r="D209" s="39">
        <v>45481</v>
      </c>
      <c r="E209" s="39">
        <v>45846</v>
      </c>
      <c r="F209" s="37" t="s">
        <v>1222</v>
      </c>
      <c r="G209" s="37" t="s">
        <v>62</v>
      </c>
      <c r="H209" s="41">
        <v>13370</v>
      </c>
      <c r="I209" s="42">
        <v>11095</v>
      </c>
      <c r="J209" s="37" t="s">
        <v>1910</v>
      </c>
      <c r="K209" s="39">
        <v>45481</v>
      </c>
      <c r="L209" s="33" t="s">
        <v>58</v>
      </c>
      <c r="M209" s="41">
        <v>382000</v>
      </c>
      <c r="N209" s="34">
        <f t="shared" si="6"/>
        <v>1775.2</v>
      </c>
      <c r="O209" s="36">
        <f t="shared" si="7"/>
        <v>110.95</v>
      </c>
      <c r="P209" s="35">
        <v>500</v>
      </c>
    </row>
    <row r="210" spans="1:16" x14ac:dyDescent="0.25">
      <c r="A210" s="37" t="s">
        <v>321</v>
      </c>
      <c r="B210" s="37"/>
      <c r="C210" s="40" t="s">
        <v>35</v>
      </c>
      <c r="D210" s="39">
        <v>45481</v>
      </c>
      <c r="E210" s="39">
        <v>45846</v>
      </c>
      <c r="F210" s="37" t="s">
        <v>80</v>
      </c>
      <c r="G210" s="37" t="s">
        <v>61</v>
      </c>
      <c r="H210" s="41">
        <v>12320</v>
      </c>
      <c r="I210" s="42">
        <v>10190</v>
      </c>
      <c r="J210" s="37" t="s">
        <v>1911</v>
      </c>
      <c r="K210" s="39">
        <v>45481</v>
      </c>
      <c r="L210" s="33" t="s">
        <v>58</v>
      </c>
      <c r="M210" s="41">
        <v>352000</v>
      </c>
      <c r="N210" s="34">
        <f t="shared" si="6"/>
        <v>1630.4</v>
      </c>
      <c r="O210" s="36">
        <f t="shared" si="7"/>
        <v>101.9</v>
      </c>
      <c r="P210" s="35">
        <v>500</v>
      </c>
    </row>
    <row r="211" spans="1:16" x14ac:dyDescent="0.25">
      <c r="A211" s="37" t="s">
        <v>322</v>
      </c>
      <c r="B211" s="37"/>
      <c r="C211" s="40" t="s">
        <v>39</v>
      </c>
      <c r="D211" s="39">
        <v>45481</v>
      </c>
      <c r="E211" s="39">
        <v>45846</v>
      </c>
      <c r="F211" s="37" t="s">
        <v>57</v>
      </c>
      <c r="G211" s="37" t="s">
        <v>61</v>
      </c>
      <c r="H211" s="41">
        <v>12320</v>
      </c>
      <c r="I211" s="42">
        <v>10190</v>
      </c>
      <c r="J211" s="37" t="s">
        <v>1912</v>
      </c>
      <c r="K211" s="39">
        <v>45481</v>
      </c>
      <c r="L211" s="33" t="s">
        <v>58</v>
      </c>
      <c r="M211" s="41">
        <v>352000</v>
      </c>
      <c r="N211" s="34">
        <f t="shared" si="6"/>
        <v>1630.4</v>
      </c>
      <c r="O211" s="36">
        <f t="shared" si="7"/>
        <v>101.9</v>
      </c>
      <c r="P211" s="35">
        <v>500</v>
      </c>
    </row>
    <row r="212" spans="1:16" x14ac:dyDescent="0.25">
      <c r="A212" s="37" t="s">
        <v>323</v>
      </c>
      <c r="B212" s="37"/>
      <c r="C212" s="40" t="s">
        <v>72</v>
      </c>
      <c r="D212" s="39">
        <v>45481</v>
      </c>
      <c r="E212" s="39">
        <v>45846</v>
      </c>
      <c r="F212" s="37" t="s">
        <v>1223</v>
      </c>
      <c r="G212" s="37" t="s">
        <v>62</v>
      </c>
      <c r="H212" s="41">
        <v>9550</v>
      </c>
      <c r="I212" s="42">
        <v>7802</v>
      </c>
      <c r="J212" s="37" t="s">
        <v>1913</v>
      </c>
      <c r="K212" s="39">
        <v>45481</v>
      </c>
      <c r="L212" s="33" t="s">
        <v>58</v>
      </c>
      <c r="M212" s="41">
        <v>382000</v>
      </c>
      <c r="N212" s="34">
        <f t="shared" si="6"/>
        <v>1248.32</v>
      </c>
      <c r="O212" s="36">
        <f t="shared" si="7"/>
        <v>78.02</v>
      </c>
      <c r="P212" s="35">
        <v>500</v>
      </c>
    </row>
    <row r="213" spans="1:16" x14ac:dyDescent="0.25">
      <c r="A213" s="37" t="s">
        <v>324</v>
      </c>
      <c r="B213" s="37"/>
      <c r="C213" s="40" t="s">
        <v>39</v>
      </c>
      <c r="D213" s="39">
        <v>45482</v>
      </c>
      <c r="E213" s="39">
        <v>45847</v>
      </c>
      <c r="F213" s="37" t="s">
        <v>75</v>
      </c>
      <c r="G213" s="37" t="s">
        <v>61</v>
      </c>
      <c r="H213" s="41">
        <v>12320</v>
      </c>
      <c r="I213" s="42">
        <v>10190</v>
      </c>
      <c r="J213" s="37" t="s">
        <v>1914</v>
      </c>
      <c r="K213" s="39">
        <v>45482</v>
      </c>
      <c r="L213" s="33" t="s">
        <v>58</v>
      </c>
      <c r="M213" s="41">
        <v>352000</v>
      </c>
      <c r="N213" s="34">
        <f t="shared" si="6"/>
        <v>1630.4</v>
      </c>
      <c r="O213" s="36">
        <f t="shared" si="7"/>
        <v>101.9</v>
      </c>
      <c r="P213" s="35">
        <v>500</v>
      </c>
    </row>
    <row r="214" spans="1:16" x14ac:dyDescent="0.25">
      <c r="A214" s="37" t="s">
        <v>325</v>
      </c>
      <c r="B214" s="37"/>
      <c r="C214" s="40" t="s">
        <v>35</v>
      </c>
      <c r="D214" s="39">
        <v>45482</v>
      </c>
      <c r="E214" s="39">
        <v>45847</v>
      </c>
      <c r="F214" s="37" t="s">
        <v>1224</v>
      </c>
      <c r="G214" s="37" t="s">
        <v>61</v>
      </c>
      <c r="H214" s="41">
        <v>12320</v>
      </c>
      <c r="I214" s="42">
        <v>10190</v>
      </c>
      <c r="J214" s="37" t="s">
        <v>1915</v>
      </c>
      <c r="K214" s="39">
        <v>45482</v>
      </c>
      <c r="L214" s="33" t="s">
        <v>58</v>
      </c>
      <c r="M214" s="41">
        <v>352000</v>
      </c>
      <c r="N214" s="34">
        <f t="shared" si="6"/>
        <v>1630.4</v>
      </c>
      <c r="O214" s="36">
        <f t="shared" si="7"/>
        <v>101.9</v>
      </c>
      <c r="P214" s="35">
        <v>500</v>
      </c>
    </row>
    <row r="215" spans="1:16" x14ac:dyDescent="0.25">
      <c r="A215" s="37" t="s">
        <v>326</v>
      </c>
      <c r="B215" s="37"/>
      <c r="C215" s="40" t="s">
        <v>54</v>
      </c>
      <c r="D215" s="39">
        <v>45482</v>
      </c>
      <c r="E215" s="39">
        <v>45847</v>
      </c>
      <c r="F215" s="37" t="s">
        <v>1225</v>
      </c>
      <c r="G215" s="37" t="s">
        <v>61</v>
      </c>
      <c r="H215" s="41">
        <v>8800</v>
      </c>
      <c r="I215" s="42">
        <v>7155</v>
      </c>
      <c r="J215" s="37" t="s">
        <v>1917</v>
      </c>
      <c r="K215" s="39">
        <v>45482</v>
      </c>
      <c r="L215" s="33" t="s">
        <v>58</v>
      </c>
      <c r="M215" s="41">
        <v>352000</v>
      </c>
      <c r="N215" s="34">
        <f t="shared" si="6"/>
        <v>1144.8</v>
      </c>
      <c r="O215" s="36">
        <f t="shared" si="7"/>
        <v>71.55</v>
      </c>
      <c r="P215" s="35">
        <v>500</v>
      </c>
    </row>
    <row r="216" spans="1:16" x14ac:dyDescent="0.25">
      <c r="A216" s="37" t="s">
        <v>327</v>
      </c>
      <c r="B216" s="37"/>
      <c r="C216" s="40" t="s">
        <v>39</v>
      </c>
      <c r="D216" s="39">
        <v>45482</v>
      </c>
      <c r="E216" s="39">
        <v>45847</v>
      </c>
      <c r="F216" s="37" t="s">
        <v>1226</v>
      </c>
      <c r="G216" s="37" t="s">
        <v>61</v>
      </c>
      <c r="H216" s="41">
        <v>12320</v>
      </c>
      <c r="I216" s="42">
        <v>10190</v>
      </c>
      <c r="J216" s="37" t="s">
        <v>1919</v>
      </c>
      <c r="K216" s="39">
        <v>45482</v>
      </c>
      <c r="L216" s="33" t="s">
        <v>58</v>
      </c>
      <c r="M216" s="41">
        <v>352000</v>
      </c>
      <c r="N216" s="34">
        <f t="shared" si="6"/>
        <v>1630.4</v>
      </c>
      <c r="O216" s="36">
        <f t="shared" si="7"/>
        <v>101.9</v>
      </c>
      <c r="P216" s="35">
        <v>500</v>
      </c>
    </row>
    <row r="217" spans="1:16" x14ac:dyDescent="0.25">
      <c r="A217" s="37" t="s">
        <v>328</v>
      </c>
      <c r="B217" s="37"/>
      <c r="C217" s="40" t="s">
        <v>39</v>
      </c>
      <c r="D217" s="39">
        <v>45848</v>
      </c>
      <c r="E217" s="39">
        <v>46213</v>
      </c>
      <c r="F217" s="37" t="s">
        <v>1226</v>
      </c>
      <c r="G217" s="37" t="s">
        <v>61</v>
      </c>
      <c r="H217" s="41">
        <v>12320</v>
      </c>
      <c r="I217" s="42">
        <v>10190</v>
      </c>
      <c r="J217" s="37" t="s">
        <v>1919</v>
      </c>
      <c r="K217" s="39">
        <v>45482</v>
      </c>
      <c r="L217" s="33" t="s">
        <v>58</v>
      </c>
      <c r="M217" s="41">
        <v>352000</v>
      </c>
      <c r="N217" s="34">
        <f t="shared" si="6"/>
        <v>1630.4</v>
      </c>
      <c r="O217" s="36">
        <f t="shared" si="7"/>
        <v>101.9</v>
      </c>
      <c r="P217" s="35">
        <v>500</v>
      </c>
    </row>
    <row r="218" spans="1:16" x14ac:dyDescent="0.25">
      <c r="A218" s="37" t="s">
        <v>329</v>
      </c>
      <c r="B218" s="37"/>
      <c r="C218" s="40" t="s">
        <v>35</v>
      </c>
      <c r="D218" s="39">
        <v>45482</v>
      </c>
      <c r="E218" s="39">
        <v>45847</v>
      </c>
      <c r="F218" s="37" t="s">
        <v>1227</v>
      </c>
      <c r="G218" s="37" t="s">
        <v>62</v>
      </c>
      <c r="H218" s="41">
        <v>13370</v>
      </c>
      <c r="I218" s="42">
        <v>11095</v>
      </c>
      <c r="J218" s="37" t="s">
        <v>1920</v>
      </c>
      <c r="K218" s="39">
        <v>45482</v>
      </c>
      <c r="L218" s="33" t="s">
        <v>58</v>
      </c>
      <c r="M218" s="41">
        <v>382000</v>
      </c>
      <c r="N218" s="34">
        <f t="shared" si="6"/>
        <v>1775.2</v>
      </c>
      <c r="O218" s="36">
        <f t="shared" si="7"/>
        <v>110.95</v>
      </c>
      <c r="P218" s="35">
        <v>500</v>
      </c>
    </row>
    <row r="219" spans="1:16" x14ac:dyDescent="0.25">
      <c r="A219" s="37" t="s">
        <v>330</v>
      </c>
      <c r="B219" s="37"/>
      <c r="C219" s="40" t="s">
        <v>35</v>
      </c>
      <c r="D219" s="39">
        <v>45848</v>
      </c>
      <c r="E219" s="39">
        <v>46213</v>
      </c>
      <c r="F219" s="37" t="s">
        <v>1227</v>
      </c>
      <c r="G219" s="37" t="s">
        <v>62</v>
      </c>
      <c r="H219" s="41">
        <v>13370</v>
      </c>
      <c r="I219" s="42">
        <v>11095</v>
      </c>
      <c r="J219" s="37" t="s">
        <v>1920</v>
      </c>
      <c r="K219" s="39">
        <v>45482</v>
      </c>
      <c r="L219" s="33" t="s">
        <v>58</v>
      </c>
      <c r="M219" s="41">
        <v>382000</v>
      </c>
      <c r="N219" s="34">
        <f t="shared" si="6"/>
        <v>1775.2</v>
      </c>
      <c r="O219" s="36">
        <f t="shared" si="7"/>
        <v>110.95</v>
      </c>
      <c r="P219" s="35">
        <v>500</v>
      </c>
    </row>
    <row r="220" spans="1:16" x14ac:dyDescent="0.25">
      <c r="A220" s="37" t="s">
        <v>331</v>
      </c>
      <c r="B220" s="37"/>
      <c r="C220" s="40" t="s">
        <v>74</v>
      </c>
      <c r="D220" s="39">
        <v>45482</v>
      </c>
      <c r="E220" s="39">
        <v>45847</v>
      </c>
      <c r="F220" s="37" t="s">
        <v>1228</v>
      </c>
      <c r="G220" s="37" t="s">
        <v>62</v>
      </c>
      <c r="H220" s="41">
        <v>9550</v>
      </c>
      <c r="I220" s="42">
        <v>7802</v>
      </c>
      <c r="J220" s="37" t="s">
        <v>1921</v>
      </c>
      <c r="K220" s="39">
        <v>45482</v>
      </c>
      <c r="L220" s="33" t="s">
        <v>58</v>
      </c>
      <c r="M220" s="41">
        <v>382001</v>
      </c>
      <c r="N220" s="34">
        <f t="shared" si="6"/>
        <v>1248.32</v>
      </c>
      <c r="O220" s="36">
        <f t="shared" si="7"/>
        <v>78.02</v>
      </c>
      <c r="P220" s="35">
        <v>500</v>
      </c>
    </row>
    <row r="221" spans="1:16" x14ac:dyDescent="0.25">
      <c r="A221" s="37" t="s">
        <v>332</v>
      </c>
      <c r="B221" s="37"/>
      <c r="C221" s="40" t="s">
        <v>74</v>
      </c>
      <c r="D221" s="39">
        <v>45482</v>
      </c>
      <c r="E221" s="39">
        <v>45847</v>
      </c>
      <c r="F221" s="37" t="s">
        <v>1229</v>
      </c>
      <c r="G221" s="37" t="s">
        <v>62</v>
      </c>
      <c r="H221" s="41">
        <v>9550</v>
      </c>
      <c r="I221" s="42">
        <v>7802</v>
      </c>
      <c r="J221" s="37" t="s">
        <v>1922</v>
      </c>
      <c r="K221" s="39">
        <v>45482</v>
      </c>
      <c r="L221" s="33" t="s">
        <v>58</v>
      </c>
      <c r="M221" s="41">
        <v>382001</v>
      </c>
      <c r="N221" s="34">
        <f t="shared" si="6"/>
        <v>1248.32</v>
      </c>
      <c r="O221" s="36">
        <f t="shared" si="7"/>
        <v>78.02</v>
      </c>
      <c r="P221" s="35">
        <v>500</v>
      </c>
    </row>
    <row r="222" spans="1:16" x14ac:dyDescent="0.25">
      <c r="A222" s="37" t="s">
        <v>333</v>
      </c>
      <c r="B222" s="37"/>
      <c r="C222" s="40" t="s">
        <v>74</v>
      </c>
      <c r="D222" s="39">
        <v>45482</v>
      </c>
      <c r="E222" s="39">
        <v>45847</v>
      </c>
      <c r="F222" s="37" t="s">
        <v>1230</v>
      </c>
      <c r="G222" s="37" t="s">
        <v>65</v>
      </c>
      <c r="H222" s="41">
        <v>9550</v>
      </c>
      <c r="I222" s="42">
        <v>7802</v>
      </c>
      <c r="J222" s="37" t="s">
        <v>1923</v>
      </c>
      <c r="K222" s="39">
        <v>45482</v>
      </c>
      <c r="L222" s="33" t="s">
        <v>58</v>
      </c>
      <c r="M222" s="41">
        <v>382001</v>
      </c>
      <c r="N222" s="34">
        <f t="shared" si="6"/>
        <v>1248.32</v>
      </c>
      <c r="O222" s="36">
        <f t="shared" si="7"/>
        <v>78.02</v>
      </c>
      <c r="P222" s="35">
        <v>500</v>
      </c>
    </row>
    <row r="223" spans="1:16" x14ac:dyDescent="0.25">
      <c r="A223" s="37" t="s">
        <v>334</v>
      </c>
      <c r="B223" s="37"/>
      <c r="C223" s="40" t="s">
        <v>49</v>
      </c>
      <c r="D223" s="39">
        <v>45482</v>
      </c>
      <c r="E223" s="39">
        <v>45847</v>
      </c>
      <c r="F223" s="37" t="s">
        <v>1231</v>
      </c>
      <c r="G223" s="37" t="s">
        <v>61</v>
      </c>
      <c r="H223" s="41">
        <v>8800</v>
      </c>
      <c r="I223" s="42">
        <v>7155</v>
      </c>
      <c r="J223" s="37" t="s">
        <v>1924</v>
      </c>
      <c r="K223" s="39">
        <v>45482</v>
      </c>
      <c r="L223" s="33" t="s">
        <v>58</v>
      </c>
      <c r="M223" s="41">
        <v>352000</v>
      </c>
      <c r="N223" s="34">
        <f t="shared" si="6"/>
        <v>1144.8</v>
      </c>
      <c r="O223" s="36">
        <f t="shared" si="7"/>
        <v>71.55</v>
      </c>
      <c r="P223" s="35">
        <v>500</v>
      </c>
    </row>
    <row r="224" spans="1:16" x14ac:dyDescent="0.25">
      <c r="A224" s="37" t="s">
        <v>335</v>
      </c>
      <c r="B224" s="37"/>
      <c r="C224" s="40" t="s">
        <v>74</v>
      </c>
      <c r="D224" s="39">
        <v>45482</v>
      </c>
      <c r="E224" s="39">
        <v>45847</v>
      </c>
      <c r="F224" s="37" t="s">
        <v>1232</v>
      </c>
      <c r="G224" s="37" t="s">
        <v>61</v>
      </c>
      <c r="H224" s="41">
        <v>8800</v>
      </c>
      <c r="I224" s="42">
        <v>7155</v>
      </c>
      <c r="J224" s="37" t="s">
        <v>1925</v>
      </c>
      <c r="K224" s="39">
        <v>45482</v>
      </c>
      <c r="L224" s="33" t="s">
        <v>58</v>
      </c>
      <c r="M224" s="41">
        <v>352001</v>
      </c>
      <c r="N224" s="34">
        <f t="shared" si="6"/>
        <v>1144.8</v>
      </c>
      <c r="O224" s="36">
        <f t="shared" si="7"/>
        <v>71.55</v>
      </c>
      <c r="P224" s="35">
        <v>500</v>
      </c>
    </row>
    <row r="225" spans="1:16" x14ac:dyDescent="0.25">
      <c r="A225" s="37" t="s">
        <v>336</v>
      </c>
      <c r="B225" s="37"/>
      <c r="C225" s="40" t="s">
        <v>49</v>
      </c>
      <c r="D225" s="39">
        <v>45482</v>
      </c>
      <c r="E225" s="39">
        <v>45847</v>
      </c>
      <c r="F225" s="37" t="s">
        <v>1233</v>
      </c>
      <c r="G225" s="37" t="s">
        <v>62</v>
      </c>
      <c r="H225" s="41">
        <v>9550</v>
      </c>
      <c r="I225" s="42">
        <v>7802</v>
      </c>
      <c r="J225" s="37" t="s">
        <v>1926</v>
      </c>
      <c r="K225" s="39">
        <v>45482</v>
      </c>
      <c r="L225" s="33" t="s">
        <v>58</v>
      </c>
      <c r="M225" s="41">
        <v>382000</v>
      </c>
      <c r="N225" s="34">
        <f t="shared" si="6"/>
        <v>1248.32</v>
      </c>
      <c r="O225" s="36">
        <f t="shared" si="7"/>
        <v>78.02</v>
      </c>
      <c r="P225" s="35">
        <v>500</v>
      </c>
    </row>
    <row r="226" spans="1:16" x14ac:dyDescent="0.25">
      <c r="A226" s="37" t="s">
        <v>337</v>
      </c>
      <c r="B226" s="37"/>
      <c r="C226" s="40" t="s">
        <v>74</v>
      </c>
      <c r="D226" s="39">
        <v>45482</v>
      </c>
      <c r="E226" s="39">
        <v>45847</v>
      </c>
      <c r="F226" s="37" t="s">
        <v>1234</v>
      </c>
      <c r="G226" s="37" t="s">
        <v>63</v>
      </c>
      <c r="H226" s="41">
        <v>13675</v>
      </c>
      <c r="I226" s="42">
        <v>11358</v>
      </c>
      <c r="J226" s="37" t="s">
        <v>1927</v>
      </c>
      <c r="K226" s="39">
        <v>45482</v>
      </c>
      <c r="L226" s="33" t="s">
        <v>58</v>
      </c>
      <c r="M226" s="41">
        <v>547001</v>
      </c>
      <c r="N226" s="34">
        <f t="shared" si="6"/>
        <v>1817.28</v>
      </c>
      <c r="O226" s="36">
        <f t="shared" si="7"/>
        <v>113.58</v>
      </c>
      <c r="P226" s="35">
        <v>500</v>
      </c>
    </row>
    <row r="227" spans="1:16" x14ac:dyDescent="0.25">
      <c r="A227" s="37" t="s">
        <v>338</v>
      </c>
      <c r="B227" s="37"/>
      <c r="C227" s="40" t="s">
        <v>74</v>
      </c>
      <c r="D227" s="39">
        <v>45482</v>
      </c>
      <c r="E227" s="39">
        <v>45847</v>
      </c>
      <c r="F227" s="37" t="s">
        <v>1235</v>
      </c>
      <c r="G227" s="37" t="s">
        <v>61</v>
      </c>
      <c r="H227" s="41">
        <v>8800</v>
      </c>
      <c r="I227" s="42">
        <v>7155</v>
      </c>
      <c r="J227" s="37" t="s">
        <v>1928</v>
      </c>
      <c r="K227" s="39">
        <v>45482</v>
      </c>
      <c r="L227" s="33" t="s">
        <v>58</v>
      </c>
      <c r="M227" s="41">
        <v>352001</v>
      </c>
      <c r="N227" s="34">
        <f t="shared" si="6"/>
        <v>1144.8</v>
      </c>
      <c r="O227" s="36">
        <f t="shared" si="7"/>
        <v>71.55</v>
      </c>
      <c r="P227" s="35">
        <v>500</v>
      </c>
    </row>
    <row r="228" spans="1:16" x14ac:dyDescent="0.25">
      <c r="A228" s="37" t="s">
        <v>339</v>
      </c>
      <c r="B228" s="37"/>
      <c r="C228" s="40" t="s">
        <v>74</v>
      </c>
      <c r="D228" s="39">
        <v>45482</v>
      </c>
      <c r="E228" s="39">
        <v>45847</v>
      </c>
      <c r="F228" s="37" t="s">
        <v>1236</v>
      </c>
      <c r="G228" s="37" t="s">
        <v>61</v>
      </c>
      <c r="H228" s="41">
        <v>8800</v>
      </c>
      <c r="I228" s="42">
        <v>7155</v>
      </c>
      <c r="J228" s="37" t="s">
        <v>1929</v>
      </c>
      <c r="K228" s="39">
        <v>45482</v>
      </c>
      <c r="L228" s="33" t="s">
        <v>58</v>
      </c>
      <c r="M228" s="41">
        <v>352001</v>
      </c>
      <c r="N228" s="34">
        <f t="shared" si="6"/>
        <v>1144.8</v>
      </c>
      <c r="O228" s="36">
        <f t="shared" si="7"/>
        <v>71.55</v>
      </c>
      <c r="P228" s="35">
        <v>500</v>
      </c>
    </row>
    <row r="229" spans="1:16" x14ac:dyDescent="0.25">
      <c r="A229" s="37" t="s">
        <v>340</v>
      </c>
      <c r="B229" s="37"/>
      <c r="C229" s="40" t="s">
        <v>74</v>
      </c>
      <c r="D229" s="39">
        <v>45482</v>
      </c>
      <c r="E229" s="39">
        <v>45847</v>
      </c>
      <c r="F229" s="37" t="s">
        <v>1237</v>
      </c>
      <c r="G229" s="37" t="s">
        <v>61</v>
      </c>
      <c r="H229" s="41">
        <v>8800</v>
      </c>
      <c r="I229" s="42">
        <v>7155</v>
      </c>
      <c r="J229" s="37" t="s">
        <v>1930</v>
      </c>
      <c r="K229" s="39">
        <v>45482</v>
      </c>
      <c r="L229" s="33" t="s">
        <v>58</v>
      </c>
      <c r="M229" s="41">
        <v>352001</v>
      </c>
      <c r="N229" s="34">
        <f t="shared" si="6"/>
        <v>1144.8</v>
      </c>
      <c r="O229" s="36">
        <f t="shared" si="7"/>
        <v>71.55</v>
      </c>
      <c r="P229" s="35">
        <v>500</v>
      </c>
    </row>
    <row r="230" spans="1:16" x14ac:dyDescent="0.25">
      <c r="A230" s="37" t="s">
        <v>341</v>
      </c>
      <c r="B230" s="37"/>
      <c r="C230" s="40" t="s">
        <v>74</v>
      </c>
      <c r="D230" s="39">
        <v>45482</v>
      </c>
      <c r="E230" s="39">
        <v>45847</v>
      </c>
      <c r="F230" s="37" t="s">
        <v>1238</v>
      </c>
      <c r="G230" s="37" t="s">
        <v>61</v>
      </c>
      <c r="H230" s="41">
        <v>8800</v>
      </c>
      <c r="I230" s="42">
        <v>7155</v>
      </c>
      <c r="J230" s="37" t="s">
        <v>1931</v>
      </c>
      <c r="K230" s="39">
        <v>45482</v>
      </c>
      <c r="L230" s="33" t="s">
        <v>58</v>
      </c>
      <c r="M230" s="41">
        <v>352001</v>
      </c>
      <c r="N230" s="34">
        <f t="shared" si="6"/>
        <v>1144.8</v>
      </c>
      <c r="O230" s="36">
        <f t="shared" si="7"/>
        <v>71.55</v>
      </c>
      <c r="P230" s="35">
        <v>500</v>
      </c>
    </row>
    <row r="231" spans="1:16" x14ac:dyDescent="0.25">
      <c r="A231" s="37" t="s">
        <v>342</v>
      </c>
      <c r="B231" s="37"/>
      <c r="C231" s="40" t="s">
        <v>53</v>
      </c>
      <c r="D231" s="39">
        <v>45482</v>
      </c>
      <c r="E231" s="39">
        <v>45847</v>
      </c>
      <c r="F231" s="37" t="s">
        <v>1239</v>
      </c>
      <c r="G231" s="37" t="s">
        <v>61</v>
      </c>
      <c r="H231" s="41">
        <v>8800</v>
      </c>
      <c r="I231" s="42">
        <v>7155</v>
      </c>
      <c r="J231" s="37" t="s">
        <v>1932</v>
      </c>
      <c r="K231" s="39">
        <v>45482</v>
      </c>
      <c r="L231" s="33" t="s">
        <v>58</v>
      </c>
      <c r="M231" s="41">
        <v>352000</v>
      </c>
      <c r="N231" s="34">
        <f t="shared" si="6"/>
        <v>1144.8</v>
      </c>
      <c r="O231" s="36">
        <f t="shared" si="7"/>
        <v>71.55</v>
      </c>
      <c r="P231" s="35">
        <v>500</v>
      </c>
    </row>
    <row r="232" spans="1:16" x14ac:dyDescent="0.25">
      <c r="A232" s="37" t="s">
        <v>343</v>
      </c>
      <c r="B232" s="37"/>
      <c r="C232" s="40" t="s">
        <v>71</v>
      </c>
      <c r="D232" s="39">
        <v>45482</v>
      </c>
      <c r="E232" s="39">
        <v>45847</v>
      </c>
      <c r="F232" s="37" t="s">
        <v>1240</v>
      </c>
      <c r="G232" s="37" t="s">
        <v>61</v>
      </c>
      <c r="H232" s="41">
        <v>8800</v>
      </c>
      <c r="I232" s="42">
        <v>7155</v>
      </c>
      <c r="J232" s="37" t="s">
        <v>1933</v>
      </c>
      <c r="K232" s="39">
        <v>45482</v>
      </c>
      <c r="L232" s="33" t="s">
        <v>58</v>
      </c>
      <c r="M232" s="41">
        <v>352000</v>
      </c>
      <c r="N232" s="34">
        <f t="shared" si="6"/>
        <v>1144.8</v>
      </c>
      <c r="O232" s="36">
        <f t="shared" si="7"/>
        <v>71.55</v>
      </c>
      <c r="P232" s="35">
        <v>500</v>
      </c>
    </row>
    <row r="233" spans="1:16" x14ac:dyDescent="0.25">
      <c r="A233" s="37" t="s">
        <v>344</v>
      </c>
      <c r="B233" s="37"/>
      <c r="C233" s="40" t="s">
        <v>71</v>
      </c>
      <c r="D233" s="39">
        <v>45482</v>
      </c>
      <c r="E233" s="39">
        <v>45847</v>
      </c>
      <c r="F233" s="37" t="s">
        <v>70</v>
      </c>
      <c r="G233" s="37" t="s">
        <v>62</v>
      </c>
      <c r="H233" s="41">
        <v>9550</v>
      </c>
      <c r="I233" s="42">
        <v>7802</v>
      </c>
      <c r="J233" s="37" t="s">
        <v>1934</v>
      </c>
      <c r="K233" s="39">
        <v>45482</v>
      </c>
      <c r="L233" s="33" t="s">
        <v>58</v>
      </c>
      <c r="M233" s="41">
        <v>382000</v>
      </c>
      <c r="N233" s="34">
        <f t="shared" si="6"/>
        <v>1248.32</v>
      </c>
      <c r="O233" s="36">
        <f t="shared" si="7"/>
        <v>78.02</v>
      </c>
      <c r="P233" s="35">
        <v>500</v>
      </c>
    </row>
    <row r="234" spans="1:16" x14ac:dyDescent="0.25">
      <c r="A234" s="37" t="s">
        <v>345</v>
      </c>
      <c r="B234" s="37"/>
      <c r="C234" s="40" t="s">
        <v>71</v>
      </c>
      <c r="D234" s="39">
        <v>45482</v>
      </c>
      <c r="E234" s="39">
        <v>45847</v>
      </c>
      <c r="F234" s="37" t="s">
        <v>1241</v>
      </c>
      <c r="G234" s="37" t="s">
        <v>62</v>
      </c>
      <c r="H234" s="41">
        <v>9550</v>
      </c>
      <c r="I234" s="42">
        <v>7802</v>
      </c>
      <c r="J234" s="37" t="s">
        <v>1935</v>
      </c>
      <c r="K234" s="39">
        <v>45482</v>
      </c>
      <c r="L234" s="33" t="s">
        <v>58</v>
      </c>
      <c r="M234" s="41">
        <v>382000</v>
      </c>
      <c r="N234" s="34">
        <f t="shared" si="6"/>
        <v>1248.32</v>
      </c>
      <c r="O234" s="36">
        <f t="shared" si="7"/>
        <v>78.02</v>
      </c>
      <c r="P234" s="35">
        <v>500</v>
      </c>
    </row>
    <row r="235" spans="1:16" x14ac:dyDescent="0.25">
      <c r="A235" s="37" t="s">
        <v>346</v>
      </c>
      <c r="B235" s="37"/>
      <c r="C235" s="40" t="s">
        <v>1072</v>
      </c>
      <c r="D235" s="39">
        <v>45482</v>
      </c>
      <c r="E235" s="39">
        <v>45847</v>
      </c>
      <c r="F235" s="37" t="s">
        <v>1242</v>
      </c>
      <c r="G235" s="37" t="s">
        <v>61</v>
      </c>
      <c r="H235" s="41">
        <v>8800</v>
      </c>
      <c r="I235" s="42">
        <v>7155</v>
      </c>
      <c r="J235" s="37" t="s">
        <v>1936</v>
      </c>
      <c r="K235" s="39">
        <v>45482</v>
      </c>
      <c r="L235" s="33" t="s">
        <v>58</v>
      </c>
      <c r="M235" s="41">
        <v>352000</v>
      </c>
      <c r="N235" s="34">
        <f t="shared" si="6"/>
        <v>1144.8</v>
      </c>
      <c r="O235" s="36">
        <f t="shared" si="7"/>
        <v>71.55</v>
      </c>
      <c r="P235" s="35">
        <v>500</v>
      </c>
    </row>
    <row r="236" spans="1:16" x14ac:dyDescent="0.25">
      <c r="A236" s="37" t="s">
        <v>347</v>
      </c>
      <c r="B236" s="37"/>
      <c r="C236" s="40" t="s">
        <v>1072</v>
      </c>
      <c r="D236" s="39">
        <v>45482</v>
      </c>
      <c r="E236" s="39">
        <v>45847</v>
      </c>
      <c r="F236" s="37" t="s">
        <v>1243</v>
      </c>
      <c r="G236" s="37" t="s">
        <v>62</v>
      </c>
      <c r="H236" s="41">
        <v>9550</v>
      </c>
      <c r="I236" s="42">
        <v>7802</v>
      </c>
      <c r="J236" s="37" t="s">
        <v>1937</v>
      </c>
      <c r="K236" s="39">
        <v>45482</v>
      </c>
      <c r="L236" s="33" t="s">
        <v>58</v>
      </c>
      <c r="M236" s="41">
        <v>382000</v>
      </c>
      <c r="N236" s="34">
        <f t="shared" si="6"/>
        <v>1248.32</v>
      </c>
      <c r="O236" s="36">
        <f t="shared" si="7"/>
        <v>78.02</v>
      </c>
      <c r="P236" s="35">
        <v>500</v>
      </c>
    </row>
    <row r="237" spans="1:16" x14ac:dyDescent="0.25">
      <c r="A237" s="37" t="s">
        <v>348</v>
      </c>
      <c r="B237" s="37"/>
      <c r="C237" s="40" t="s">
        <v>1072</v>
      </c>
      <c r="D237" s="39">
        <v>45482</v>
      </c>
      <c r="E237" s="39">
        <v>45847</v>
      </c>
      <c r="F237" s="37" t="s">
        <v>1244</v>
      </c>
      <c r="G237" s="37" t="s">
        <v>62</v>
      </c>
      <c r="H237" s="41">
        <v>9550</v>
      </c>
      <c r="I237" s="42">
        <v>7802</v>
      </c>
      <c r="J237" s="37" t="s">
        <v>1938</v>
      </c>
      <c r="K237" s="39">
        <v>45482</v>
      </c>
      <c r="L237" s="33" t="s">
        <v>58</v>
      </c>
      <c r="M237" s="41">
        <v>382000</v>
      </c>
      <c r="N237" s="34">
        <f t="shared" si="6"/>
        <v>1248.32</v>
      </c>
      <c r="O237" s="36">
        <f t="shared" si="7"/>
        <v>78.02</v>
      </c>
      <c r="P237" s="35">
        <v>500</v>
      </c>
    </row>
    <row r="238" spans="1:16" x14ac:dyDescent="0.25">
      <c r="A238" s="37" t="s">
        <v>349</v>
      </c>
      <c r="B238" s="37"/>
      <c r="C238" s="40" t="s">
        <v>1072</v>
      </c>
      <c r="D238" s="39">
        <v>45483</v>
      </c>
      <c r="E238" s="39">
        <v>45848</v>
      </c>
      <c r="F238" s="37" t="s">
        <v>1245</v>
      </c>
      <c r="G238" s="37" t="s">
        <v>62</v>
      </c>
      <c r="H238" s="41">
        <v>9550</v>
      </c>
      <c r="I238" s="42">
        <v>7802</v>
      </c>
      <c r="J238" s="37" t="s">
        <v>1939</v>
      </c>
      <c r="K238" s="39">
        <v>45483</v>
      </c>
      <c r="L238" s="33" t="s">
        <v>58</v>
      </c>
      <c r="M238" s="41">
        <v>382000</v>
      </c>
      <c r="N238" s="34">
        <f t="shared" si="6"/>
        <v>1248.32</v>
      </c>
      <c r="O238" s="36">
        <f t="shared" si="7"/>
        <v>78.02</v>
      </c>
      <c r="P238" s="35">
        <v>500</v>
      </c>
    </row>
    <row r="239" spans="1:16" x14ac:dyDescent="0.25">
      <c r="A239" s="37" t="s">
        <v>350</v>
      </c>
      <c r="B239" s="37"/>
      <c r="C239" s="40" t="s">
        <v>1072</v>
      </c>
      <c r="D239" s="39">
        <v>45483</v>
      </c>
      <c r="E239" s="39">
        <v>45848</v>
      </c>
      <c r="F239" s="37" t="s">
        <v>1246</v>
      </c>
      <c r="G239" s="37" t="s">
        <v>62</v>
      </c>
      <c r="H239" s="41">
        <v>9550</v>
      </c>
      <c r="I239" s="42">
        <v>7802</v>
      </c>
      <c r="J239" s="37" t="s">
        <v>1940</v>
      </c>
      <c r="K239" s="39">
        <v>45483</v>
      </c>
      <c r="L239" s="33" t="s">
        <v>58</v>
      </c>
      <c r="M239" s="41">
        <v>382000</v>
      </c>
      <c r="N239" s="34">
        <f t="shared" si="6"/>
        <v>1248.32</v>
      </c>
      <c r="O239" s="36">
        <f t="shared" si="7"/>
        <v>78.02</v>
      </c>
      <c r="P239" s="35">
        <v>500</v>
      </c>
    </row>
    <row r="240" spans="1:16" x14ac:dyDescent="0.25">
      <c r="A240" s="37" t="s">
        <v>351</v>
      </c>
      <c r="B240" s="37"/>
      <c r="C240" s="40" t="s">
        <v>35</v>
      </c>
      <c r="D240" s="39">
        <v>45483</v>
      </c>
      <c r="E240" s="39">
        <v>45848</v>
      </c>
      <c r="F240" s="37" t="s">
        <v>1247</v>
      </c>
      <c r="G240" s="37" t="s">
        <v>61</v>
      </c>
      <c r="H240" s="41">
        <v>12320</v>
      </c>
      <c r="I240" s="42">
        <v>10190</v>
      </c>
      <c r="J240" s="37" t="s">
        <v>1941</v>
      </c>
      <c r="K240" s="39">
        <v>45483</v>
      </c>
      <c r="L240" s="33" t="s">
        <v>58</v>
      </c>
      <c r="M240" s="41">
        <v>352000</v>
      </c>
      <c r="N240" s="34">
        <f t="shared" si="6"/>
        <v>1630.4</v>
      </c>
      <c r="O240" s="36">
        <f t="shared" si="7"/>
        <v>101.9</v>
      </c>
      <c r="P240" s="35">
        <v>500</v>
      </c>
    </row>
    <row r="241" spans="1:16" x14ac:dyDescent="0.25">
      <c r="A241" s="37" t="s">
        <v>352</v>
      </c>
      <c r="B241" s="37"/>
      <c r="C241" s="40" t="s">
        <v>1072</v>
      </c>
      <c r="D241" s="39">
        <v>45483</v>
      </c>
      <c r="E241" s="39">
        <v>45848</v>
      </c>
      <c r="F241" s="37" t="s">
        <v>1248</v>
      </c>
      <c r="G241" s="37" t="s">
        <v>63</v>
      </c>
      <c r="H241" s="41">
        <v>13675</v>
      </c>
      <c r="I241" s="42">
        <v>11358</v>
      </c>
      <c r="J241" s="37" t="s">
        <v>1942</v>
      </c>
      <c r="K241" s="39">
        <v>45483</v>
      </c>
      <c r="L241" s="33" t="s">
        <v>58</v>
      </c>
      <c r="M241" s="41">
        <v>547000</v>
      </c>
      <c r="N241" s="34">
        <f t="shared" si="6"/>
        <v>1817.28</v>
      </c>
      <c r="O241" s="36">
        <f t="shared" si="7"/>
        <v>113.58</v>
      </c>
      <c r="P241" s="35">
        <v>500</v>
      </c>
    </row>
    <row r="242" spans="1:16" x14ac:dyDescent="0.25">
      <c r="A242" s="37" t="s">
        <v>353</v>
      </c>
      <c r="B242" s="37"/>
      <c r="C242" s="40" t="s">
        <v>1072</v>
      </c>
      <c r="D242" s="39">
        <v>45483</v>
      </c>
      <c r="E242" s="39">
        <v>45848</v>
      </c>
      <c r="F242" s="37" t="s">
        <v>1249</v>
      </c>
      <c r="G242" s="37" t="s">
        <v>64</v>
      </c>
      <c r="H242" s="41">
        <v>12475</v>
      </c>
      <c r="I242" s="42">
        <v>10323</v>
      </c>
      <c r="J242" s="37" t="s">
        <v>1943</v>
      </c>
      <c r="K242" s="39">
        <v>45483</v>
      </c>
      <c r="L242" s="33" t="s">
        <v>58</v>
      </c>
      <c r="M242" s="41">
        <v>499000</v>
      </c>
      <c r="N242" s="34">
        <f t="shared" si="6"/>
        <v>1651.68</v>
      </c>
      <c r="O242" s="36">
        <f t="shared" si="7"/>
        <v>103.23</v>
      </c>
      <c r="P242" s="35">
        <v>500</v>
      </c>
    </row>
    <row r="243" spans="1:16" x14ac:dyDescent="0.25">
      <c r="A243" s="37" t="s">
        <v>354</v>
      </c>
      <c r="B243" s="37"/>
      <c r="C243" s="40" t="s">
        <v>1072</v>
      </c>
      <c r="D243" s="39">
        <v>45483</v>
      </c>
      <c r="E243" s="39">
        <v>45848</v>
      </c>
      <c r="F243" s="37" t="s">
        <v>1104</v>
      </c>
      <c r="G243" s="37" t="s">
        <v>63</v>
      </c>
      <c r="H243" s="41">
        <v>13675</v>
      </c>
      <c r="I243" s="42">
        <v>11358</v>
      </c>
      <c r="J243" s="37" t="s">
        <v>1944</v>
      </c>
      <c r="K243" s="39">
        <v>45483</v>
      </c>
      <c r="L243" s="33" t="s">
        <v>58</v>
      </c>
      <c r="M243" s="41">
        <v>547000</v>
      </c>
      <c r="N243" s="34">
        <f t="shared" si="6"/>
        <v>1817.28</v>
      </c>
      <c r="O243" s="36">
        <f t="shared" si="7"/>
        <v>113.58</v>
      </c>
      <c r="P243" s="35">
        <v>500</v>
      </c>
    </row>
    <row r="244" spans="1:16" x14ac:dyDescent="0.25">
      <c r="A244" s="37" t="s">
        <v>355</v>
      </c>
      <c r="B244" s="37"/>
      <c r="C244" s="40" t="s">
        <v>1072</v>
      </c>
      <c r="D244" s="39">
        <v>45483</v>
      </c>
      <c r="E244" s="39">
        <v>45848</v>
      </c>
      <c r="F244" s="37" t="s">
        <v>59</v>
      </c>
      <c r="G244" s="37" t="s">
        <v>61</v>
      </c>
      <c r="H244" s="41">
        <v>8800</v>
      </c>
      <c r="I244" s="42">
        <v>7155</v>
      </c>
      <c r="J244" s="37" t="s">
        <v>1945</v>
      </c>
      <c r="K244" s="39">
        <v>45483</v>
      </c>
      <c r="L244" s="33" t="s">
        <v>58</v>
      </c>
      <c r="M244" s="41">
        <v>352000</v>
      </c>
      <c r="N244" s="34">
        <f t="shared" si="6"/>
        <v>1144.8</v>
      </c>
      <c r="O244" s="36">
        <f t="shared" si="7"/>
        <v>71.55</v>
      </c>
      <c r="P244" s="35">
        <v>500</v>
      </c>
    </row>
    <row r="245" spans="1:16" x14ac:dyDescent="0.25">
      <c r="A245" s="37" t="s">
        <v>356</v>
      </c>
      <c r="B245" s="37"/>
      <c r="C245" s="40" t="s">
        <v>1072</v>
      </c>
      <c r="D245" s="39">
        <v>45483</v>
      </c>
      <c r="E245" s="39">
        <v>45848</v>
      </c>
      <c r="F245" s="37" t="s">
        <v>1250</v>
      </c>
      <c r="G245" s="37" t="s">
        <v>64</v>
      </c>
      <c r="H245" s="41">
        <v>12475</v>
      </c>
      <c r="I245" s="42">
        <v>10323</v>
      </c>
      <c r="J245" s="37" t="s">
        <v>1946</v>
      </c>
      <c r="K245" s="39">
        <v>45483</v>
      </c>
      <c r="L245" s="33" t="s">
        <v>58</v>
      </c>
      <c r="M245" s="41">
        <v>499000</v>
      </c>
      <c r="N245" s="34">
        <f t="shared" si="6"/>
        <v>1651.68</v>
      </c>
      <c r="O245" s="36">
        <f t="shared" si="7"/>
        <v>103.23</v>
      </c>
      <c r="P245" s="35">
        <v>500</v>
      </c>
    </row>
    <row r="246" spans="1:16" x14ac:dyDescent="0.25">
      <c r="A246" s="37" t="s">
        <v>357</v>
      </c>
      <c r="B246" s="37"/>
      <c r="C246" s="40" t="s">
        <v>1072</v>
      </c>
      <c r="D246" s="39">
        <v>45483</v>
      </c>
      <c r="E246" s="39">
        <v>45848</v>
      </c>
      <c r="F246" s="37" t="s">
        <v>1251</v>
      </c>
      <c r="G246" s="37" t="s">
        <v>65</v>
      </c>
      <c r="H246" s="41">
        <v>9550</v>
      </c>
      <c r="I246" s="42">
        <v>7802</v>
      </c>
      <c r="J246" s="37" t="s">
        <v>1947</v>
      </c>
      <c r="K246" s="39">
        <v>45483</v>
      </c>
      <c r="L246" s="33" t="s">
        <v>58</v>
      </c>
      <c r="M246" s="41">
        <v>382000</v>
      </c>
      <c r="N246" s="34">
        <f t="shared" si="6"/>
        <v>1248.32</v>
      </c>
      <c r="O246" s="36">
        <f t="shared" si="7"/>
        <v>78.02</v>
      </c>
      <c r="P246" s="35">
        <v>500</v>
      </c>
    </row>
    <row r="247" spans="1:16" x14ac:dyDescent="0.25">
      <c r="A247" s="37" t="s">
        <v>358</v>
      </c>
      <c r="B247" s="37"/>
      <c r="C247" s="40" t="s">
        <v>39</v>
      </c>
      <c r="D247" s="39">
        <v>45483</v>
      </c>
      <c r="E247" s="39">
        <v>45848</v>
      </c>
      <c r="F247" s="37" t="s">
        <v>1252</v>
      </c>
      <c r="G247" s="37" t="s">
        <v>61</v>
      </c>
      <c r="H247" s="41">
        <v>12320</v>
      </c>
      <c r="I247" s="42">
        <v>10190</v>
      </c>
      <c r="J247" s="37" t="s">
        <v>1948</v>
      </c>
      <c r="K247" s="39">
        <v>45483</v>
      </c>
      <c r="L247" s="33" t="s">
        <v>58</v>
      </c>
      <c r="M247" s="41">
        <v>352000</v>
      </c>
      <c r="N247" s="34">
        <f t="shared" si="6"/>
        <v>1630.4</v>
      </c>
      <c r="O247" s="36">
        <f t="shared" si="7"/>
        <v>101.9</v>
      </c>
      <c r="P247" s="35">
        <v>500</v>
      </c>
    </row>
    <row r="248" spans="1:16" x14ac:dyDescent="0.25">
      <c r="A248" s="37" t="s">
        <v>359</v>
      </c>
      <c r="B248" s="37"/>
      <c r="C248" s="40" t="s">
        <v>67</v>
      </c>
      <c r="D248" s="39">
        <v>45483</v>
      </c>
      <c r="E248" s="39">
        <v>45848</v>
      </c>
      <c r="F248" s="37" t="s">
        <v>1253</v>
      </c>
      <c r="G248" s="37" t="s">
        <v>61</v>
      </c>
      <c r="H248" s="41">
        <v>8800</v>
      </c>
      <c r="I248" s="42">
        <v>7155</v>
      </c>
      <c r="J248" s="37" t="s">
        <v>1949</v>
      </c>
      <c r="K248" s="39">
        <v>45483</v>
      </c>
      <c r="L248" s="33" t="s">
        <v>58</v>
      </c>
      <c r="M248" s="41">
        <v>352000</v>
      </c>
      <c r="N248" s="34">
        <f t="shared" si="6"/>
        <v>1144.8</v>
      </c>
      <c r="O248" s="36">
        <f t="shared" si="7"/>
        <v>71.55</v>
      </c>
      <c r="P248" s="35">
        <v>500</v>
      </c>
    </row>
    <row r="249" spans="1:16" x14ac:dyDescent="0.25">
      <c r="A249" s="37" t="s">
        <v>360</v>
      </c>
      <c r="B249" s="37"/>
      <c r="C249" s="40" t="s">
        <v>1072</v>
      </c>
      <c r="D249" s="39">
        <v>45483</v>
      </c>
      <c r="E249" s="39">
        <v>45848</v>
      </c>
      <c r="F249" s="37" t="s">
        <v>1254</v>
      </c>
      <c r="G249" s="37" t="s">
        <v>62</v>
      </c>
      <c r="H249" s="41">
        <v>9550</v>
      </c>
      <c r="I249" s="42">
        <v>7802</v>
      </c>
      <c r="J249" s="37" t="s">
        <v>1950</v>
      </c>
      <c r="K249" s="39">
        <v>45483</v>
      </c>
      <c r="L249" s="33" t="s">
        <v>58</v>
      </c>
      <c r="M249" s="41">
        <v>382000</v>
      </c>
      <c r="N249" s="34">
        <f t="shared" si="6"/>
        <v>1248.32</v>
      </c>
      <c r="O249" s="36">
        <f t="shared" si="7"/>
        <v>78.02</v>
      </c>
      <c r="P249" s="35">
        <v>500</v>
      </c>
    </row>
    <row r="250" spans="1:16" x14ac:dyDescent="0.25">
      <c r="A250" s="37" t="s">
        <v>361</v>
      </c>
      <c r="B250" s="37"/>
      <c r="C250" s="40" t="s">
        <v>67</v>
      </c>
      <c r="D250" s="39">
        <v>45483</v>
      </c>
      <c r="E250" s="39">
        <v>45848</v>
      </c>
      <c r="F250" s="37" t="s">
        <v>1255</v>
      </c>
      <c r="G250" s="37" t="s">
        <v>62</v>
      </c>
      <c r="H250" s="41">
        <v>9550</v>
      </c>
      <c r="I250" s="42">
        <v>7802</v>
      </c>
      <c r="J250" s="37" t="s">
        <v>1951</v>
      </c>
      <c r="K250" s="39">
        <v>45483</v>
      </c>
      <c r="L250" s="33" t="s">
        <v>58</v>
      </c>
      <c r="M250" s="41">
        <v>382000</v>
      </c>
      <c r="N250" s="34">
        <f t="shared" si="6"/>
        <v>1248.32</v>
      </c>
      <c r="O250" s="36">
        <f t="shared" si="7"/>
        <v>78.02</v>
      </c>
      <c r="P250" s="35">
        <v>500</v>
      </c>
    </row>
    <row r="251" spans="1:16" x14ac:dyDescent="0.25">
      <c r="A251" s="37" t="s">
        <v>362</v>
      </c>
      <c r="B251" s="37"/>
      <c r="C251" s="40" t="s">
        <v>36</v>
      </c>
      <c r="D251" s="39">
        <v>45483</v>
      </c>
      <c r="E251" s="39">
        <v>45848</v>
      </c>
      <c r="F251" s="37" t="s">
        <v>1256</v>
      </c>
      <c r="G251" s="37" t="s">
        <v>61</v>
      </c>
      <c r="H251" s="41">
        <v>12320</v>
      </c>
      <c r="I251" s="42">
        <v>10190</v>
      </c>
      <c r="J251" s="37" t="s">
        <v>1952</v>
      </c>
      <c r="K251" s="39">
        <v>45483</v>
      </c>
      <c r="L251" s="33" t="s">
        <v>58</v>
      </c>
      <c r="M251" s="41">
        <v>352000</v>
      </c>
      <c r="N251" s="34">
        <f t="shared" si="6"/>
        <v>1630.4</v>
      </c>
      <c r="O251" s="36">
        <f t="shared" si="7"/>
        <v>101.9</v>
      </c>
      <c r="P251" s="35">
        <v>500</v>
      </c>
    </row>
    <row r="252" spans="1:16" x14ac:dyDescent="0.25">
      <c r="A252" s="37" t="s">
        <v>363</v>
      </c>
      <c r="B252" s="37"/>
      <c r="C252" s="40" t="s">
        <v>36</v>
      </c>
      <c r="D252" s="39">
        <v>45849</v>
      </c>
      <c r="E252" s="39">
        <v>46214</v>
      </c>
      <c r="F252" s="37" t="s">
        <v>1256</v>
      </c>
      <c r="G252" s="37" t="s">
        <v>61</v>
      </c>
      <c r="H252" s="41">
        <v>12320</v>
      </c>
      <c r="I252" s="42">
        <v>10190</v>
      </c>
      <c r="J252" s="37" t="s">
        <v>1952</v>
      </c>
      <c r="K252" s="39">
        <v>45483</v>
      </c>
      <c r="L252" s="33" t="s">
        <v>58</v>
      </c>
      <c r="M252" s="41">
        <v>352000</v>
      </c>
      <c r="N252" s="34">
        <f t="shared" si="6"/>
        <v>1630.4</v>
      </c>
      <c r="O252" s="36">
        <f t="shared" si="7"/>
        <v>101.9</v>
      </c>
      <c r="P252" s="35">
        <v>500</v>
      </c>
    </row>
    <row r="253" spans="1:16" x14ac:dyDescent="0.25">
      <c r="A253" s="37" t="s">
        <v>364</v>
      </c>
      <c r="B253" s="37"/>
      <c r="C253" s="40" t="s">
        <v>67</v>
      </c>
      <c r="D253" s="39">
        <v>45483</v>
      </c>
      <c r="E253" s="39">
        <v>45848</v>
      </c>
      <c r="F253" s="37" t="s">
        <v>1257</v>
      </c>
      <c r="G253" s="37" t="s">
        <v>61</v>
      </c>
      <c r="H253" s="41">
        <v>8800</v>
      </c>
      <c r="I253" s="42">
        <v>7155</v>
      </c>
      <c r="J253" s="37" t="s">
        <v>1953</v>
      </c>
      <c r="K253" s="39">
        <v>45483</v>
      </c>
      <c r="L253" s="33" t="s">
        <v>58</v>
      </c>
      <c r="M253" s="41">
        <v>352000</v>
      </c>
      <c r="N253" s="34">
        <f t="shared" si="6"/>
        <v>1144.8</v>
      </c>
      <c r="O253" s="36">
        <f t="shared" si="7"/>
        <v>71.55</v>
      </c>
      <c r="P253" s="35">
        <v>500</v>
      </c>
    </row>
    <row r="254" spans="1:16" x14ac:dyDescent="0.25">
      <c r="A254" s="37" t="s">
        <v>365</v>
      </c>
      <c r="B254" s="37"/>
      <c r="C254" s="40" t="s">
        <v>67</v>
      </c>
      <c r="D254" s="39">
        <v>45483</v>
      </c>
      <c r="E254" s="39">
        <v>45848</v>
      </c>
      <c r="F254" s="37" t="s">
        <v>1258</v>
      </c>
      <c r="G254" s="37" t="s">
        <v>62</v>
      </c>
      <c r="H254" s="41">
        <v>9550</v>
      </c>
      <c r="I254" s="42">
        <v>7802</v>
      </c>
      <c r="J254" s="37" t="s">
        <v>1954</v>
      </c>
      <c r="K254" s="39">
        <v>45483</v>
      </c>
      <c r="L254" s="33" t="s">
        <v>58</v>
      </c>
      <c r="M254" s="41">
        <v>382000</v>
      </c>
      <c r="N254" s="34">
        <f t="shared" si="6"/>
        <v>1248.32</v>
      </c>
      <c r="O254" s="36">
        <f t="shared" si="7"/>
        <v>78.02</v>
      </c>
      <c r="P254" s="35">
        <v>500</v>
      </c>
    </row>
    <row r="255" spans="1:16" x14ac:dyDescent="0.25">
      <c r="A255" s="37" t="s">
        <v>366</v>
      </c>
      <c r="B255" s="37"/>
      <c r="C255" s="40" t="s">
        <v>30</v>
      </c>
      <c r="D255" s="39">
        <v>45483</v>
      </c>
      <c r="E255" s="39">
        <v>45848</v>
      </c>
      <c r="F255" s="37" t="s">
        <v>1259</v>
      </c>
      <c r="G255" s="37" t="s">
        <v>61</v>
      </c>
      <c r="H255" s="41">
        <v>12320</v>
      </c>
      <c r="I255" s="42">
        <v>10190</v>
      </c>
      <c r="J255" s="37" t="s">
        <v>1955</v>
      </c>
      <c r="K255" s="39">
        <v>45483</v>
      </c>
      <c r="L255" s="33" t="s">
        <v>58</v>
      </c>
      <c r="M255" s="41">
        <v>352000</v>
      </c>
      <c r="N255" s="34">
        <f t="shared" si="6"/>
        <v>1630.4</v>
      </c>
      <c r="O255" s="36">
        <f t="shared" si="7"/>
        <v>101.9</v>
      </c>
      <c r="P255" s="35">
        <v>500</v>
      </c>
    </row>
    <row r="256" spans="1:16" x14ac:dyDescent="0.25">
      <c r="A256" s="37" t="s">
        <v>367</v>
      </c>
      <c r="B256" s="37"/>
      <c r="C256" s="40" t="s">
        <v>30</v>
      </c>
      <c r="D256" s="39">
        <v>45849</v>
      </c>
      <c r="E256" s="39">
        <v>46214</v>
      </c>
      <c r="F256" s="37" t="s">
        <v>1259</v>
      </c>
      <c r="G256" s="37" t="s">
        <v>61</v>
      </c>
      <c r="H256" s="41">
        <v>12320</v>
      </c>
      <c r="I256" s="42">
        <v>10190</v>
      </c>
      <c r="J256" s="37" t="s">
        <v>1955</v>
      </c>
      <c r="K256" s="39">
        <v>45483</v>
      </c>
      <c r="L256" s="33" t="s">
        <v>58</v>
      </c>
      <c r="M256" s="41">
        <v>352000</v>
      </c>
      <c r="N256" s="34">
        <f t="shared" si="6"/>
        <v>1630.4</v>
      </c>
      <c r="O256" s="36">
        <f t="shared" si="7"/>
        <v>101.9</v>
      </c>
      <c r="P256" s="35">
        <v>500</v>
      </c>
    </row>
    <row r="257" spans="1:16" x14ac:dyDescent="0.25">
      <c r="A257" s="37" t="s">
        <v>368</v>
      </c>
      <c r="B257" s="37"/>
      <c r="C257" s="40" t="s">
        <v>31</v>
      </c>
      <c r="D257" s="39">
        <v>45483</v>
      </c>
      <c r="E257" s="39">
        <v>45848</v>
      </c>
      <c r="F257" s="37" t="s">
        <v>1260</v>
      </c>
      <c r="G257" s="37" t="s">
        <v>61</v>
      </c>
      <c r="H257" s="41">
        <v>12320</v>
      </c>
      <c r="I257" s="42">
        <v>10190</v>
      </c>
      <c r="J257" s="37" t="s">
        <v>1956</v>
      </c>
      <c r="K257" s="39">
        <v>45483</v>
      </c>
      <c r="L257" s="33" t="s">
        <v>58</v>
      </c>
      <c r="M257" s="41">
        <v>352000</v>
      </c>
      <c r="N257" s="34">
        <f t="shared" si="6"/>
        <v>1630.4</v>
      </c>
      <c r="O257" s="36">
        <f t="shared" si="7"/>
        <v>101.9</v>
      </c>
      <c r="P257" s="35">
        <v>500</v>
      </c>
    </row>
    <row r="258" spans="1:16" x14ac:dyDescent="0.25">
      <c r="A258" s="37" t="s">
        <v>369</v>
      </c>
      <c r="B258" s="37"/>
      <c r="C258" s="40" t="s">
        <v>67</v>
      </c>
      <c r="D258" s="39">
        <v>45483</v>
      </c>
      <c r="E258" s="39">
        <v>45848</v>
      </c>
      <c r="F258" s="37" t="s">
        <v>1261</v>
      </c>
      <c r="G258" s="37" t="s">
        <v>61</v>
      </c>
      <c r="H258" s="41">
        <v>8800</v>
      </c>
      <c r="I258" s="42">
        <v>7155</v>
      </c>
      <c r="J258" s="37" t="s">
        <v>1958</v>
      </c>
      <c r="K258" s="39">
        <v>45483</v>
      </c>
      <c r="L258" s="33" t="s">
        <v>58</v>
      </c>
      <c r="M258" s="41">
        <v>352000</v>
      </c>
      <c r="N258" s="34">
        <f t="shared" si="6"/>
        <v>1144.8</v>
      </c>
      <c r="O258" s="36">
        <f t="shared" si="7"/>
        <v>71.55</v>
      </c>
      <c r="P258" s="35">
        <v>500</v>
      </c>
    </row>
    <row r="259" spans="1:16" x14ac:dyDescent="0.25">
      <c r="A259" s="37" t="s">
        <v>370</v>
      </c>
      <c r="B259" s="37"/>
      <c r="C259" s="40" t="s">
        <v>36</v>
      </c>
      <c r="D259" s="39">
        <v>45483</v>
      </c>
      <c r="E259" s="39">
        <v>45848</v>
      </c>
      <c r="F259" s="37" t="s">
        <v>1262</v>
      </c>
      <c r="G259" s="37" t="s">
        <v>61</v>
      </c>
      <c r="H259" s="41">
        <v>12320</v>
      </c>
      <c r="I259" s="42">
        <v>10190</v>
      </c>
      <c r="J259" s="37" t="s">
        <v>1959</v>
      </c>
      <c r="K259" s="39">
        <v>45483</v>
      </c>
      <c r="L259" s="33" t="s">
        <v>58</v>
      </c>
      <c r="M259" s="41">
        <v>352000</v>
      </c>
      <c r="N259" s="34">
        <f t="shared" ref="N259:N322" si="8">I259*16/100</f>
        <v>1630.4</v>
      </c>
      <c r="O259" s="36">
        <f t="shared" ref="O259:O322" si="9">I259*1/100</f>
        <v>101.9</v>
      </c>
      <c r="P259" s="35">
        <v>500</v>
      </c>
    </row>
    <row r="260" spans="1:16" x14ac:dyDescent="0.25">
      <c r="A260" s="37" t="s">
        <v>371</v>
      </c>
      <c r="B260" s="37"/>
      <c r="C260" s="40" t="s">
        <v>32</v>
      </c>
      <c r="D260" s="39">
        <v>45483</v>
      </c>
      <c r="E260" s="39">
        <v>45848</v>
      </c>
      <c r="F260" s="37" t="s">
        <v>1263</v>
      </c>
      <c r="G260" s="37" t="s">
        <v>61</v>
      </c>
      <c r="H260" s="41">
        <v>12320</v>
      </c>
      <c r="I260" s="42">
        <v>10190</v>
      </c>
      <c r="J260" s="37" t="s">
        <v>1960</v>
      </c>
      <c r="K260" s="39">
        <v>45483</v>
      </c>
      <c r="L260" s="33" t="s">
        <v>58</v>
      </c>
      <c r="M260" s="41">
        <v>352000</v>
      </c>
      <c r="N260" s="34">
        <f t="shared" si="8"/>
        <v>1630.4</v>
      </c>
      <c r="O260" s="36">
        <f t="shared" si="9"/>
        <v>101.9</v>
      </c>
      <c r="P260" s="35">
        <v>500</v>
      </c>
    </row>
    <row r="261" spans="1:16" x14ac:dyDescent="0.25">
      <c r="A261" s="37" t="s">
        <v>372</v>
      </c>
      <c r="B261" s="37"/>
      <c r="C261" s="40" t="s">
        <v>33</v>
      </c>
      <c r="D261" s="39">
        <v>45483</v>
      </c>
      <c r="E261" s="39">
        <v>45848</v>
      </c>
      <c r="F261" s="37" t="s">
        <v>99</v>
      </c>
      <c r="G261" s="37" t="s">
        <v>63</v>
      </c>
      <c r="H261" s="41">
        <v>19145</v>
      </c>
      <c r="I261" s="42">
        <v>16073</v>
      </c>
      <c r="J261" s="37" t="s">
        <v>1961</v>
      </c>
      <c r="K261" s="39">
        <v>45483</v>
      </c>
      <c r="L261" s="33" t="s">
        <v>58</v>
      </c>
      <c r="M261" s="41">
        <v>547000</v>
      </c>
      <c r="N261" s="34">
        <f t="shared" si="8"/>
        <v>2571.6799999999998</v>
      </c>
      <c r="O261" s="36">
        <f t="shared" si="9"/>
        <v>160.72999999999999</v>
      </c>
      <c r="P261" s="35">
        <v>500</v>
      </c>
    </row>
    <row r="262" spans="1:16" x14ac:dyDescent="0.25">
      <c r="A262" s="37" t="s">
        <v>373</v>
      </c>
      <c r="B262" s="37"/>
      <c r="C262" s="40" t="s">
        <v>33</v>
      </c>
      <c r="D262" s="39">
        <v>45849</v>
      </c>
      <c r="E262" s="39">
        <v>46214</v>
      </c>
      <c r="F262" s="37" t="s">
        <v>99</v>
      </c>
      <c r="G262" s="37" t="s">
        <v>63</v>
      </c>
      <c r="H262" s="41">
        <v>19145</v>
      </c>
      <c r="I262" s="42">
        <v>16073</v>
      </c>
      <c r="J262" s="37" t="s">
        <v>1961</v>
      </c>
      <c r="K262" s="39">
        <v>45483</v>
      </c>
      <c r="L262" s="33" t="s">
        <v>58</v>
      </c>
      <c r="M262" s="41">
        <v>547000</v>
      </c>
      <c r="N262" s="34">
        <f t="shared" si="8"/>
        <v>2571.6799999999998</v>
      </c>
      <c r="O262" s="36">
        <f t="shared" si="9"/>
        <v>160.72999999999999</v>
      </c>
      <c r="P262" s="35">
        <v>500</v>
      </c>
    </row>
    <row r="263" spans="1:16" x14ac:dyDescent="0.25">
      <c r="A263" s="37" t="s">
        <v>374</v>
      </c>
      <c r="B263" s="37"/>
      <c r="C263" s="40" t="s">
        <v>32</v>
      </c>
      <c r="D263" s="39">
        <v>45849</v>
      </c>
      <c r="E263" s="39">
        <v>46214</v>
      </c>
      <c r="F263" s="37" t="s">
        <v>1263</v>
      </c>
      <c r="G263" s="37" t="s">
        <v>61</v>
      </c>
      <c r="H263" s="41">
        <v>12320</v>
      </c>
      <c r="I263" s="42">
        <v>10190</v>
      </c>
      <c r="J263" s="37" t="s">
        <v>1960</v>
      </c>
      <c r="K263" s="39">
        <v>45483</v>
      </c>
      <c r="L263" s="33" t="s">
        <v>58</v>
      </c>
      <c r="M263" s="41">
        <v>352000</v>
      </c>
      <c r="N263" s="34">
        <f t="shared" si="8"/>
        <v>1630.4</v>
      </c>
      <c r="O263" s="36">
        <f t="shared" si="9"/>
        <v>101.9</v>
      </c>
      <c r="P263" s="35">
        <v>500</v>
      </c>
    </row>
    <row r="264" spans="1:16" x14ac:dyDescent="0.25">
      <c r="A264" s="37" t="s">
        <v>375</v>
      </c>
      <c r="B264" s="37"/>
      <c r="C264" s="40" t="s">
        <v>36</v>
      </c>
      <c r="D264" s="39">
        <v>45849</v>
      </c>
      <c r="E264" s="39">
        <v>46214</v>
      </c>
      <c r="F264" s="37" t="s">
        <v>1262</v>
      </c>
      <c r="G264" s="37" t="s">
        <v>61</v>
      </c>
      <c r="H264" s="41">
        <v>12320</v>
      </c>
      <c r="I264" s="42">
        <v>10190</v>
      </c>
      <c r="J264" s="37" t="s">
        <v>1959</v>
      </c>
      <c r="K264" s="39">
        <v>45483</v>
      </c>
      <c r="L264" s="33" t="s">
        <v>58</v>
      </c>
      <c r="M264" s="41">
        <v>352000</v>
      </c>
      <c r="N264" s="34">
        <f t="shared" si="8"/>
        <v>1630.4</v>
      </c>
      <c r="O264" s="36">
        <f t="shared" si="9"/>
        <v>101.9</v>
      </c>
      <c r="P264" s="35">
        <v>500</v>
      </c>
    </row>
    <row r="265" spans="1:16" x14ac:dyDescent="0.25">
      <c r="A265" s="37" t="s">
        <v>376</v>
      </c>
      <c r="B265" s="37"/>
      <c r="C265" s="40" t="s">
        <v>35</v>
      </c>
      <c r="D265" s="39">
        <v>45483</v>
      </c>
      <c r="E265" s="39">
        <v>45848</v>
      </c>
      <c r="F265" s="37" t="s">
        <v>1264</v>
      </c>
      <c r="G265" s="37" t="s">
        <v>61</v>
      </c>
      <c r="H265" s="41">
        <v>12320</v>
      </c>
      <c r="I265" s="42">
        <v>10190</v>
      </c>
      <c r="J265" s="37" t="s">
        <v>1962</v>
      </c>
      <c r="K265" s="39">
        <v>45483</v>
      </c>
      <c r="L265" s="33" t="s">
        <v>58</v>
      </c>
      <c r="M265" s="41">
        <v>352000</v>
      </c>
      <c r="N265" s="34">
        <f t="shared" si="8"/>
        <v>1630.4</v>
      </c>
      <c r="O265" s="36">
        <f t="shared" si="9"/>
        <v>101.9</v>
      </c>
      <c r="P265" s="35">
        <v>500</v>
      </c>
    </row>
    <row r="266" spans="1:16" x14ac:dyDescent="0.25">
      <c r="A266" s="37" t="s">
        <v>377</v>
      </c>
      <c r="B266" s="37"/>
      <c r="C266" s="40" t="s">
        <v>53</v>
      </c>
      <c r="D266" s="39">
        <v>45483</v>
      </c>
      <c r="E266" s="39">
        <v>45848</v>
      </c>
      <c r="F266" s="37" t="s">
        <v>1265</v>
      </c>
      <c r="G266" s="37" t="s">
        <v>61</v>
      </c>
      <c r="H266" s="41">
        <v>8800</v>
      </c>
      <c r="I266" s="42">
        <v>7155</v>
      </c>
      <c r="J266" s="37" t="s">
        <v>1886</v>
      </c>
      <c r="K266" s="39">
        <v>45483</v>
      </c>
      <c r="L266" s="33" t="s">
        <v>58</v>
      </c>
      <c r="M266" s="41">
        <v>352000</v>
      </c>
      <c r="N266" s="34">
        <f t="shared" si="8"/>
        <v>1144.8</v>
      </c>
      <c r="O266" s="36">
        <f t="shared" si="9"/>
        <v>71.55</v>
      </c>
      <c r="P266" s="35">
        <v>500</v>
      </c>
    </row>
    <row r="267" spans="1:16" x14ac:dyDescent="0.25">
      <c r="A267" s="37" t="s">
        <v>378</v>
      </c>
      <c r="B267" s="37"/>
      <c r="C267" s="40" t="s">
        <v>32</v>
      </c>
      <c r="D267" s="39">
        <v>45483</v>
      </c>
      <c r="E267" s="39">
        <v>45848</v>
      </c>
      <c r="F267" s="37" t="s">
        <v>1266</v>
      </c>
      <c r="G267" s="37" t="s">
        <v>61</v>
      </c>
      <c r="H267" s="41">
        <v>12320</v>
      </c>
      <c r="I267" s="42">
        <v>10190</v>
      </c>
      <c r="J267" s="37" t="s">
        <v>1964</v>
      </c>
      <c r="K267" s="39">
        <v>45483</v>
      </c>
      <c r="L267" s="33" t="s">
        <v>58</v>
      </c>
      <c r="M267" s="41">
        <v>352000</v>
      </c>
      <c r="N267" s="34">
        <f t="shared" si="8"/>
        <v>1630.4</v>
      </c>
      <c r="O267" s="36">
        <f t="shared" si="9"/>
        <v>101.9</v>
      </c>
      <c r="P267" s="35">
        <v>500</v>
      </c>
    </row>
    <row r="268" spans="1:16" x14ac:dyDescent="0.25">
      <c r="A268" s="37" t="s">
        <v>379</v>
      </c>
      <c r="B268" s="37"/>
      <c r="C268" s="40" t="s">
        <v>32</v>
      </c>
      <c r="D268" s="39">
        <v>45483</v>
      </c>
      <c r="E268" s="39">
        <v>45848</v>
      </c>
      <c r="F268" s="37" t="s">
        <v>1267</v>
      </c>
      <c r="G268" s="37" t="s">
        <v>61</v>
      </c>
      <c r="H268" s="41">
        <v>12320</v>
      </c>
      <c r="I268" s="42">
        <v>10190</v>
      </c>
      <c r="J268" s="37" t="s">
        <v>1957</v>
      </c>
      <c r="K268" s="39">
        <v>45483</v>
      </c>
      <c r="L268" s="33" t="s">
        <v>58</v>
      </c>
      <c r="M268" s="41">
        <v>352000</v>
      </c>
      <c r="N268" s="34">
        <f t="shared" si="8"/>
        <v>1630.4</v>
      </c>
      <c r="O268" s="36">
        <f t="shared" si="9"/>
        <v>101.9</v>
      </c>
      <c r="P268" s="35">
        <v>500</v>
      </c>
    </row>
    <row r="269" spans="1:16" x14ac:dyDescent="0.25">
      <c r="A269" s="37" t="s">
        <v>380</v>
      </c>
      <c r="B269" s="37"/>
      <c r="C269" s="40" t="s">
        <v>53</v>
      </c>
      <c r="D269" s="39">
        <v>45483</v>
      </c>
      <c r="E269" s="39">
        <v>45848</v>
      </c>
      <c r="F269" s="37" t="s">
        <v>1268</v>
      </c>
      <c r="G269" s="37" t="s">
        <v>62</v>
      </c>
      <c r="H269" s="41">
        <v>9550</v>
      </c>
      <c r="I269" s="42">
        <v>7802</v>
      </c>
      <c r="J269" s="37" t="s">
        <v>1965</v>
      </c>
      <c r="K269" s="39">
        <v>45483</v>
      </c>
      <c r="L269" s="33" t="s">
        <v>58</v>
      </c>
      <c r="M269" s="41">
        <v>382000</v>
      </c>
      <c r="N269" s="34">
        <f t="shared" si="8"/>
        <v>1248.32</v>
      </c>
      <c r="O269" s="36">
        <f t="shared" si="9"/>
        <v>78.02</v>
      </c>
      <c r="P269" s="35">
        <v>500</v>
      </c>
    </row>
    <row r="270" spans="1:16" x14ac:dyDescent="0.25">
      <c r="A270" s="37" t="s">
        <v>381</v>
      </c>
      <c r="B270" s="37"/>
      <c r="C270" s="40" t="s">
        <v>53</v>
      </c>
      <c r="D270" s="39">
        <v>45483</v>
      </c>
      <c r="E270" s="39">
        <v>45848</v>
      </c>
      <c r="F270" s="37" t="s">
        <v>1269</v>
      </c>
      <c r="G270" s="37" t="s">
        <v>61</v>
      </c>
      <c r="H270" s="41">
        <v>8800</v>
      </c>
      <c r="I270" s="42">
        <v>7155</v>
      </c>
      <c r="J270" s="37" t="s">
        <v>1966</v>
      </c>
      <c r="K270" s="39">
        <v>45483</v>
      </c>
      <c r="L270" s="33" t="s">
        <v>58</v>
      </c>
      <c r="M270" s="41">
        <v>352000</v>
      </c>
      <c r="N270" s="34">
        <f t="shared" si="8"/>
        <v>1144.8</v>
      </c>
      <c r="O270" s="36">
        <f t="shared" si="9"/>
        <v>71.55</v>
      </c>
      <c r="P270" s="35">
        <v>500</v>
      </c>
    </row>
    <row r="271" spans="1:16" x14ac:dyDescent="0.25">
      <c r="A271" s="37" t="s">
        <v>382</v>
      </c>
      <c r="B271" s="37"/>
      <c r="C271" s="40" t="s">
        <v>32</v>
      </c>
      <c r="D271" s="39">
        <v>45483</v>
      </c>
      <c r="E271" s="39">
        <v>45848</v>
      </c>
      <c r="F271" s="37" t="s">
        <v>1270</v>
      </c>
      <c r="G271" s="37" t="s">
        <v>62</v>
      </c>
      <c r="H271" s="41">
        <v>13370</v>
      </c>
      <c r="I271" s="42">
        <v>11095</v>
      </c>
      <c r="J271" s="37" t="s">
        <v>1967</v>
      </c>
      <c r="K271" s="39">
        <v>45483</v>
      </c>
      <c r="L271" s="33" t="s">
        <v>58</v>
      </c>
      <c r="M271" s="41">
        <v>382000</v>
      </c>
      <c r="N271" s="34">
        <f t="shared" si="8"/>
        <v>1775.2</v>
      </c>
      <c r="O271" s="36">
        <f t="shared" si="9"/>
        <v>110.95</v>
      </c>
      <c r="P271" s="35">
        <v>500</v>
      </c>
    </row>
    <row r="272" spans="1:16" x14ac:dyDescent="0.25">
      <c r="A272" s="37" t="s">
        <v>383</v>
      </c>
      <c r="B272" s="37"/>
      <c r="C272" s="40" t="s">
        <v>32</v>
      </c>
      <c r="D272" s="39">
        <v>45849</v>
      </c>
      <c r="E272" s="39">
        <v>46214</v>
      </c>
      <c r="F272" s="37" t="s">
        <v>1270</v>
      </c>
      <c r="G272" s="37" t="s">
        <v>62</v>
      </c>
      <c r="H272" s="41">
        <v>13370</v>
      </c>
      <c r="I272" s="42">
        <v>11095</v>
      </c>
      <c r="J272" s="37" t="s">
        <v>1967</v>
      </c>
      <c r="K272" s="39">
        <v>45483</v>
      </c>
      <c r="L272" s="33" t="s">
        <v>58</v>
      </c>
      <c r="M272" s="41">
        <v>382000</v>
      </c>
      <c r="N272" s="34">
        <f t="shared" si="8"/>
        <v>1775.2</v>
      </c>
      <c r="O272" s="36">
        <f t="shared" si="9"/>
        <v>110.95</v>
      </c>
      <c r="P272" s="35">
        <v>500</v>
      </c>
    </row>
    <row r="273" spans="1:16" x14ac:dyDescent="0.25">
      <c r="A273" s="37" t="s">
        <v>384</v>
      </c>
      <c r="B273" s="37"/>
      <c r="C273" s="40" t="s">
        <v>53</v>
      </c>
      <c r="D273" s="39">
        <v>45483</v>
      </c>
      <c r="E273" s="39">
        <v>45848</v>
      </c>
      <c r="F273" s="37" t="s">
        <v>1271</v>
      </c>
      <c r="G273" s="37" t="s">
        <v>61</v>
      </c>
      <c r="H273" s="41">
        <v>8800</v>
      </c>
      <c r="I273" s="42">
        <v>7155</v>
      </c>
      <c r="J273" s="37" t="s">
        <v>1968</v>
      </c>
      <c r="K273" s="39">
        <v>45483</v>
      </c>
      <c r="L273" s="33" t="s">
        <v>58</v>
      </c>
      <c r="M273" s="41">
        <v>352000</v>
      </c>
      <c r="N273" s="34">
        <f t="shared" si="8"/>
        <v>1144.8</v>
      </c>
      <c r="O273" s="36">
        <f t="shared" si="9"/>
        <v>71.55</v>
      </c>
      <c r="P273" s="35">
        <v>500</v>
      </c>
    </row>
    <row r="274" spans="1:16" x14ac:dyDescent="0.25">
      <c r="A274" s="37" t="s">
        <v>385</v>
      </c>
      <c r="B274" s="37"/>
      <c r="C274" s="40" t="s">
        <v>32</v>
      </c>
      <c r="D274" s="39">
        <v>45483</v>
      </c>
      <c r="E274" s="39">
        <v>45848</v>
      </c>
      <c r="F274" s="37" t="s">
        <v>1272</v>
      </c>
      <c r="G274" s="37" t="s">
        <v>62</v>
      </c>
      <c r="H274" s="41">
        <v>13370</v>
      </c>
      <c r="I274" s="42">
        <v>11095</v>
      </c>
      <c r="J274" s="37" t="s">
        <v>1969</v>
      </c>
      <c r="K274" s="39">
        <v>45483</v>
      </c>
      <c r="L274" s="33" t="s">
        <v>58</v>
      </c>
      <c r="M274" s="41">
        <v>382000</v>
      </c>
      <c r="N274" s="34">
        <f t="shared" si="8"/>
        <v>1775.2</v>
      </c>
      <c r="O274" s="36">
        <f t="shared" si="9"/>
        <v>110.95</v>
      </c>
      <c r="P274" s="35">
        <v>500</v>
      </c>
    </row>
    <row r="275" spans="1:16" x14ac:dyDescent="0.25">
      <c r="A275" s="37" t="s">
        <v>386</v>
      </c>
      <c r="B275" s="37"/>
      <c r="C275" s="40" t="s">
        <v>32</v>
      </c>
      <c r="D275" s="39">
        <v>45849</v>
      </c>
      <c r="E275" s="39">
        <v>46214</v>
      </c>
      <c r="F275" s="37" t="s">
        <v>1272</v>
      </c>
      <c r="G275" s="37" t="s">
        <v>62</v>
      </c>
      <c r="H275" s="41">
        <v>13370</v>
      </c>
      <c r="I275" s="42">
        <v>11095</v>
      </c>
      <c r="J275" s="37" t="s">
        <v>1969</v>
      </c>
      <c r="K275" s="39">
        <v>45483</v>
      </c>
      <c r="L275" s="33" t="s">
        <v>58</v>
      </c>
      <c r="M275" s="41">
        <v>382000</v>
      </c>
      <c r="N275" s="34">
        <f t="shared" si="8"/>
        <v>1775.2</v>
      </c>
      <c r="O275" s="36">
        <f t="shared" si="9"/>
        <v>110.95</v>
      </c>
      <c r="P275" s="35">
        <v>500</v>
      </c>
    </row>
    <row r="276" spans="1:16" x14ac:dyDescent="0.25">
      <c r="A276" s="37" t="s">
        <v>387</v>
      </c>
      <c r="B276" s="37"/>
      <c r="C276" s="40" t="s">
        <v>32</v>
      </c>
      <c r="D276" s="39">
        <v>45483</v>
      </c>
      <c r="E276" s="39">
        <v>45848</v>
      </c>
      <c r="F276" s="37" t="s">
        <v>1273</v>
      </c>
      <c r="G276" s="37" t="s">
        <v>62</v>
      </c>
      <c r="H276" s="41">
        <v>13370</v>
      </c>
      <c r="I276" s="42">
        <v>11095</v>
      </c>
      <c r="J276" s="37" t="s">
        <v>1970</v>
      </c>
      <c r="K276" s="39">
        <v>45483</v>
      </c>
      <c r="L276" s="33" t="s">
        <v>58</v>
      </c>
      <c r="M276" s="41">
        <v>382000</v>
      </c>
      <c r="N276" s="34">
        <f t="shared" si="8"/>
        <v>1775.2</v>
      </c>
      <c r="O276" s="36">
        <f t="shared" si="9"/>
        <v>110.95</v>
      </c>
      <c r="P276" s="35">
        <v>500</v>
      </c>
    </row>
    <row r="277" spans="1:16" x14ac:dyDescent="0.25">
      <c r="A277" s="37" t="s">
        <v>388</v>
      </c>
      <c r="B277" s="37"/>
      <c r="C277" s="40" t="s">
        <v>32</v>
      </c>
      <c r="D277" s="39">
        <v>45849</v>
      </c>
      <c r="E277" s="39">
        <v>46214</v>
      </c>
      <c r="F277" s="37" t="s">
        <v>1273</v>
      </c>
      <c r="G277" s="37" t="s">
        <v>62</v>
      </c>
      <c r="H277" s="41">
        <v>13370</v>
      </c>
      <c r="I277" s="42">
        <v>11095</v>
      </c>
      <c r="J277" s="37" t="s">
        <v>1970</v>
      </c>
      <c r="K277" s="39">
        <v>45483</v>
      </c>
      <c r="L277" s="33" t="s">
        <v>58</v>
      </c>
      <c r="M277" s="41">
        <v>382000</v>
      </c>
      <c r="N277" s="34">
        <f t="shared" si="8"/>
        <v>1775.2</v>
      </c>
      <c r="O277" s="36">
        <f t="shared" si="9"/>
        <v>110.95</v>
      </c>
      <c r="P277" s="35">
        <v>500</v>
      </c>
    </row>
    <row r="278" spans="1:16" x14ac:dyDescent="0.25">
      <c r="A278" s="37" t="s">
        <v>389</v>
      </c>
      <c r="B278" s="37"/>
      <c r="C278" s="40" t="s">
        <v>87</v>
      </c>
      <c r="D278" s="39">
        <v>45484</v>
      </c>
      <c r="E278" s="39">
        <v>45849</v>
      </c>
      <c r="F278" s="37" t="s">
        <v>1274</v>
      </c>
      <c r="G278" s="37" t="s">
        <v>61</v>
      </c>
      <c r="H278" s="41">
        <v>8800</v>
      </c>
      <c r="I278" s="42">
        <v>7155</v>
      </c>
      <c r="J278" s="37" t="s">
        <v>1971</v>
      </c>
      <c r="K278" s="39">
        <v>45484</v>
      </c>
      <c r="L278" s="33" t="s">
        <v>58</v>
      </c>
      <c r="M278" s="41">
        <v>352001</v>
      </c>
      <c r="N278" s="34">
        <f t="shared" si="8"/>
        <v>1144.8</v>
      </c>
      <c r="O278" s="36">
        <f t="shared" si="9"/>
        <v>71.55</v>
      </c>
      <c r="P278" s="35">
        <v>500</v>
      </c>
    </row>
    <row r="279" spans="1:16" x14ac:dyDescent="0.25">
      <c r="A279" s="37" t="s">
        <v>390</v>
      </c>
      <c r="B279" s="37"/>
      <c r="C279" s="40" t="s">
        <v>87</v>
      </c>
      <c r="D279" s="39">
        <v>45484</v>
      </c>
      <c r="E279" s="39">
        <v>45849</v>
      </c>
      <c r="F279" s="37" t="s">
        <v>1275</v>
      </c>
      <c r="G279" s="37" t="s">
        <v>61</v>
      </c>
      <c r="H279" s="41">
        <v>8800</v>
      </c>
      <c r="I279" s="42">
        <v>7155</v>
      </c>
      <c r="J279" s="37" t="s">
        <v>1972</v>
      </c>
      <c r="K279" s="39">
        <v>45484</v>
      </c>
      <c r="L279" s="33" t="s">
        <v>58</v>
      </c>
      <c r="M279" s="41">
        <v>352001</v>
      </c>
      <c r="N279" s="34">
        <f t="shared" si="8"/>
        <v>1144.8</v>
      </c>
      <c r="O279" s="36">
        <f t="shared" si="9"/>
        <v>71.55</v>
      </c>
      <c r="P279" s="35">
        <v>500</v>
      </c>
    </row>
    <row r="280" spans="1:16" x14ac:dyDescent="0.25">
      <c r="A280" s="37" t="s">
        <v>391</v>
      </c>
      <c r="B280" s="37"/>
      <c r="C280" s="40" t="s">
        <v>87</v>
      </c>
      <c r="D280" s="39">
        <v>45484</v>
      </c>
      <c r="E280" s="39">
        <v>45849</v>
      </c>
      <c r="F280" s="37" t="s">
        <v>1276</v>
      </c>
      <c r="G280" s="37" t="s">
        <v>61</v>
      </c>
      <c r="H280" s="41">
        <v>8800</v>
      </c>
      <c r="I280" s="42">
        <v>7155</v>
      </c>
      <c r="J280" s="37" t="s">
        <v>1918</v>
      </c>
      <c r="K280" s="39">
        <v>45484</v>
      </c>
      <c r="L280" s="33" t="s">
        <v>58</v>
      </c>
      <c r="M280" s="41">
        <v>352001</v>
      </c>
      <c r="N280" s="34">
        <f t="shared" si="8"/>
        <v>1144.8</v>
      </c>
      <c r="O280" s="36">
        <f t="shared" si="9"/>
        <v>71.55</v>
      </c>
      <c r="P280" s="35">
        <v>500</v>
      </c>
    </row>
    <row r="281" spans="1:16" x14ac:dyDescent="0.25">
      <c r="A281" s="37" t="s">
        <v>392</v>
      </c>
      <c r="B281" s="37"/>
      <c r="C281" s="40" t="s">
        <v>50</v>
      </c>
      <c r="D281" s="39">
        <v>45484</v>
      </c>
      <c r="E281" s="39">
        <v>45849</v>
      </c>
      <c r="F281" s="37" t="s">
        <v>1277</v>
      </c>
      <c r="G281" s="37" t="s">
        <v>61</v>
      </c>
      <c r="H281" s="41">
        <v>8800</v>
      </c>
      <c r="I281" s="42">
        <v>7155</v>
      </c>
      <c r="J281" s="37" t="s">
        <v>1973</v>
      </c>
      <c r="K281" s="39">
        <v>45484</v>
      </c>
      <c r="L281" s="33" t="s">
        <v>58</v>
      </c>
      <c r="M281" s="41">
        <v>352001</v>
      </c>
      <c r="N281" s="34">
        <f t="shared" si="8"/>
        <v>1144.8</v>
      </c>
      <c r="O281" s="36">
        <f t="shared" si="9"/>
        <v>71.55</v>
      </c>
      <c r="P281" s="35">
        <v>500</v>
      </c>
    </row>
    <row r="282" spans="1:16" x14ac:dyDescent="0.25">
      <c r="A282" s="37" t="s">
        <v>393</v>
      </c>
      <c r="B282" s="37"/>
      <c r="C282" s="40" t="s">
        <v>53</v>
      </c>
      <c r="D282" s="39">
        <v>45484</v>
      </c>
      <c r="E282" s="39">
        <v>45849</v>
      </c>
      <c r="F282" s="37" t="s">
        <v>1278</v>
      </c>
      <c r="G282" s="37" t="s">
        <v>63</v>
      </c>
      <c r="H282" s="41">
        <v>13675</v>
      </c>
      <c r="I282" s="42">
        <v>11358</v>
      </c>
      <c r="J282" s="37" t="s">
        <v>1974</v>
      </c>
      <c r="K282" s="39">
        <v>45484</v>
      </c>
      <c r="L282" s="33" t="s">
        <v>58</v>
      </c>
      <c r="M282" s="41">
        <v>547000</v>
      </c>
      <c r="N282" s="34">
        <f t="shared" si="8"/>
        <v>1817.28</v>
      </c>
      <c r="O282" s="36">
        <f t="shared" si="9"/>
        <v>113.58</v>
      </c>
      <c r="P282" s="35">
        <v>500</v>
      </c>
    </row>
    <row r="283" spans="1:16" x14ac:dyDescent="0.25">
      <c r="A283" s="37" t="s">
        <v>394</v>
      </c>
      <c r="B283" s="37"/>
      <c r="C283" s="40" t="s">
        <v>66</v>
      </c>
      <c r="D283" s="39">
        <v>45484</v>
      </c>
      <c r="E283" s="39">
        <v>45849</v>
      </c>
      <c r="F283" s="37" t="s">
        <v>1279</v>
      </c>
      <c r="G283" s="37" t="s">
        <v>61</v>
      </c>
      <c r="H283" s="41">
        <v>8800</v>
      </c>
      <c r="I283" s="42">
        <v>7155</v>
      </c>
      <c r="J283" s="37" t="s">
        <v>1976</v>
      </c>
      <c r="K283" s="39">
        <v>45484</v>
      </c>
      <c r="L283" s="33" t="s">
        <v>58</v>
      </c>
      <c r="M283" s="41">
        <v>352001</v>
      </c>
      <c r="N283" s="34">
        <f t="shared" si="8"/>
        <v>1144.8</v>
      </c>
      <c r="O283" s="36">
        <f t="shared" si="9"/>
        <v>71.55</v>
      </c>
      <c r="P283" s="35">
        <v>500</v>
      </c>
    </row>
    <row r="284" spans="1:16" x14ac:dyDescent="0.25">
      <c r="A284" s="37" t="s">
        <v>395</v>
      </c>
      <c r="B284" s="37"/>
      <c r="C284" s="40" t="s">
        <v>32</v>
      </c>
      <c r="D284" s="39">
        <v>45484</v>
      </c>
      <c r="E284" s="39">
        <v>45849</v>
      </c>
      <c r="F284" s="37" t="s">
        <v>98</v>
      </c>
      <c r="G284" s="37" t="s">
        <v>61</v>
      </c>
      <c r="H284" s="41">
        <v>12320</v>
      </c>
      <c r="I284" s="42">
        <v>10190</v>
      </c>
      <c r="J284" s="37" t="s">
        <v>1977</v>
      </c>
      <c r="K284" s="39">
        <v>45484</v>
      </c>
      <c r="L284" s="33" t="s">
        <v>58</v>
      </c>
      <c r="M284" s="41">
        <v>352000</v>
      </c>
      <c r="N284" s="34">
        <f t="shared" si="8"/>
        <v>1630.4</v>
      </c>
      <c r="O284" s="36">
        <f t="shared" si="9"/>
        <v>101.9</v>
      </c>
      <c r="P284" s="35">
        <v>500</v>
      </c>
    </row>
    <row r="285" spans="1:16" x14ac:dyDescent="0.25">
      <c r="A285" s="37" t="s">
        <v>396</v>
      </c>
      <c r="B285" s="37"/>
      <c r="C285" s="40" t="s">
        <v>32</v>
      </c>
      <c r="D285" s="39">
        <v>45850</v>
      </c>
      <c r="E285" s="39">
        <v>46215</v>
      </c>
      <c r="F285" s="37" t="s">
        <v>98</v>
      </c>
      <c r="G285" s="37" t="s">
        <v>61</v>
      </c>
      <c r="H285" s="41">
        <v>12320</v>
      </c>
      <c r="I285" s="42">
        <v>10190</v>
      </c>
      <c r="J285" s="37" t="s">
        <v>1977</v>
      </c>
      <c r="K285" s="39">
        <v>45484</v>
      </c>
      <c r="L285" s="33" t="s">
        <v>58</v>
      </c>
      <c r="M285" s="41">
        <v>352000</v>
      </c>
      <c r="N285" s="34">
        <f t="shared" si="8"/>
        <v>1630.4</v>
      </c>
      <c r="O285" s="36">
        <f t="shared" si="9"/>
        <v>101.9</v>
      </c>
      <c r="P285" s="35">
        <v>500</v>
      </c>
    </row>
    <row r="286" spans="1:16" x14ac:dyDescent="0.25">
      <c r="A286" s="37" t="s">
        <v>397</v>
      </c>
      <c r="B286" s="37"/>
      <c r="C286" s="40" t="s">
        <v>31</v>
      </c>
      <c r="D286" s="39">
        <v>45484</v>
      </c>
      <c r="E286" s="39">
        <v>45849</v>
      </c>
      <c r="F286" s="37" t="s">
        <v>1280</v>
      </c>
      <c r="G286" s="37" t="s">
        <v>61</v>
      </c>
      <c r="H286" s="41">
        <v>12320</v>
      </c>
      <c r="I286" s="42">
        <v>10190</v>
      </c>
      <c r="J286" s="37" t="s">
        <v>1978</v>
      </c>
      <c r="K286" s="39">
        <v>45484</v>
      </c>
      <c r="L286" s="33" t="s">
        <v>58</v>
      </c>
      <c r="M286" s="41">
        <v>352000</v>
      </c>
      <c r="N286" s="34">
        <f t="shared" si="8"/>
        <v>1630.4</v>
      </c>
      <c r="O286" s="36">
        <f t="shared" si="9"/>
        <v>101.9</v>
      </c>
      <c r="P286" s="35">
        <v>500</v>
      </c>
    </row>
    <row r="287" spans="1:16" x14ac:dyDescent="0.25">
      <c r="A287" s="37" t="s">
        <v>398</v>
      </c>
      <c r="B287" s="37"/>
      <c r="C287" s="40" t="s">
        <v>66</v>
      </c>
      <c r="D287" s="39">
        <v>45484</v>
      </c>
      <c r="E287" s="39">
        <v>45849</v>
      </c>
      <c r="F287" s="37" t="s">
        <v>1281</v>
      </c>
      <c r="G287" s="37" t="s">
        <v>61</v>
      </c>
      <c r="H287" s="41">
        <v>8800</v>
      </c>
      <c r="I287" s="42">
        <v>7155</v>
      </c>
      <c r="J287" s="37" t="s">
        <v>1979</v>
      </c>
      <c r="K287" s="39">
        <v>45484</v>
      </c>
      <c r="L287" s="33" t="s">
        <v>58</v>
      </c>
      <c r="M287" s="41">
        <v>352001</v>
      </c>
      <c r="N287" s="34">
        <f t="shared" si="8"/>
        <v>1144.8</v>
      </c>
      <c r="O287" s="36">
        <f t="shared" si="9"/>
        <v>71.55</v>
      </c>
      <c r="P287" s="35">
        <v>500</v>
      </c>
    </row>
    <row r="288" spans="1:16" x14ac:dyDescent="0.25">
      <c r="A288" s="37" t="s">
        <v>399</v>
      </c>
      <c r="B288" s="37"/>
      <c r="C288" s="40" t="s">
        <v>32</v>
      </c>
      <c r="D288" s="39">
        <v>45484</v>
      </c>
      <c r="E288" s="39">
        <v>45849</v>
      </c>
      <c r="F288" s="37" t="s">
        <v>1282</v>
      </c>
      <c r="G288" s="37" t="s">
        <v>63</v>
      </c>
      <c r="H288" s="41">
        <v>19145</v>
      </c>
      <c r="I288" s="42">
        <v>16073</v>
      </c>
      <c r="J288" s="37" t="s">
        <v>1980</v>
      </c>
      <c r="K288" s="39">
        <v>45484</v>
      </c>
      <c r="L288" s="33" t="s">
        <v>58</v>
      </c>
      <c r="M288" s="41">
        <v>547000</v>
      </c>
      <c r="N288" s="34">
        <f t="shared" si="8"/>
        <v>2571.6799999999998</v>
      </c>
      <c r="O288" s="36">
        <f t="shared" si="9"/>
        <v>160.72999999999999</v>
      </c>
      <c r="P288" s="35">
        <v>500</v>
      </c>
    </row>
    <row r="289" spans="1:16" x14ac:dyDescent="0.25">
      <c r="A289" s="37" t="s">
        <v>400</v>
      </c>
      <c r="B289" s="37"/>
      <c r="C289" s="40" t="s">
        <v>1072</v>
      </c>
      <c r="D289" s="39">
        <v>45484</v>
      </c>
      <c r="E289" s="39">
        <v>45849</v>
      </c>
      <c r="F289" s="37" t="s">
        <v>57</v>
      </c>
      <c r="G289" s="37" t="s">
        <v>62</v>
      </c>
      <c r="H289" s="41">
        <v>9550</v>
      </c>
      <c r="I289" s="42">
        <v>7802</v>
      </c>
      <c r="J289" s="37" t="s">
        <v>1981</v>
      </c>
      <c r="K289" s="39">
        <v>45484</v>
      </c>
      <c r="L289" s="33" t="s">
        <v>58</v>
      </c>
      <c r="M289" s="41">
        <v>382000</v>
      </c>
      <c r="N289" s="34">
        <f t="shared" si="8"/>
        <v>1248.32</v>
      </c>
      <c r="O289" s="36">
        <f t="shared" si="9"/>
        <v>78.02</v>
      </c>
      <c r="P289" s="35">
        <v>500</v>
      </c>
    </row>
    <row r="290" spans="1:16" x14ac:dyDescent="0.25">
      <c r="A290" s="37" t="s">
        <v>401</v>
      </c>
      <c r="B290" s="37"/>
      <c r="C290" s="40" t="s">
        <v>50</v>
      </c>
      <c r="D290" s="39">
        <v>45484</v>
      </c>
      <c r="E290" s="39">
        <v>45849</v>
      </c>
      <c r="F290" s="37" t="s">
        <v>1232</v>
      </c>
      <c r="G290" s="37" t="s">
        <v>63</v>
      </c>
      <c r="H290" s="41">
        <v>13675</v>
      </c>
      <c r="I290" s="42">
        <v>11358</v>
      </c>
      <c r="J290" s="37" t="s">
        <v>1851</v>
      </c>
      <c r="K290" s="39">
        <v>45484</v>
      </c>
      <c r="L290" s="33" t="s">
        <v>58</v>
      </c>
      <c r="M290" s="41">
        <v>547001</v>
      </c>
      <c r="N290" s="34">
        <f t="shared" si="8"/>
        <v>1817.28</v>
      </c>
      <c r="O290" s="36">
        <f t="shared" si="9"/>
        <v>113.58</v>
      </c>
      <c r="P290" s="35">
        <v>500</v>
      </c>
    </row>
    <row r="291" spans="1:16" x14ac:dyDescent="0.25">
      <c r="A291" s="37" t="s">
        <v>402</v>
      </c>
      <c r="B291" s="37"/>
      <c r="C291" s="40" t="s">
        <v>1072</v>
      </c>
      <c r="D291" s="39">
        <v>45484</v>
      </c>
      <c r="E291" s="39">
        <v>45849</v>
      </c>
      <c r="F291" s="37" t="s">
        <v>1283</v>
      </c>
      <c r="G291" s="37" t="s">
        <v>61</v>
      </c>
      <c r="H291" s="41">
        <v>8800</v>
      </c>
      <c r="I291" s="42">
        <v>7155</v>
      </c>
      <c r="J291" s="37" t="s">
        <v>1982</v>
      </c>
      <c r="K291" s="39">
        <v>45484</v>
      </c>
      <c r="L291" s="33" t="s">
        <v>58</v>
      </c>
      <c r="M291" s="41">
        <v>352000</v>
      </c>
      <c r="N291" s="34">
        <f t="shared" si="8"/>
        <v>1144.8</v>
      </c>
      <c r="O291" s="36">
        <f t="shared" si="9"/>
        <v>71.55</v>
      </c>
      <c r="P291" s="35">
        <v>500</v>
      </c>
    </row>
    <row r="292" spans="1:16" x14ac:dyDescent="0.25">
      <c r="A292" s="37" t="s">
        <v>403</v>
      </c>
      <c r="B292" s="37"/>
      <c r="C292" s="40" t="s">
        <v>1072</v>
      </c>
      <c r="D292" s="39">
        <v>45484</v>
      </c>
      <c r="E292" s="39">
        <v>45849</v>
      </c>
      <c r="F292" s="37" t="s">
        <v>1284</v>
      </c>
      <c r="G292" s="37" t="s">
        <v>61</v>
      </c>
      <c r="H292" s="41">
        <v>8800</v>
      </c>
      <c r="I292" s="42">
        <v>7155</v>
      </c>
      <c r="J292" s="37" t="s">
        <v>1983</v>
      </c>
      <c r="K292" s="39">
        <v>45484</v>
      </c>
      <c r="L292" s="33" t="s">
        <v>58</v>
      </c>
      <c r="M292" s="41">
        <v>352000</v>
      </c>
      <c r="N292" s="34">
        <f t="shared" si="8"/>
        <v>1144.8</v>
      </c>
      <c r="O292" s="36">
        <f t="shared" si="9"/>
        <v>71.55</v>
      </c>
      <c r="P292" s="35">
        <v>500</v>
      </c>
    </row>
    <row r="293" spans="1:16" x14ac:dyDescent="0.25">
      <c r="A293" s="37" t="s">
        <v>404</v>
      </c>
      <c r="B293" s="37"/>
      <c r="C293" s="40" t="s">
        <v>50</v>
      </c>
      <c r="D293" s="39">
        <v>45484</v>
      </c>
      <c r="E293" s="39">
        <v>45849</v>
      </c>
      <c r="F293" s="37" t="s">
        <v>1285</v>
      </c>
      <c r="G293" s="37" t="s">
        <v>62</v>
      </c>
      <c r="H293" s="41">
        <v>9550</v>
      </c>
      <c r="I293" s="42">
        <v>7802</v>
      </c>
      <c r="J293" s="37" t="s">
        <v>1984</v>
      </c>
      <c r="K293" s="39">
        <v>45484</v>
      </c>
      <c r="L293" s="33" t="s">
        <v>58</v>
      </c>
      <c r="M293" s="41">
        <v>382001</v>
      </c>
      <c r="N293" s="34">
        <f t="shared" si="8"/>
        <v>1248.32</v>
      </c>
      <c r="O293" s="36">
        <f t="shared" si="9"/>
        <v>78.02</v>
      </c>
      <c r="P293" s="35">
        <v>500</v>
      </c>
    </row>
    <row r="294" spans="1:16" x14ac:dyDescent="0.25">
      <c r="A294" s="37" t="s">
        <v>405</v>
      </c>
      <c r="B294" s="37"/>
      <c r="C294" s="40" t="s">
        <v>1072</v>
      </c>
      <c r="D294" s="39">
        <v>45484</v>
      </c>
      <c r="E294" s="39">
        <v>45849</v>
      </c>
      <c r="F294" s="37" t="s">
        <v>1286</v>
      </c>
      <c r="G294" s="37" t="s">
        <v>64</v>
      </c>
      <c r="H294" s="41">
        <v>12475</v>
      </c>
      <c r="I294" s="42">
        <v>10323</v>
      </c>
      <c r="J294" s="37" t="s">
        <v>1985</v>
      </c>
      <c r="K294" s="39">
        <v>45484</v>
      </c>
      <c r="L294" s="33" t="s">
        <v>58</v>
      </c>
      <c r="M294" s="41">
        <v>499000</v>
      </c>
      <c r="N294" s="34">
        <f t="shared" si="8"/>
        <v>1651.68</v>
      </c>
      <c r="O294" s="36">
        <f t="shared" si="9"/>
        <v>103.23</v>
      </c>
      <c r="P294" s="35">
        <v>500</v>
      </c>
    </row>
    <row r="295" spans="1:16" x14ac:dyDescent="0.25">
      <c r="A295" s="37" t="s">
        <v>406</v>
      </c>
      <c r="B295" s="37"/>
      <c r="C295" s="40" t="s">
        <v>31</v>
      </c>
      <c r="D295" s="39">
        <v>45484</v>
      </c>
      <c r="E295" s="39">
        <v>45849</v>
      </c>
      <c r="F295" s="37" t="s">
        <v>1287</v>
      </c>
      <c r="G295" s="37" t="s">
        <v>61</v>
      </c>
      <c r="H295" s="41">
        <v>12320</v>
      </c>
      <c r="I295" s="42">
        <v>10190</v>
      </c>
      <c r="J295" s="37" t="s">
        <v>1986</v>
      </c>
      <c r="K295" s="39">
        <v>45484</v>
      </c>
      <c r="L295" s="33" t="s">
        <v>58</v>
      </c>
      <c r="M295" s="41">
        <v>352000</v>
      </c>
      <c r="N295" s="34">
        <f t="shared" si="8"/>
        <v>1630.4</v>
      </c>
      <c r="O295" s="36">
        <f t="shared" si="9"/>
        <v>101.9</v>
      </c>
      <c r="P295" s="35">
        <v>500</v>
      </c>
    </row>
    <row r="296" spans="1:16" x14ac:dyDescent="0.25">
      <c r="A296" s="37" t="s">
        <v>407</v>
      </c>
      <c r="B296" s="37"/>
      <c r="C296" s="40" t="s">
        <v>31</v>
      </c>
      <c r="D296" s="39">
        <v>45850</v>
      </c>
      <c r="E296" s="39">
        <v>46215</v>
      </c>
      <c r="F296" s="37" t="s">
        <v>1287</v>
      </c>
      <c r="G296" s="37" t="s">
        <v>61</v>
      </c>
      <c r="H296" s="41">
        <v>12320</v>
      </c>
      <c r="I296" s="42">
        <v>10190</v>
      </c>
      <c r="J296" s="37" t="s">
        <v>1986</v>
      </c>
      <c r="K296" s="39">
        <v>45484</v>
      </c>
      <c r="L296" s="33" t="s">
        <v>58</v>
      </c>
      <c r="M296" s="41">
        <v>352000</v>
      </c>
      <c r="N296" s="34">
        <f t="shared" si="8"/>
        <v>1630.4</v>
      </c>
      <c r="O296" s="36">
        <f t="shared" si="9"/>
        <v>101.9</v>
      </c>
      <c r="P296" s="35">
        <v>500</v>
      </c>
    </row>
    <row r="297" spans="1:16" x14ac:dyDescent="0.25">
      <c r="A297" s="37" t="s">
        <v>408</v>
      </c>
      <c r="B297" s="37"/>
      <c r="C297" s="40" t="s">
        <v>31</v>
      </c>
      <c r="D297" s="39">
        <v>45484</v>
      </c>
      <c r="E297" s="39">
        <v>45849</v>
      </c>
      <c r="F297" s="37" t="s">
        <v>1288</v>
      </c>
      <c r="G297" s="37" t="s">
        <v>62</v>
      </c>
      <c r="H297" s="41">
        <v>13370</v>
      </c>
      <c r="I297" s="42">
        <v>11095</v>
      </c>
      <c r="J297" s="37" t="s">
        <v>1988</v>
      </c>
      <c r="K297" s="39">
        <v>45484</v>
      </c>
      <c r="L297" s="33" t="s">
        <v>58</v>
      </c>
      <c r="M297" s="41">
        <v>382000</v>
      </c>
      <c r="N297" s="34">
        <f t="shared" si="8"/>
        <v>1775.2</v>
      </c>
      <c r="O297" s="36">
        <f t="shared" si="9"/>
        <v>110.95</v>
      </c>
      <c r="P297" s="35">
        <v>500</v>
      </c>
    </row>
    <row r="298" spans="1:16" x14ac:dyDescent="0.25">
      <c r="A298" s="37" t="s">
        <v>409</v>
      </c>
      <c r="B298" s="37"/>
      <c r="C298" s="40" t="s">
        <v>32</v>
      </c>
      <c r="D298" s="39">
        <v>45484</v>
      </c>
      <c r="E298" s="39">
        <v>45849</v>
      </c>
      <c r="F298" s="37" t="s">
        <v>1289</v>
      </c>
      <c r="G298" s="37" t="s">
        <v>62</v>
      </c>
      <c r="H298" s="41">
        <v>13370</v>
      </c>
      <c r="I298" s="42">
        <v>11095</v>
      </c>
      <c r="J298" s="37" t="s">
        <v>1989</v>
      </c>
      <c r="K298" s="39">
        <v>45484</v>
      </c>
      <c r="L298" s="33" t="s">
        <v>58</v>
      </c>
      <c r="M298" s="41">
        <v>382000</v>
      </c>
      <c r="N298" s="34">
        <f t="shared" si="8"/>
        <v>1775.2</v>
      </c>
      <c r="O298" s="36">
        <f t="shared" si="9"/>
        <v>110.95</v>
      </c>
      <c r="P298" s="35">
        <v>500</v>
      </c>
    </row>
    <row r="299" spans="1:16" x14ac:dyDescent="0.25">
      <c r="A299" s="37" t="s">
        <v>410</v>
      </c>
      <c r="B299" s="37"/>
      <c r="C299" s="40" t="s">
        <v>1072</v>
      </c>
      <c r="D299" s="39">
        <v>45484</v>
      </c>
      <c r="E299" s="39">
        <v>45849</v>
      </c>
      <c r="F299" s="37" t="s">
        <v>1290</v>
      </c>
      <c r="G299" s="37" t="s">
        <v>64</v>
      </c>
      <c r="H299" s="41">
        <v>12475</v>
      </c>
      <c r="I299" s="42">
        <v>10323</v>
      </c>
      <c r="J299" s="37" t="s">
        <v>1990</v>
      </c>
      <c r="K299" s="39">
        <v>45484</v>
      </c>
      <c r="L299" s="33" t="s">
        <v>58</v>
      </c>
      <c r="M299" s="41">
        <v>499000</v>
      </c>
      <c r="N299" s="34">
        <f t="shared" si="8"/>
        <v>1651.68</v>
      </c>
      <c r="O299" s="36">
        <f t="shared" si="9"/>
        <v>103.23</v>
      </c>
      <c r="P299" s="35">
        <v>500</v>
      </c>
    </row>
    <row r="300" spans="1:16" x14ac:dyDescent="0.25">
      <c r="A300" s="37" t="s">
        <v>411</v>
      </c>
      <c r="B300" s="37"/>
      <c r="C300" s="40" t="s">
        <v>1072</v>
      </c>
      <c r="D300" s="39">
        <v>45484</v>
      </c>
      <c r="E300" s="39">
        <v>45849</v>
      </c>
      <c r="F300" s="37" t="s">
        <v>1291</v>
      </c>
      <c r="G300" s="37" t="s">
        <v>62</v>
      </c>
      <c r="H300" s="41">
        <v>9550</v>
      </c>
      <c r="I300" s="42">
        <v>7802</v>
      </c>
      <c r="J300" s="37" t="s">
        <v>1991</v>
      </c>
      <c r="K300" s="39">
        <v>45484</v>
      </c>
      <c r="L300" s="33" t="s">
        <v>58</v>
      </c>
      <c r="M300" s="41">
        <v>382000</v>
      </c>
      <c r="N300" s="34">
        <f t="shared" si="8"/>
        <v>1248.32</v>
      </c>
      <c r="O300" s="36">
        <f t="shared" si="9"/>
        <v>78.02</v>
      </c>
      <c r="P300" s="35">
        <v>500</v>
      </c>
    </row>
    <row r="301" spans="1:16" x14ac:dyDescent="0.25">
      <c r="A301" s="37" t="s">
        <v>412</v>
      </c>
      <c r="B301" s="37"/>
      <c r="C301" s="40" t="s">
        <v>1072</v>
      </c>
      <c r="D301" s="39">
        <v>45484</v>
      </c>
      <c r="E301" s="39">
        <v>45849</v>
      </c>
      <c r="F301" s="37" t="s">
        <v>1292</v>
      </c>
      <c r="G301" s="37" t="s">
        <v>65</v>
      </c>
      <c r="H301" s="41">
        <v>9550</v>
      </c>
      <c r="I301" s="42">
        <v>7802</v>
      </c>
      <c r="J301" s="37" t="s">
        <v>1992</v>
      </c>
      <c r="K301" s="39">
        <v>45484</v>
      </c>
      <c r="L301" s="33" t="s">
        <v>58</v>
      </c>
      <c r="M301" s="41">
        <v>382000</v>
      </c>
      <c r="N301" s="34">
        <f t="shared" si="8"/>
        <v>1248.32</v>
      </c>
      <c r="O301" s="36">
        <f t="shared" si="9"/>
        <v>78.02</v>
      </c>
      <c r="P301" s="35">
        <v>500</v>
      </c>
    </row>
    <row r="302" spans="1:16" x14ac:dyDescent="0.25">
      <c r="A302" s="37" t="s">
        <v>413</v>
      </c>
      <c r="B302" s="37"/>
      <c r="C302" s="40" t="s">
        <v>31</v>
      </c>
      <c r="D302" s="39">
        <v>45484</v>
      </c>
      <c r="E302" s="39">
        <v>45849</v>
      </c>
      <c r="F302" s="37" t="s">
        <v>1293</v>
      </c>
      <c r="G302" s="37" t="s">
        <v>63</v>
      </c>
      <c r="H302" s="41">
        <v>13615</v>
      </c>
      <c r="I302" s="42">
        <v>11306</v>
      </c>
      <c r="J302" s="37" t="s">
        <v>1993</v>
      </c>
      <c r="K302" s="39">
        <v>45484</v>
      </c>
      <c r="L302" s="33" t="s">
        <v>58</v>
      </c>
      <c r="M302" s="41">
        <v>389000</v>
      </c>
      <c r="N302" s="34">
        <f t="shared" si="8"/>
        <v>1808.96</v>
      </c>
      <c r="O302" s="36">
        <f t="shared" si="9"/>
        <v>113.06</v>
      </c>
      <c r="P302" s="35">
        <v>500</v>
      </c>
    </row>
    <row r="303" spans="1:16" x14ac:dyDescent="0.25">
      <c r="A303" s="37" t="s">
        <v>414</v>
      </c>
      <c r="B303" s="37"/>
      <c r="C303" s="40" t="s">
        <v>1072</v>
      </c>
      <c r="D303" s="39">
        <v>45484</v>
      </c>
      <c r="E303" s="39">
        <v>45849</v>
      </c>
      <c r="F303" s="37" t="s">
        <v>1294</v>
      </c>
      <c r="G303" s="37" t="s">
        <v>62</v>
      </c>
      <c r="H303" s="41">
        <v>9550</v>
      </c>
      <c r="I303" s="42">
        <v>7802</v>
      </c>
      <c r="J303" s="37" t="s">
        <v>1994</v>
      </c>
      <c r="K303" s="39">
        <v>45484</v>
      </c>
      <c r="L303" s="33" t="s">
        <v>58</v>
      </c>
      <c r="M303" s="41">
        <v>382000</v>
      </c>
      <c r="N303" s="34">
        <f t="shared" si="8"/>
        <v>1248.32</v>
      </c>
      <c r="O303" s="36">
        <f t="shared" si="9"/>
        <v>78.02</v>
      </c>
      <c r="P303" s="35">
        <v>500</v>
      </c>
    </row>
    <row r="304" spans="1:16" x14ac:dyDescent="0.25">
      <c r="A304" s="37" t="s">
        <v>415</v>
      </c>
      <c r="B304" s="37"/>
      <c r="C304" s="40" t="s">
        <v>52</v>
      </c>
      <c r="D304" s="39">
        <v>45484</v>
      </c>
      <c r="E304" s="39">
        <v>45849</v>
      </c>
      <c r="F304" s="37" t="s">
        <v>1295</v>
      </c>
      <c r="G304" s="37" t="s">
        <v>61</v>
      </c>
      <c r="H304" s="41">
        <v>12320</v>
      </c>
      <c r="I304" s="42">
        <v>10190</v>
      </c>
      <c r="J304" s="37" t="s">
        <v>1995</v>
      </c>
      <c r="K304" s="39">
        <v>45484</v>
      </c>
      <c r="L304" s="33" t="s">
        <v>58</v>
      </c>
      <c r="M304" s="41">
        <v>352000</v>
      </c>
      <c r="N304" s="34">
        <f t="shared" si="8"/>
        <v>1630.4</v>
      </c>
      <c r="O304" s="36">
        <f t="shared" si="9"/>
        <v>101.9</v>
      </c>
      <c r="P304" s="35">
        <v>500</v>
      </c>
    </row>
    <row r="305" spans="1:16" x14ac:dyDescent="0.25">
      <c r="A305" s="37" t="s">
        <v>416</v>
      </c>
      <c r="B305" s="37"/>
      <c r="C305" s="40" t="s">
        <v>52</v>
      </c>
      <c r="D305" s="39">
        <v>45484</v>
      </c>
      <c r="E305" s="39">
        <v>45849</v>
      </c>
      <c r="F305" s="37" t="s">
        <v>1296</v>
      </c>
      <c r="G305" s="37" t="s">
        <v>62</v>
      </c>
      <c r="H305" s="41">
        <v>13370</v>
      </c>
      <c r="I305" s="42">
        <v>11095</v>
      </c>
      <c r="J305" s="37" t="s">
        <v>1996</v>
      </c>
      <c r="K305" s="39">
        <v>45484</v>
      </c>
      <c r="L305" s="33" t="s">
        <v>58</v>
      </c>
      <c r="M305" s="41">
        <v>382000</v>
      </c>
      <c r="N305" s="34">
        <f t="shared" si="8"/>
        <v>1775.2</v>
      </c>
      <c r="O305" s="36">
        <f t="shared" si="9"/>
        <v>110.95</v>
      </c>
      <c r="P305" s="35">
        <v>500</v>
      </c>
    </row>
    <row r="306" spans="1:16" x14ac:dyDescent="0.25">
      <c r="A306" s="37" t="s">
        <v>417</v>
      </c>
      <c r="B306" s="37"/>
      <c r="C306" s="40" t="s">
        <v>52</v>
      </c>
      <c r="D306" s="39">
        <v>45484</v>
      </c>
      <c r="E306" s="39">
        <v>45849</v>
      </c>
      <c r="F306" s="37" t="s">
        <v>1156</v>
      </c>
      <c r="G306" s="37" t="s">
        <v>61</v>
      </c>
      <c r="H306" s="41">
        <v>12320</v>
      </c>
      <c r="I306" s="42">
        <v>10190</v>
      </c>
      <c r="J306" s="37" t="s">
        <v>1997</v>
      </c>
      <c r="K306" s="39">
        <v>45484</v>
      </c>
      <c r="L306" s="33" t="s">
        <v>58</v>
      </c>
      <c r="M306" s="41">
        <v>352000</v>
      </c>
      <c r="N306" s="34">
        <f t="shared" si="8"/>
        <v>1630.4</v>
      </c>
      <c r="O306" s="36">
        <f t="shared" si="9"/>
        <v>101.9</v>
      </c>
      <c r="P306" s="35">
        <v>500</v>
      </c>
    </row>
    <row r="307" spans="1:16" x14ac:dyDescent="0.25">
      <c r="A307" s="37" t="s">
        <v>418</v>
      </c>
      <c r="B307" s="37"/>
      <c r="C307" s="40" t="s">
        <v>38</v>
      </c>
      <c r="D307" s="39">
        <v>45484</v>
      </c>
      <c r="E307" s="39">
        <v>45849</v>
      </c>
      <c r="F307" s="37" t="s">
        <v>1297</v>
      </c>
      <c r="G307" s="37" t="s">
        <v>61</v>
      </c>
      <c r="H307" s="41">
        <v>12320</v>
      </c>
      <c r="I307" s="42">
        <v>10190</v>
      </c>
      <c r="J307" s="37" t="s">
        <v>1998</v>
      </c>
      <c r="K307" s="39">
        <v>45484</v>
      </c>
      <c r="L307" s="33" t="s">
        <v>58</v>
      </c>
      <c r="M307" s="41">
        <v>352000</v>
      </c>
      <c r="N307" s="34">
        <f t="shared" si="8"/>
        <v>1630.4</v>
      </c>
      <c r="O307" s="36">
        <f t="shared" si="9"/>
        <v>101.9</v>
      </c>
      <c r="P307" s="35">
        <v>500</v>
      </c>
    </row>
    <row r="308" spans="1:16" x14ac:dyDescent="0.25">
      <c r="A308" s="37" t="s">
        <v>419</v>
      </c>
      <c r="B308" s="37"/>
      <c r="C308" s="40" t="s">
        <v>38</v>
      </c>
      <c r="D308" s="39">
        <v>45850</v>
      </c>
      <c r="E308" s="39">
        <v>46215</v>
      </c>
      <c r="F308" s="37" t="s">
        <v>1297</v>
      </c>
      <c r="G308" s="37" t="s">
        <v>61</v>
      </c>
      <c r="H308" s="41">
        <v>12320</v>
      </c>
      <c r="I308" s="42">
        <v>10190</v>
      </c>
      <c r="J308" s="37" t="s">
        <v>1998</v>
      </c>
      <c r="K308" s="39">
        <v>45484</v>
      </c>
      <c r="L308" s="33" t="s">
        <v>58</v>
      </c>
      <c r="M308" s="41">
        <v>352000</v>
      </c>
      <c r="N308" s="34">
        <f t="shared" si="8"/>
        <v>1630.4</v>
      </c>
      <c r="O308" s="36">
        <f t="shared" si="9"/>
        <v>101.9</v>
      </c>
      <c r="P308" s="35">
        <v>500</v>
      </c>
    </row>
    <row r="309" spans="1:16" x14ac:dyDescent="0.25">
      <c r="A309" s="37" t="s">
        <v>420</v>
      </c>
      <c r="B309" s="37"/>
      <c r="C309" s="40" t="s">
        <v>38</v>
      </c>
      <c r="D309" s="39">
        <v>45484</v>
      </c>
      <c r="E309" s="39">
        <v>45849</v>
      </c>
      <c r="F309" s="37" t="s">
        <v>1298</v>
      </c>
      <c r="G309" s="37" t="s">
        <v>61</v>
      </c>
      <c r="H309" s="41">
        <v>12320</v>
      </c>
      <c r="I309" s="42">
        <v>10190</v>
      </c>
      <c r="J309" s="37" t="s">
        <v>1999</v>
      </c>
      <c r="K309" s="39">
        <v>45484</v>
      </c>
      <c r="L309" s="33" t="s">
        <v>58</v>
      </c>
      <c r="M309" s="41">
        <v>352000</v>
      </c>
      <c r="N309" s="34">
        <f t="shared" si="8"/>
        <v>1630.4</v>
      </c>
      <c r="O309" s="36">
        <f t="shared" si="9"/>
        <v>101.9</v>
      </c>
      <c r="P309" s="35">
        <v>500</v>
      </c>
    </row>
    <row r="310" spans="1:16" x14ac:dyDescent="0.25">
      <c r="A310" s="37" t="s">
        <v>421</v>
      </c>
      <c r="B310" s="37"/>
      <c r="C310" s="40" t="s">
        <v>38</v>
      </c>
      <c r="D310" s="39">
        <v>45850</v>
      </c>
      <c r="E310" s="39">
        <v>46215</v>
      </c>
      <c r="F310" s="37" t="s">
        <v>1298</v>
      </c>
      <c r="G310" s="37" t="s">
        <v>61</v>
      </c>
      <c r="H310" s="41">
        <v>12320</v>
      </c>
      <c r="I310" s="42">
        <v>10190</v>
      </c>
      <c r="J310" s="37" t="s">
        <v>1999</v>
      </c>
      <c r="K310" s="39">
        <v>45484</v>
      </c>
      <c r="L310" s="33" t="s">
        <v>58</v>
      </c>
      <c r="M310" s="41">
        <v>352000</v>
      </c>
      <c r="N310" s="34">
        <f t="shared" si="8"/>
        <v>1630.4</v>
      </c>
      <c r="O310" s="36">
        <f t="shared" si="9"/>
        <v>101.9</v>
      </c>
      <c r="P310" s="35">
        <v>500</v>
      </c>
    </row>
    <row r="311" spans="1:16" x14ac:dyDescent="0.25">
      <c r="A311" s="37" t="s">
        <v>422</v>
      </c>
      <c r="B311" s="37"/>
      <c r="C311" s="40" t="s">
        <v>38</v>
      </c>
      <c r="D311" s="39">
        <v>45484</v>
      </c>
      <c r="E311" s="39">
        <v>45849</v>
      </c>
      <c r="F311" s="37" t="s">
        <v>1299</v>
      </c>
      <c r="G311" s="37" t="s">
        <v>61</v>
      </c>
      <c r="H311" s="41">
        <v>12320</v>
      </c>
      <c r="I311" s="42">
        <v>10190</v>
      </c>
      <c r="J311" s="37" t="s">
        <v>2000</v>
      </c>
      <c r="K311" s="39">
        <v>45484</v>
      </c>
      <c r="L311" s="33" t="s">
        <v>58</v>
      </c>
      <c r="M311" s="41">
        <v>352000</v>
      </c>
      <c r="N311" s="34">
        <f t="shared" si="8"/>
        <v>1630.4</v>
      </c>
      <c r="O311" s="36">
        <f t="shared" si="9"/>
        <v>101.9</v>
      </c>
      <c r="P311" s="35">
        <v>500</v>
      </c>
    </row>
    <row r="312" spans="1:16" x14ac:dyDescent="0.25">
      <c r="A312" s="37" t="s">
        <v>423</v>
      </c>
      <c r="B312" s="37"/>
      <c r="C312" s="40" t="s">
        <v>38</v>
      </c>
      <c r="D312" s="39">
        <v>45484</v>
      </c>
      <c r="E312" s="39">
        <v>45849</v>
      </c>
      <c r="F312" s="37" t="s">
        <v>112</v>
      </c>
      <c r="G312" s="37" t="s">
        <v>61</v>
      </c>
      <c r="H312" s="41">
        <v>12320</v>
      </c>
      <c r="I312" s="42">
        <v>10190</v>
      </c>
      <c r="J312" s="37" t="s">
        <v>2001</v>
      </c>
      <c r="K312" s="39">
        <v>45484</v>
      </c>
      <c r="L312" s="33" t="s">
        <v>58</v>
      </c>
      <c r="M312" s="41">
        <v>352000</v>
      </c>
      <c r="N312" s="34">
        <f t="shared" si="8"/>
        <v>1630.4</v>
      </c>
      <c r="O312" s="36">
        <f t="shared" si="9"/>
        <v>101.9</v>
      </c>
      <c r="P312" s="35">
        <v>500</v>
      </c>
    </row>
    <row r="313" spans="1:16" x14ac:dyDescent="0.25">
      <c r="A313" s="37" t="s">
        <v>424</v>
      </c>
      <c r="B313" s="37"/>
      <c r="C313" s="40" t="s">
        <v>38</v>
      </c>
      <c r="D313" s="39">
        <v>45850</v>
      </c>
      <c r="E313" s="39">
        <v>46215</v>
      </c>
      <c r="F313" s="37" t="s">
        <v>112</v>
      </c>
      <c r="G313" s="37" t="s">
        <v>61</v>
      </c>
      <c r="H313" s="41">
        <v>12320</v>
      </c>
      <c r="I313" s="42">
        <v>10190</v>
      </c>
      <c r="J313" s="37" t="s">
        <v>2001</v>
      </c>
      <c r="K313" s="39">
        <v>45484</v>
      </c>
      <c r="L313" s="33" t="s">
        <v>58</v>
      </c>
      <c r="M313" s="41">
        <v>352000</v>
      </c>
      <c r="N313" s="34">
        <f t="shared" si="8"/>
        <v>1630.4</v>
      </c>
      <c r="O313" s="36">
        <f t="shared" si="9"/>
        <v>101.9</v>
      </c>
      <c r="P313" s="35">
        <v>500</v>
      </c>
    </row>
    <row r="314" spans="1:16" x14ac:dyDescent="0.25">
      <c r="A314" s="37" t="s">
        <v>425</v>
      </c>
      <c r="B314" s="37"/>
      <c r="C314" s="40" t="s">
        <v>38</v>
      </c>
      <c r="D314" s="39">
        <v>45484</v>
      </c>
      <c r="E314" s="39">
        <v>45849</v>
      </c>
      <c r="F314" s="37" t="s">
        <v>1300</v>
      </c>
      <c r="G314" s="37" t="s">
        <v>61</v>
      </c>
      <c r="H314" s="41">
        <v>12320</v>
      </c>
      <c r="I314" s="42">
        <v>10190</v>
      </c>
      <c r="J314" s="37" t="s">
        <v>2002</v>
      </c>
      <c r="K314" s="39">
        <v>45484</v>
      </c>
      <c r="L314" s="33" t="s">
        <v>58</v>
      </c>
      <c r="M314" s="41">
        <v>352000</v>
      </c>
      <c r="N314" s="34">
        <f t="shared" si="8"/>
        <v>1630.4</v>
      </c>
      <c r="O314" s="36">
        <f t="shared" si="9"/>
        <v>101.9</v>
      </c>
      <c r="P314" s="35">
        <v>500</v>
      </c>
    </row>
    <row r="315" spans="1:16" x14ac:dyDescent="0.25">
      <c r="A315" s="37" t="s">
        <v>426</v>
      </c>
      <c r="B315" s="37"/>
      <c r="C315" s="40" t="s">
        <v>38</v>
      </c>
      <c r="D315" s="39">
        <v>45484</v>
      </c>
      <c r="E315" s="39">
        <v>45849</v>
      </c>
      <c r="F315" s="37" t="s">
        <v>1301</v>
      </c>
      <c r="G315" s="37" t="s">
        <v>63</v>
      </c>
      <c r="H315" s="41">
        <v>19145</v>
      </c>
      <c r="I315" s="42">
        <v>16073</v>
      </c>
      <c r="J315" s="37" t="s">
        <v>2003</v>
      </c>
      <c r="K315" s="39">
        <v>45484</v>
      </c>
      <c r="L315" s="33" t="s">
        <v>58</v>
      </c>
      <c r="M315" s="41">
        <v>547000</v>
      </c>
      <c r="N315" s="34">
        <f t="shared" si="8"/>
        <v>2571.6799999999998</v>
      </c>
      <c r="O315" s="36">
        <f t="shared" si="9"/>
        <v>160.72999999999999</v>
      </c>
      <c r="P315" s="35">
        <v>500</v>
      </c>
    </row>
    <row r="316" spans="1:16" x14ac:dyDescent="0.25">
      <c r="A316" s="37" t="s">
        <v>427</v>
      </c>
      <c r="B316" s="37"/>
      <c r="C316" s="40" t="s">
        <v>38</v>
      </c>
      <c r="D316" s="39">
        <v>45850</v>
      </c>
      <c r="E316" s="39">
        <v>46215</v>
      </c>
      <c r="F316" s="37" t="s">
        <v>1301</v>
      </c>
      <c r="G316" s="37" t="s">
        <v>63</v>
      </c>
      <c r="H316" s="41">
        <v>19145</v>
      </c>
      <c r="I316" s="42">
        <v>16073</v>
      </c>
      <c r="J316" s="37" t="s">
        <v>2003</v>
      </c>
      <c r="K316" s="39">
        <v>45484</v>
      </c>
      <c r="L316" s="33" t="s">
        <v>58</v>
      </c>
      <c r="M316" s="41">
        <v>547000</v>
      </c>
      <c r="N316" s="34">
        <f t="shared" si="8"/>
        <v>2571.6799999999998</v>
      </c>
      <c r="O316" s="36">
        <f t="shared" si="9"/>
        <v>160.72999999999999</v>
      </c>
      <c r="P316" s="35">
        <v>500</v>
      </c>
    </row>
    <row r="317" spans="1:16" x14ac:dyDescent="0.25">
      <c r="A317" s="37" t="s">
        <v>428</v>
      </c>
      <c r="B317" s="37"/>
      <c r="C317" s="40" t="s">
        <v>38</v>
      </c>
      <c r="D317" s="39">
        <v>45484</v>
      </c>
      <c r="E317" s="39">
        <v>45849</v>
      </c>
      <c r="F317" s="37" t="s">
        <v>104</v>
      </c>
      <c r="G317" s="37" t="s">
        <v>61</v>
      </c>
      <c r="H317" s="41">
        <v>12320</v>
      </c>
      <c r="I317" s="42">
        <v>10190</v>
      </c>
      <c r="J317" s="37" t="s">
        <v>2004</v>
      </c>
      <c r="K317" s="39">
        <v>45484</v>
      </c>
      <c r="L317" s="33" t="s">
        <v>58</v>
      </c>
      <c r="M317" s="41">
        <v>352000</v>
      </c>
      <c r="N317" s="34">
        <f t="shared" si="8"/>
        <v>1630.4</v>
      </c>
      <c r="O317" s="36">
        <f t="shared" si="9"/>
        <v>101.9</v>
      </c>
      <c r="P317" s="35">
        <v>500</v>
      </c>
    </row>
    <row r="318" spans="1:16" x14ac:dyDescent="0.25">
      <c r="A318" s="37" t="s">
        <v>429</v>
      </c>
      <c r="B318" s="37"/>
      <c r="C318" s="40" t="s">
        <v>38</v>
      </c>
      <c r="D318" s="39">
        <v>45484</v>
      </c>
      <c r="E318" s="39">
        <v>45849</v>
      </c>
      <c r="F318" s="37" t="s">
        <v>1302</v>
      </c>
      <c r="G318" s="37" t="s">
        <v>62</v>
      </c>
      <c r="H318" s="41">
        <v>13370</v>
      </c>
      <c r="I318" s="42">
        <v>11095</v>
      </c>
      <c r="J318" s="37" t="s">
        <v>2005</v>
      </c>
      <c r="K318" s="39">
        <v>45484</v>
      </c>
      <c r="L318" s="33" t="s">
        <v>58</v>
      </c>
      <c r="M318" s="41">
        <v>382000</v>
      </c>
      <c r="N318" s="34">
        <f t="shared" si="8"/>
        <v>1775.2</v>
      </c>
      <c r="O318" s="36">
        <f t="shared" si="9"/>
        <v>110.95</v>
      </c>
      <c r="P318" s="35">
        <v>500</v>
      </c>
    </row>
    <row r="319" spans="1:16" x14ac:dyDescent="0.25">
      <c r="A319" s="37" t="s">
        <v>430</v>
      </c>
      <c r="B319" s="37"/>
      <c r="C319" s="40" t="s">
        <v>38</v>
      </c>
      <c r="D319" s="39">
        <v>45850</v>
      </c>
      <c r="E319" s="39">
        <v>46215</v>
      </c>
      <c r="F319" s="37" t="s">
        <v>1302</v>
      </c>
      <c r="G319" s="37" t="s">
        <v>62</v>
      </c>
      <c r="H319" s="41">
        <v>13370</v>
      </c>
      <c r="I319" s="42">
        <v>11095</v>
      </c>
      <c r="J319" s="37" t="s">
        <v>2005</v>
      </c>
      <c r="K319" s="39">
        <v>45484</v>
      </c>
      <c r="L319" s="33" t="s">
        <v>58</v>
      </c>
      <c r="M319" s="41">
        <v>382000</v>
      </c>
      <c r="N319" s="34">
        <f t="shared" si="8"/>
        <v>1775.2</v>
      </c>
      <c r="O319" s="36">
        <f t="shared" si="9"/>
        <v>110.95</v>
      </c>
      <c r="P319" s="35">
        <v>500</v>
      </c>
    </row>
    <row r="320" spans="1:16" x14ac:dyDescent="0.25">
      <c r="A320" s="37" t="s">
        <v>431</v>
      </c>
      <c r="B320" s="37"/>
      <c r="C320" s="40" t="s">
        <v>38</v>
      </c>
      <c r="D320" s="39">
        <v>45484</v>
      </c>
      <c r="E320" s="39">
        <v>45849</v>
      </c>
      <c r="F320" s="37" t="s">
        <v>1303</v>
      </c>
      <c r="G320" s="37" t="s">
        <v>61</v>
      </c>
      <c r="H320" s="41">
        <v>12320</v>
      </c>
      <c r="I320" s="42">
        <v>10190</v>
      </c>
      <c r="J320" s="37" t="s">
        <v>2006</v>
      </c>
      <c r="K320" s="39">
        <v>45484</v>
      </c>
      <c r="L320" s="33" t="s">
        <v>58</v>
      </c>
      <c r="M320" s="41">
        <v>352000</v>
      </c>
      <c r="N320" s="34">
        <f t="shared" si="8"/>
        <v>1630.4</v>
      </c>
      <c r="O320" s="36">
        <f t="shared" si="9"/>
        <v>101.9</v>
      </c>
      <c r="P320" s="35">
        <v>500</v>
      </c>
    </row>
    <row r="321" spans="1:16" x14ac:dyDescent="0.25">
      <c r="A321" s="37" t="s">
        <v>432</v>
      </c>
      <c r="B321" s="37"/>
      <c r="C321" s="40" t="s">
        <v>38</v>
      </c>
      <c r="D321" s="39">
        <v>45850</v>
      </c>
      <c r="E321" s="39">
        <v>46215</v>
      </c>
      <c r="F321" s="37" t="s">
        <v>1303</v>
      </c>
      <c r="G321" s="37" t="s">
        <v>61</v>
      </c>
      <c r="H321" s="41">
        <v>12320</v>
      </c>
      <c r="I321" s="42">
        <v>10190</v>
      </c>
      <c r="J321" s="37" t="s">
        <v>2006</v>
      </c>
      <c r="K321" s="39">
        <v>45484</v>
      </c>
      <c r="L321" s="33" t="s">
        <v>58</v>
      </c>
      <c r="M321" s="41">
        <v>352000</v>
      </c>
      <c r="N321" s="34">
        <f t="shared" si="8"/>
        <v>1630.4</v>
      </c>
      <c r="O321" s="36">
        <f t="shared" si="9"/>
        <v>101.9</v>
      </c>
      <c r="P321" s="35">
        <v>500</v>
      </c>
    </row>
    <row r="322" spans="1:16" x14ac:dyDescent="0.25">
      <c r="A322" s="37" t="s">
        <v>433</v>
      </c>
      <c r="B322" s="37"/>
      <c r="C322" s="40" t="s">
        <v>38</v>
      </c>
      <c r="D322" s="39">
        <v>45484</v>
      </c>
      <c r="E322" s="39">
        <v>45849</v>
      </c>
      <c r="F322" s="37" t="s">
        <v>1304</v>
      </c>
      <c r="G322" s="37" t="s">
        <v>63</v>
      </c>
      <c r="H322" s="41">
        <v>19145</v>
      </c>
      <c r="I322" s="42">
        <v>16073</v>
      </c>
      <c r="J322" s="37" t="s">
        <v>2007</v>
      </c>
      <c r="K322" s="39">
        <v>45484</v>
      </c>
      <c r="L322" s="33" t="s">
        <v>58</v>
      </c>
      <c r="M322" s="41">
        <v>547000</v>
      </c>
      <c r="N322" s="34">
        <f t="shared" si="8"/>
        <v>2571.6799999999998</v>
      </c>
      <c r="O322" s="36">
        <f t="shared" si="9"/>
        <v>160.72999999999999</v>
      </c>
      <c r="P322" s="35">
        <v>500</v>
      </c>
    </row>
    <row r="323" spans="1:16" x14ac:dyDescent="0.25">
      <c r="A323" s="37" t="s">
        <v>434</v>
      </c>
      <c r="B323" s="37"/>
      <c r="C323" s="40" t="s">
        <v>38</v>
      </c>
      <c r="D323" s="39">
        <v>45850</v>
      </c>
      <c r="E323" s="39">
        <v>46215</v>
      </c>
      <c r="F323" s="37" t="s">
        <v>1304</v>
      </c>
      <c r="G323" s="37" t="s">
        <v>63</v>
      </c>
      <c r="H323" s="41">
        <v>19145</v>
      </c>
      <c r="I323" s="42">
        <v>16073</v>
      </c>
      <c r="J323" s="37" t="s">
        <v>2007</v>
      </c>
      <c r="K323" s="39">
        <v>45484</v>
      </c>
      <c r="L323" s="33" t="s">
        <v>58</v>
      </c>
      <c r="M323" s="41">
        <v>547000</v>
      </c>
      <c r="N323" s="34">
        <f t="shared" ref="N323:N386" si="10">I323*16/100</f>
        <v>2571.6799999999998</v>
      </c>
      <c r="O323" s="36">
        <f t="shared" ref="O323:O386" si="11">I323*1/100</f>
        <v>160.72999999999999</v>
      </c>
      <c r="P323" s="35">
        <v>500</v>
      </c>
    </row>
    <row r="324" spans="1:16" x14ac:dyDescent="0.25">
      <c r="A324" s="37" t="s">
        <v>435</v>
      </c>
      <c r="B324" s="37"/>
      <c r="C324" s="40" t="s">
        <v>38</v>
      </c>
      <c r="D324" s="39">
        <v>45484</v>
      </c>
      <c r="E324" s="39">
        <v>45849</v>
      </c>
      <c r="F324" s="37" t="s">
        <v>1305</v>
      </c>
      <c r="G324" s="37" t="s">
        <v>62</v>
      </c>
      <c r="H324" s="41">
        <v>13370</v>
      </c>
      <c r="I324" s="42">
        <v>11095</v>
      </c>
      <c r="J324" s="37" t="s">
        <v>2008</v>
      </c>
      <c r="K324" s="39">
        <v>45484</v>
      </c>
      <c r="L324" s="33" t="s">
        <v>58</v>
      </c>
      <c r="M324" s="41">
        <v>382000</v>
      </c>
      <c r="N324" s="34">
        <f t="shared" si="10"/>
        <v>1775.2</v>
      </c>
      <c r="O324" s="36">
        <f t="shared" si="11"/>
        <v>110.95</v>
      </c>
      <c r="P324" s="35">
        <v>500</v>
      </c>
    </row>
    <row r="325" spans="1:16" x14ac:dyDescent="0.25">
      <c r="A325" s="37" t="s">
        <v>436</v>
      </c>
      <c r="B325" s="37"/>
      <c r="C325" s="40" t="s">
        <v>38</v>
      </c>
      <c r="D325" s="39">
        <v>45850</v>
      </c>
      <c r="E325" s="39">
        <v>46215</v>
      </c>
      <c r="F325" s="37" t="s">
        <v>1305</v>
      </c>
      <c r="G325" s="37" t="s">
        <v>62</v>
      </c>
      <c r="H325" s="41">
        <v>13370</v>
      </c>
      <c r="I325" s="42">
        <v>11095</v>
      </c>
      <c r="J325" s="37" t="s">
        <v>2008</v>
      </c>
      <c r="K325" s="39">
        <v>45484</v>
      </c>
      <c r="L325" s="33" t="s">
        <v>58</v>
      </c>
      <c r="M325" s="41">
        <v>382000</v>
      </c>
      <c r="N325" s="34">
        <f t="shared" si="10"/>
        <v>1775.2</v>
      </c>
      <c r="O325" s="36">
        <f t="shared" si="11"/>
        <v>110.95</v>
      </c>
      <c r="P325" s="35">
        <v>500</v>
      </c>
    </row>
    <row r="326" spans="1:16" x14ac:dyDescent="0.25">
      <c r="A326" s="37" t="s">
        <v>437</v>
      </c>
      <c r="B326" s="37"/>
      <c r="C326" s="40" t="s">
        <v>1072</v>
      </c>
      <c r="D326" s="39">
        <v>45485</v>
      </c>
      <c r="E326" s="39">
        <v>45850</v>
      </c>
      <c r="F326" s="37" t="s">
        <v>1306</v>
      </c>
      <c r="G326" s="37" t="s">
        <v>63</v>
      </c>
      <c r="H326" s="41">
        <v>13675</v>
      </c>
      <c r="I326" s="42">
        <v>11358</v>
      </c>
      <c r="J326" s="37" t="s">
        <v>2009</v>
      </c>
      <c r="K326" s="39">
        <v>45485</v>
      </c>
      <c r="L326" s="33" t="s">
        <v>58</v>
      </c>
      <c r="M326" s="41">
        <v>547000</v>
      </c>
      <c r="N326" s="34">
        <f t="shared" si="10"/>
        <v>1817.28</v>
      </c>
      <c r="O326" s="36">
        <f t="shared" si="11"/>
        <v>113.58</v>
      </c>
      <c r="P326" s="35">
        <v>500</v>
      </c>
    </row>
    <row r="327" spans="1:16" x14ac:dyDescent="0.25">
      <c r="A327" s="37" t="s">
        <v>438</v>
      </c>
      <c r="B327" s="37"/>
      <c r="C327" s="40" t="s">
        <v>1072</v>
      </c>
      <c r="D327" s="39">
        <v>45485</v>
      </c>
      <c r="E327" s="39">
        <v>45850</v>
      </c>
      <c r="F327" s="37" t="s">
        <v>1307</v>
      </c>
      <c r="G327" s="37" t="s">
        <v>62</v>
      </c>
      <c r="H327" s="41">
        <v>9550</v>
      </c>
      <c r="I327" s="42">
        <v>7802</v>
      </c>
      <c r="J327" s="37" t="s">
        <v>2010</v>
      </c>
      <c r="K327" s="39">
        <v>45485</v>
      </c>
      <c r="L327" s="33" t="s">
        <v>58</v>
      </c>
      <c r="M327" s="41">
        <v>382000</v>
      </c>
      <c r="N327" s="34">
        <f t="shared" si="10"/>
        <v>1248.32</v>
      </c>
      <c r="O327" s="36">
        <f t="shared" si="11"/>
        <v>78.02</v>
      </c>
      <c r="P327" s="35">
        <v>500</v>
      </c>
    </row>
    <row r="328" spans="1:16" x14ac:dyDescent="0.25">
      <c r="A328" s="37" t="s">
        <v>439</v>
      </c>
      <c r="B328" s="37"/>
      <c r="C328" s="40" t="s">
        <v>32</v>
      </c>
      <c r="D328" s="39">
        <v>45485</v>
      </c>
      <c r="E328" s="39">
        <v>45850</v>
      </c>
      <c r="F328" s="37" t="s">
        <v>1308</v>
      </c>
      <c r="G328" s="37" t="s">
        <v>63</v>
      </c>
      <c r="H328" s="41">
        <v>19145</v>
      </c>
      <c r="I328" s="42">
        <v>16073</v>
      </c>
      <c r="J328" s="37" t="s">
        <v>2011</v>
      </c>
      <c r="K328" s="39">
        <v>45485</v>
      </c>
      <c r="L328" s="33" t="s">
        <v>58</v>
      </c>
      <c r="M328" s="41">
        <v>547000</v>
      </c>
      <c r="N328" s="34">
        <f t="shared" si="10"/>
        <v>2571.6799999999998</v>
      </c>
      <c r="O328" s="36">
        <f t="shared" si="11"/>
        <v>160.72999999999999</v>
      </c>
      <c r="P328" s="35">
        <v>500</v>
      </c>
    </row>
    <row r="329" spans="1:16" x14ac:dyDescent="0.25">
      <c r="A329" s="37" t="s">
        <v>440</v>
      </c>
      <c r="B329" s="37"/>
      <c r="C329" s="40" t="s">
        <v>32</v>
      </c>
      <c r="D329" s="39">
        <v>45851</v>
      </c>
      <c r="E329" s="39">
        <v>46216</v>
      </c>
      <c r="F329" s="37" t="s">
        <v>1308</v>
      </c>
      <c r="G329" s="37" t="s">
        <v>63</v>
      </c>
      <c r="H329" s="41">
        <v>19145</v>
      </c>
      <c r="I329" s="42">
        <v>16073</v>
      </c>
      <c r="J329" s="37" t="s">
        <v>2011</v>
      </c>
      <c r="K329" s="39">
        <v>45485</v>
      </c>
      <c r="L329" s="33" t="s">
        <v>58</v>
      </c>
      <c r="M329" s="41">
        <v>547000</v>
      </c>
      <c r="N329" s="34">
        <f t="shared" si="10"/>
        <v>2571.6799999999998</v>
      </c>
      <c r="O329" s="36">
        <f t="shared" si="11"/>
        <v>160.72999999999999</v>
      </c>
      <c r="P329" s="35">
        <v>500</v>
      </c>
    </row>
    <row r="330" spans="1:16" x14ac:dyDescent="0.25">
      <c r="A330" s="37" t="s">
        <v>441</v>
      </c>
      <c r="B330" s="37"/>
      <c r="C330" s="40" t="s">
        <v>32</v>
      </c>
      <c r="D330" s="39">
        <v>45485</v>
      </c>
      <c r="E330" s="39">
        <v>45850</v>
      </c>
      <c r="F330" s="37" t="s">
        <v>1309</v>
      </c>
      <c r="G330" s="37" t="s">
        <v>63</v>
      </c>
      <c r="H330" s="41">
        <v>19145</v>
      </c>
      <c r="I330" s="42">
        <v>16073</v>
      </c>
      <c r="J330" s="37" t="s">
        <v>2012</v>
      </c>
      <c r="K330" s="39">
        <v>45485</v>
      </c>
      <c r="L330" s="33" t="s">
        <v>58</v>
      </c>
      <c r="M330" s="41">
        <v>547000</v>
      </c>
      <c r="N330" s="34">
        <f t="shared" si="10"/>
        <v>2571.6799999999998</v>
      </c>
      <c r="O330" s="36">
        <f t="shared" si="11"/>
        <v>160.72999999999999</v>
      </c>
      <c r="P330" s="35">
        <v>500</v>
      </c>
    </row>
    <row r="331" spans="1:16" x14ac:dyDescent="0.25">
      <c r="A331" s="37" t="s">
        <v>442</v>
      </c>
      <c r="B331" s="37"/>
      <c r="C331" s="40" t="s">
        <v>32</v>
      </c>
      <c r="D331" s="39">
        <v>45851</v>
      </c>
      <c r="E331" s="39">
        <v>46216</v>
      </c>
      <c r="F331" s="37" t="s">
        <v>1309</v>
      </c>
      <c r="G331" s="37" t="s">
        <v>63</v>
      </c>
      <c r="H331" s="41">
        <v>19145</v>
      </c>
      <c r="I331" s="42">
        <v>16073</v>
      </c>
      <c r="J331" s="37" t="s">
        <v>2012</v>
      </c>
      <c r="K331" s="39">
        <v>45485</v>
      </c>
      <c r="L331" s="33" t="s">
        <v>58</v>
      </c>
      <c r="M331" s="41">
        <v>547000</v>
      </c>
      <c r="N331" s="34">
        <f t="shared" si="10"/>
        <v>2571.6799999999998</v>
      </c>
      <c r="O331" s="36">
        <f t="shared" si="11"/>
        <v>160.72999999999999</v>
      </c>
      <c r="P331" s="35">
        <v>500</v>
      </c>
    </row>
    <row r="332" spans="1:16" x14ac:dyDescent="0.25">
      <c r="A332" s="37" t="s">
        <v>443</v>
      </c>
      <c r="B332" s="37"/>
      <c r="C332" s="40" t="s">
        <v>1072</v>
      </c>
      <c r="D332" s="39">
        <v>45485</v>
      </c>
      <c r="E332" s="39">
        <v>45850</v>
      </c>
      <c r="F332" s="37" t="s">
        <v>1310</v>
      </c>
      <c r="G332" s="37" t="s">
        <v>64</v>
      </c>
      <c r="H332" s="41">
        <v>12475</v>
      </c>
      <c r="I332" s="42">
        <v>10323</v>
      </c>
      <c r="J332" s="37" t="s">
        <v>2014</v>
      </c>
      <c r="K332" s="39">
        <v>45485</v>
      </c>
      <c r="L332" s="33" t="s">
        <v>58</v>
      </c>
      <c r="M332" s="41">
        <v>499000</v>
      </c>
      <c r="N332" s="34">
        <f t="shared" si="10"/>
        <v>1651.68</v>
      </c>
      <c r="O332" s="36">
        <f t="shared" si="11"/>
        <v>103.23</v>
      </c>
      <c r="P332" s="35">
        <v>500</v>
      </c>
    </row>
    <row r="333" spans="1:16" x14ac:dyDescent="0.25">
      <c r="A333" s="37" t="s">
        <v>444</v>
      </c>
      <c r="B333" s="37"/>
      <c r="C333" s="40" t="s">
        <v>32</v>
      </c>
      <c r="D333" s="39">
        <v>45485</v>
      </c>
      <c r="E333" s="39">
        <v>45850</v>
      </c>
      <c r="F333" s="37" t="s">
        <v>76</v>
      </c>
      <c r="G333" s="37" t="s">
        <v>62</v>
      </c>
      <c r="H333" s="41">
        <v>13370</v>
      </c>
      <c r="I333" s="42">
        <v>11095</v>
      </c>
      <c r="J333" s="37" t="s">
        <v>2015</v>
      </c>
      <c r="K333" s="39">
        <v>45485</v>
      </c>
      <c r="L333" s="33" t="s">
        <v>58</v>
      </c>
      <c r="M333" s="41">
        <v>382000</v>
      </c>
      <c r="N333" s="34">
        <f t="shared" si="10"/>
        <v>1775.2</v>
      </c>
      <c r="O333" s="36">
        <f t="shared" si="11"/>
        <v>110.95</v>
      </c>
      <c r="P333" s="35">
        <v>500</v>
      </c>
    </row>
    <row r="334" spans="1:16" x14ac:dyDescent="0.25">
      <c r="A334" s="37" t="s">
        <v>445</v>
      </c>
      <c r="B334" s="37"/>
      <c r="C334" s="40" t="s">
        <v>53</v>
      </c>
      <c r="D334" s="39">
        <v>45485</v>
      </c>
      <c r="E334" s="39">
        <v>45850</v>
      </c>
      <c r="F334" s="37" t="s">
        <v>1311</v>
      </c>
      <c r="G334" s="37" t="s">
        <v>61</v>
      </c>
      <c r="H334" s="41">
        <v>8800</v>
      </c>
      <c r="I334" s="42">
        <v>7155</v>
      </c>
      <c r="J334" s="37" t="s">
        <v>2016</v>
      </c>
      <c r="K334" s="39">
        <v>45485</v>
      </c>
      <c r="L334" s="33" t="s">
        <v>58</v>
      </c>
      <c r="M334" s="41">
        <v>352000</v>
      </c>
      <c r="N334" s="34">
        <f t="shared" si="10"/>
        <v>1144.8</v>
      </c>
      <c r="O334" s="36">
        <f t="shared" si="11"/>
        <v>71.55</v>
      </c>
      <c r="P334" s="35">
        <v>500</v>
      </c>
    </row>
    <row r="335" spans="1:16" x14ac:dyDescent="0.25">
      <c r="A335" s="37" t="s">
        <v>446</v>
      </c>
      <c r="B335" s="37"/>
      <c r="C335" s="40" t="s">
        <v>1072</v>
      </c>
      <c r="D335" s="39">
        <v>45485</v>
      </c>
      <c r="E335" s="39">
        <v>45850</v>
      </c>
      <c r="F335" s="37" t="s">
        <v>1312</v>
      </c>
      <c r="G335" s="37" t="s">
        <v>61</v>
      </c>
      <c r="H335" s="41">
        <v>8800</v>
      </c>
      <c r="I335" s="42">
        <v>7155</v>
      </c>
      <c r="J335" s="37" t="s">
        <v>2018</v>
      </c>
      <c r="K335" s="39">
        <v>45485</v>
      </c>
      <c r="L335" s="33" t="s">
        <v>58</v>
      </c>
      <c r="M335" s="41">
        <v>352000</v>
      </c>
      <c r="N335" s="34">
        <f t="shared" si="10"/>
        <v>1144.8</v>
      </c>
      <c r="O335" s="36">
        <f t="shared" si="11"/>
        <v>71.55</v>
      </c>
      <c r="P335" s="35">
        <v>500</v>
      </c>
    </row>
    <row r="336" spans="1:16" x14ac:dyDescent="0.25">
      <c r="A336" s="37" t="s">
        <v>447</v>
      </c>
      <c r="B336" s="37"/>
      <c r="C336" s="40" t="s">
        <v>32</v>
      </c>
      <c r="D336" s="39">
        <v>45485</v>
      </c>
      <c r="E336" s="39">
        <v>45850</v>
      </c>
      <c r="F336" s="37" t="s">
        <v>1313</v>
      </c>
      <c r="G336" s="37" t="s">
        <v>62</v>
      </c>
      <c r="H336" s="41">
        <v>13370</v>
      </c>
      <c r="I336" s="42">
        <v>11095</v>
      </c>
      <c r="J336" s="37" t="s">
        <v>2020</v>
      </c>
      <c r="K336" s="39">
        <v>45485</v>
      </c>
      <c r="L336" s="33" t="s">
        <v>58</v>
      </c>
      <c r="M336" s="41">
        <v>382000</v>
      </c>
      <c r="N336" s="34">
        <f t="shared" si="10"/>
        <v>1775.2</v>
      </c>
      <c r="O336" s="36">
        <f t="shared" si="11"/>
        <v>110.95</v>
      </c>
      <c r="P336" s="35">
        <v>500</v>
      </c>
    </row>
    <row r="337" spans="1:16" x14ac:dyDescent="0.25">
      <c r="A337" s="37" t="s">
        <v>448</v>
      </c>
      <c r="B337" s="37"/>
      <c r="C337" s="40" t="s">
        <v>32</v>
      </c>
      <c r="D337" s="39">
        <v>45851</v>
      </c>
      <c r="E337" s="39">
        <v>46216</v>
      </c>
      <c r="F337" s="37" t="s">
        <v>1313</v>
      </c>
      <c r="G337" s="37" t="s">
        <v>62</v>
      </c>
      <c r="H337" s="41">
        <v>13370</v>
      </c>
      <c r="I337" s="42">
        <v>11095</v>
      </c>
      <c r="J337" s="37" t="s">
        <v>2020</v>
      </c>
      <c r="K337" s="39">
        <v>45485</v>
      </c>
      <c r="L337" s="33" t="s">
        <v>58</v>
      </c>
      <c r="M337" s="41">
        <v>382000</v>
      </c>
      <c r="N337" s="34">
        <f t="shared" si="10"/>
        <v>1775.2</v>
      </c>
      <c r="O337" s="36">
        <f t="shared" si="11"/>
        <v>110.95</v>
      </c>
      <c r="P337" s="35">
        <v>500</v>
      </c>
    </row>
    <row r="338" spans="1:16" x14ac:dyDescent="0.25">
      <c r="A338" s="37" t="s">
        <v>449</v>
      </c>
      <c r="B338" s="37"/>
      <c r="C338" s="40" t="s">
        <v>1072</v>
      </c>
      <c r="D338" s="39">
        <v>45485</v>
      </c>
      <c r="E338" s="39">
        <v>45850</v>
      </c>
      <c r="F338" s="37" t="s">
        <v>1314</v>
      </c>
      <c r="G338" s="37" t="s">
        <v>64</v>
      </c>
      <c r="H338" s="41">
        <v>12475</v>
      </c>
      <c r="I338" s="42">
        <v>10323</v>
      </c>
      <c r="J338" s="37" t="s">
        <v>2021</v>
      </c>
      <c r="K338" s="39">
        <v>45485</v>
      </c>
      <c r="L338" s="33" t="s">
        <v>58</v>
      </c>
      <c r="M338" s="41">
        <v>499000</v>
      </c>
      <c r="N338" s="34">
        <f t="shared" si="10"/>
        <v>1651.68</v>
      </c>
      <c r="O338" s="36">
        <f t="shared" si="11"/>
        <v>103.23</v>
      </c>
      <c r="P338" s="35">
        <v>500</v>
      </c>
    </row>
    <row r="339" spans="1:16" x14ac:dyDescent="0.25">
      <c r="A339" s="37" t="s">
        <v>450</v>
      </c>
      <c r="B339" s="37"/>
      <c r="C339" s="40" t="s">
        <v>31</v>
      </c>
      <c r="D339" s="39">
        <v>45485</v>
      </c>
      <c r="E339" s="39">
        <v>45850</v>
      </c>
      <c r="F339" s="37" t="s">
        <v>1315</v>
      </c>
      <c r="G339" s="37" t="s">
        <v>61</v>
      </c>
      <c r="H339" s="41">
        <v>12320</v>
      </c>
      <c r="I339" s="42">
        <v>10190</v>
      </c>
      <c r="J339" s="37" t="s">
        <v>2022</v>
      </c>
      <c r="K339" s="39">
        <v>45485</v>
      </c>
      <c r="L339" s="33" t="s">
        <v>58</v>
      </c>
      <c r="M339" s="41">
        <v>352000</v>
      </c>
      <c r="N339" s="34">
        <f t="shared" si="10"/>
        <v>1630.4</v>
      </c>
      <c r="O339" s="36">
        <f t="shared" si="11"/>
        <v>101.9</v>
      </c>
      <c r="P339" s="35">
        <v>500</v>
      </c>
    </row>
    <row r="340" spans="1:16" x14ac:dyDescent="0.25">
      <c r="A340" s="37" t="s">
        <v>451</v>
      </c>
      <c r="B340" s="37"/>
      <c r="C340" s="40" t="s">
        <v>31</v>
      </c>
      <c r="D340" s="39">
        <v>45851</v>
      </c>
      <c r="E340" s="39">
        <v>46216</v>
      </c>
      <c r="F340" s="37" t="s">
        <v>1315</v>
      </c>
      <c r="G340" s="37" t="s">
        <v>61</v>
      </c>
      <c r="H340" s="41">
        <v>12320</v>
      </c>
      <c r="I340" s="42">
        <v>10190</v>
      </c>
      <c r="J340" s="37" t="s">
        <v>2022</v>
      </c>
      <c r="K340" s="39">
        <v>45485</v>
      </c>
      <c r="L340" s="33" t="s">
        <v>58</v>
      </c>
      <c r="M340" s="41">
        <v>352000</v>
      </c>
      <c r="N340" s="34">
        <f t="shared" si="10"/>
        <v>1630.4</v>
      </c>
      <c r="O340" s="36">
        <f t="shared" si="11"/>
        <v>101.9</v>
      </c>
      <c r="P340" s="35">
        <v>500</v>
      </c>
    </row>
    <row r="341" spans="1:16" x14ac:dyDescent="0.25">
      <c r="A341" s="37" t="s">
        <v>452</v>
      </c>
      <c r="B341" s="37"/>
      <c r="C341" s="40" t="s">
        <v>37</v>
      </c>
      <c r="D341" s="39">
        <v>45485</v>
      </c>
      <c r="E341" s="39">
        <v>45850</v>
      </c>
      <c r="F341" s="37" t="s">
        <v>103</v>
      </c>
      <c r="G341" s="37" t="s">
        <v>61</v>
      </c>
      <c r="H341" s="41">
        <v>8800</v>
      </c>
      <c r="I341" s="42">
        <v>7155</v>
      </c>
      <c r="J341" s="37" t="s">
        <v>2023</v>
      </c>
      <c r="K341" s="39">
        <v>45485</v>
      </c>
      <c r="L341" s="33" t="s">
        <v>58</v>
      </c>
      <c r="M341" s="41">
        <v>352000</v>
      </c>
      <c r="N341" s="34">
        <f t="shared" si="10"/>
        <v>1144.8</v>
      </c>
      <c r="O341" s="36">
        <f t="shared" si="11"/>
        <v>71.55</v>
      </c>
      <c r="P341" s="35">
        <v>500</v>
      </c>
    </row>
    <row r="342" spans="1:16" x14ac:dyDescent="0.25">
      <c r="A342" s="37" t="s">
        <v>453</v>
      </c>
      <c r="B342" s="37"/>
      <c r="C342" s="40" t="s">
        <v>32</v>
      </c>
      <c r="D342" s="39">
        <v>45485</v>
      </c>
      <c r="E342" s="39">
        <v>45850</v>
      </c>
      <c r="F342" s="37" t="s">
        <v>1316</v>
      </c>
      <c r="G342" s="37" t="s">
        <v>62</v>
      </c>
      <c r="H342" s="41">
        <v>13370</v>
      </c>
      <c r="I342" s="42">
        <v>11095</v>
      </c>
      <c r="J342" s="37" t="s">
        <v>2024</v>
      </c>
      <c r="K342" s="39">
        <v>45485</v>
      </c>
      <c r="L342" s="33" t="s">
        <v>58</v>
      </c>
      <c r="M342" s="41">
        <v>382000</v>
      </c>
      <c r="N342" s="34">
        <f t="shared" si="10"/>
        <v>1775.2</v>
      </c>
      <c r="O342" s="36">
        <f t="shared" si="11"/>
        <v>110.95</v>
      </c>
      <c r="P342" s="35">
        <v>500</v>
      </c>
    </row>
    <row r="343" spans="1:16" x14ac:dyDescent="0.25">
      <c r="A343" s="37" t="s">
        <v>454</v>
      </c>
      <c r="B343" s="37"/>
      <c r="C343" s="40" t="s">
        <v>32</v>
      </c>
      <c r="D343" s="39">
        <v>45851</v>
      </c>
      <c r="E343" s="39">
        <v>46216</v>
      </c>
      <c r="F343" s="37" t="s">
        <v>1316</v>
      </c>
      <c r="G343" s="37" t="s">
        <v>62</v>
      </c>
      <c r="H343" s="41">
        <v>13370</v>
      </c>
      <c r="I343" s="42">
        <v>11095</v>
      </c>
      <c r="J343" s="37" t="s">
        <v>2024</v>
      </c>
      <c r="K343" s="39">
        <v>45485</v>
      </c>
      <c r="L343" s="33" t="s">
        <v>58</v>
      </c>
      <c r="M343" s="41">
        <v>382000</v>
      </c>
      <c r="N343" s="34">
        <f t="shared" si="10"/>
        <v>1775.2</v>
      </c>
      <c r="O343" s="36">
        <f t="shared" si="11"/>
        <v>110.95</v>
      </c>
      <c r="P343" s="35">
        <v>500</v>
      </c>
    </row>
    <row r="344" spans="1:16" x14ac:dyDescent="0.25">
      <c r="A344" s="37" t="s">
        <v>455</v>
      </c>
      <c r="B344" s="37"/>
      <c r="C344" s="40" t="s">
        <v>31</v>
      </c>
      <c r="D344" s="39">
        <v>45485</v>
      </c>
      <c r="E344" s="39">
        <v>45850</v>
      </c>
      <c r="F344" s="37" t="s">
        <v>1317</v>
      </c>
      <c r="G344" s="37" t="s">
        <v>61</v>
      </c>
      <c r="H344" s="41">
        <v>12320</v>
      </c>
      <c r="I344" s="42">
        <v>10190</v>
      </c>
      <c r="J344" s="37" t="s">
        <v>2025</v>
      </c>
      <c r="K344" s="39">
        <v>45485</v>
      </c>
      <c r="L344" s="33" t="s">
        <v>58</v>
      </c>
      <c r="M344" s="41">
        <v>352000</v>
      </c>
      <c r="N344" s="34">
        <f t="shared" si="10"/>
        <v>1630.4</v>
      </c>
      <c r="O344" s="36">
        <f t="shared" si="11"/>
        <v>101.9</v>
      </c>
      <c r="P344" s="35">
        <v>500</v>
      </c>
    </row>
    <row r="345" spans="1:16" x14ac:dyDescent="0.25">
      <c r="A345" s="37" t="s">
        <v>456</v>
      </c>
      <c r="B345" s="37"/>
      <c r="C345" s="40" t="s">
        <v>31</v>
      </c>
      <c r="D345" s="39">
        <v>45851</v>
      </c>
      <c r="E345" s="39">
        <v>46216</v>
      </c>
      <c r="F345" s="37" t="s">
        <v>1317</v>
      </c>
      <c r="G345" s="37" t="s">
        <v>61</v>
      </c>
      <c r="H345" s="41">
        <v>12320</v>
      </c>
      <c r="I345" s="42">
        <v>10190</v>
      </c>
      <c r="J345" s="37" t="s">
        <v>2025</v>
      </c>
      <c r="K345" s="39">
        <v>45485</v>
      </c>
      <c r="L345" s="33" t="s">
        <v>58</v>
      </c>
      <c r="M345" s="41">
        <v>352000</v>
      </c>
      <c r="N345" s="34">
        <f t="shared" si="10"/>
        <v>1630.4</v>
      </c>
      <c r="O345" s="36">
        <f t="shared" si="11"/>
        <v>101.9</v>
      </c>
      <c r="P345" s="35">
        <v>500</v>
      </c>
    </row>
    <row r="346" spans="1:16" x14ac:dyDescent="0.25">
      <c r="A346" s="37" t="s">
        <v>457</v>
      </c>
      <c r="B346" s="37"/>
      <c r="C346" s="40" t="s">
        <v>32</v>
      </c>
      <c r="D346" s="39">
        <v>45485</v>
      </c>
      <c r="E346" s="39">
        <v>45850</v>
      </c>
      <c r="F346" s="37" t="s">
        <v>1318</v>
      </c>
      <c r="G346" s="37" t="s">
        <v>63</v>
      </c>
      <c r="H346" s="41">
        <v>19145</v>
      </c>
      <c r="I346" s="42">
        <v>16073</v>
      </c>
      <c r="J346" s="37" t="s">
        <v>2026</v>
      </c>
      <c r="K346" s="39">
        <v>45485</v>
      </c>
      <c r="L346" s="33" t="s">
        <v>58</v>
      </c>
      <c r="M346" s="41">
        <v>547000</v>
      </c>
      <c r="N346" s="34">
        <f t="shared" si="10"/>
        <v>2571.6799999999998</v>
      </c>
      <c r="O346" s="36">
        <f t="shared" si="11"/>
        <v>160.72999999999999</v>
      </c>
      <c r="P346" s="35">
        <v>500</v>
      </c>
    </row>
    <row r="347" spans="1:16" x14ac:dyDescent="0.25">
      <c r="A347" s="37" t="s">
        <v>458</v>
      </c>
      <c r="B347" s="37"/>
      <c r="C347" s="40" t="s">
        <v>32</v>
      </c>
      <c r="D347" s="39">
        <v>45851</v>
      </c>
      <c r="E347" s="39">
        <v>46216</v>
      </c>
      <c r="F347" s="37" t="s">
        <v>1318</v>
      </c>
      <c r="G347" s="37" t="s">
        <v>63</v>
      </c>
      <c r="H347" s="41">
        <v>19145</v>
      </c>
      <c r="I347" s="42">
        <v>16073</v>
      </c>
      <c r="J347" s="37" t="s">
        <v>2026</v>
      </c>
      <c r="K347" s="39">
        <v>45485</v>
      </c>
      <c r="L347" s="33" t="s">
        <v>58</v>
      </c>
      <c r="M347" s="41">
        <v>547000</v>
      </c>
      <c r="N347" s="34">
        <f t="shared" si="10"/>
        <v>2571.6799999999998</v>
      </c>
      <c r="O347" s="36">
        <f t="shared" si="11"/>
        <v>160.72999999999999</v>
      </c>
      <c r="P347" s="35">
        <v>500</v>
      </c>
    </row>
    <row r="348" spans="1:16" x14ac:dyDescent="0.25">
      <c r="A348" s="37" t="s">
        <v>459</v>
      </c>
      <c r="B348" s="37"/>
      <c r="C348" s="40" t="s">
        <v>53</v>
      </c>
      <c r="D348" s="39">
        <v>45485</v>
      </c>
      <c r="E348" s="39">
        <v>45850</v>
      </c>
      <c r="F348" s="37" t="s">
        <v>1319</v>
      </c>
      <c r="G348" s="37" t="s">
        <v>1730</v>
      </c>
      <c r="H348" s="41">
        <v>8800</v>
      </c>
      <c r="I348" s="42">
        <v>7155</v>
      </c>
      <c r="J348" s="37" t="s">
        <v>2017</v>
      </c>
      <c r="K348" s="39">
        <v>45485</v>
      </c>
      <c r="L348" s="33" t="s">
        <v>58</v>
      </c>
      <c r="M348" s="41">
        <v>352000</v>
      </c>
      <c r="N348" s="34">
        <f t="shared" si="10"/>
        <v>1144.8</v>
      </c>
      <c r="O348" s="36">
        <f t="shared" si="11"/>
        <v>71.55</v>
      </c>
      <c r="P348" s="35">
        <v>500</v>
      </c>
    </row>
    <row r="349" spans="1:16" x14ac:dyDescent="0.25">
      <c r="A349" s="37" t="s">
        <v>460</v>
      </c>
      <c r="B349" s="37"/>
      <c r="C349" s="40" t="s">
        <v>32</v>
      </c>
      <c r="D349" s="39">
        <v>45485</v>
      </c>
      <c r="E349" s="39">
        <v>45850</v>
      </c>
      <c r="F349" s="37" t="s">
        <v>1320</v>
      </c>
      <c r="G349" s="37" t="s">
        <v>61</v>
      </c>
      <c r="H349" s="41">
        <v>12320</v>
      </c>
      <c r="I349" s="42">
        <v>10190</v>
      </c>
      <c r="J349" s="37" t="s">
        <v>2027</v>
      </c>
      <c r="K349" s="39">
        <v>45485</v>
      </c>
      <c r="L349" s="33" t="s">
        <v>58</v>
      </c>
      <c r="M349" s="41">
        <v>352000</v>
      </c>
      <c r="N349" s="34">
        <f t="shared" si="10"/>
        <v>1630.4</v>
      </c>
      <c r="O349" s="36">
        <f t="shared" si="11"/>
        <v>101.9</v>
      </c>
      <c r="P349" s="35">
        <v>500</v>
      </c>
    </row>
    <row r="350" spans="1:16" x14ac:dyDescent="0.25">
      <c r="A350" s="37" t="s">
        <v>461</v>
      </c>
      <c r="B350" s="37"/>
      <c r="C350" s="40" t="s">
        <v>32</v>
      </c>
      <c r="D350" s="39">
        <v>45851</v>
      </c>
      <c r="E350" s="39">
        <v>46216</v>
      </c>
      <c r="F350" s="37" t="s">
        <v>1320</v>
      </c>
      <c r="G350" s="37" t="s">
        <v>61</v>
      </c>
      <c r="H350" s="41">
        <v>12320</v>
      </c>
      <c r="I350" s="42">
        <v>10190</v>
      </c>
      <c r="J350" s="37" t="s">
        <v>2027</v>
      </c>
      <c r="K350" s="39">
        <v>45485</v>
      </c>
      <c r="L350" s="33" t="s">
        <v>58</v>
      </c>
      <c r="M350" s="41">
        <v>352000</v>
      </c>
      <c r="N350" s="34">
        <f t="shared" si="10"/>
        <v>1630.4</v>
      </c>
      <c r="O350" s="36">
        <f t="shared" si="11"/>
        <v>101.9</v>
      </c>
      <c r="P350" s="35">
        <v>500</v>
      </c>
    </row>
    <row r="351" spans="1:16" x14ac:dyDescent="0.25">
      <c r="A351" s="37" t="s">
        <v>462</v>
      </c>
      <c r="B351" s="37"/>
      <c r="C351" s="40" t="s">
        <v>31</v>
      </c>
      <c r="D351" s="39">
        <v>45485</v>
      </c>
      <c r="E351" s="39">
        <v>45850</v>
      </c>
      <c r="F351" s="37" t="s">
        <v>1321</v>
      </c>
      <c r="G351" s="37" t="s">
        <v>61</v>
      </c>
      <c r="H351" s="41">
        <v>12320</v>
      </c>
      <c r="I351" s="42">
        <v>10190</v>
      </c>
      <c r="J351" s="37" t="s">
        <v>2028</v>
      </c>
      <c r="K351" s="39">
        <v>45485</v>
      </c>
      <c r="L351" s="33" t="s">
        <v>58</v>
      </c>
      <c r="M351" s="41">
        <v>352000</v>
      </c>
      <c r="N351" s="34">
        <f t="shared" si="10"/>
        <v>1630.4</v>
      </c>
      <c r="O351" s="36">
        <f t="shared" si="11"/>
        <v>101.9</v>
      </c>
      <c r="P351" s="35">
        <v>500</v>
      </c>
    </row>
    <row r="352" spans="1:16" x14ac:dyDescent="0.25">
      <c r="A352" s="37" t="s">
        <v>463</v>
      </c>
      <c r="B352" s="37"/>
      <c r="C352" s="40" t="s">
        <v>32</v>
      </c>
      <c r="D352" s="39">
        <v>45485</v>
      </c>
      <c r="E352" s="39">
        <v>45850</v>
      </c>
      <c r="F352" s="37" t="s">
        <v>1322</v>
      </c>
      <c r="G352" s="37" t="s">
        <v>64</v>
      </c>
      <c r="H352" s="41">
        <v>17465</v>
      </c>
      <c r="I352" s="42">
        <v>14625</v>
      </c>
      <c r="J352" s="37" t="s">
        <v>2029</v>
      </c>
      <c r="K352" s="39">
        <v>45485</v>
      </c>
      <c r="L352" s="33" t="s">
        <v>58</v>
      </c>
      <c r="M352" s="41">
        <v>499000</v>
      </c>
      <c r="N352" s="34">
        <f t="shared" si="10"/>
        <v>2340</v>
      </c>
      <c r="O352" s="36">
        <f t="shared" si="11"/>
        <v>146.25</v>
      </c>
      <c r="P352" s="35">
        <v>500</v>
      </c>
    </row>
    <row r="353" spans="1:16" x14ac:dyDescent="0.25">
      <c r="A353" s="37" t="s">
        <v>464</v>
      </c>
      <c r="B353" s="37"/>
      <c r="C353" s="40" t="s">
        <v>32</v>
      </c>
      <c r="D353" s="39">
        <v>45851</v>
      </c>
      <c r="E353" s="39">
        <v>46216</v>
      </c>
      <c r="F353" s="37" t="s">
        <v>1322</v>
      </c>
      <c r="G353" s="37" t="s">
        <v>64</v>
      </c>
      <c r="H353" s="41">
        <v>17465</v>
      </c>
      <c r="I353" s="42">
        <v>14625</v>
      </c>
      <c r="J353" s="37" t="s">
        <v>2029</v>
      </c>
      <c r="K353" s="39">
        <v>45485</v>
      </c>
      <c r="L353" s="33" t="s">
        <v>58</v>
      </c>
      <c r="M353" s="41">
        <v>499000</v>
      </c>
      <c r="N353" s="34">
        <f t="shared" si="10"/>
        <v>2340</v>
      </c>
      <c r="O353" s="36">
        <f t="shared" si="11"/>
        <v>146.25</v>
      </c>
      <c r="P353" s="35">
        <v>500</v>
      </c>
    </row>
    <row r="354" spans="1:16" x14ac:dyDescent="0.25">
      <c r="A354" s="37" t="s">
        <v>465</v>
      </c>
      <c r="B354" s="37"/>
      <c r="C354" s="40" t="s">
        <v>49</v>
      </c>
      <c r="D354" s="39">
        <v>45485</v>
      </c>
      <c r="E354" s="39">
        <v>45850</v>
      </c>
      <c r="F354" s="37" t="s">
        <v>1323</v>
      </c>
      <c r="G354" s="37" t="s">
        <v>64</v>
      </c>
      <c r="H354" s="41">
        <v>12475</v>
      </c>
      <c r="I354" s="42">
        <v>10323</v>
      </c>
      <c r="J354" s="37" t="s">
        <v>2030</v>
      </c>
      <c r="K354" s="39">
        <v>45485</v>
      </c>
      <c r="L354" s="33" t="s">
        <v>58</v>
      </c>
      <c r="M354" s="41">
        <v>499000</v>
      </c>
      <c r="N354" s="34">
        <f t="shared" si="10"/>
        <v>1651.68</v>
      </c>
      <c r="O354" s="36">
        <f t="shared" si="11"/>
        <v>103.23</v>
      </c>
      <c r="P354" s="35">
        <v>500</v>
      </c>
    </row>
    <row r="355" spans="1:16" x14ac:dyDescent="0.25">
      <c r="A355" s="37" t="s">
        <v>466</v>
      </c>
      <c r="B355" s="37"/>
      <c r="C355" s="40" t="s">
        <v>32</v>
      </c>
      <c r="D355" s="39">
        <v>45485</v>
      </c>
      <c r="E355" s="39">
        <v>45850</v>
      </c>
      <c r="F355" s="37" t="s">
        <v>1324</v>
      </c>
      <c r="G355" s="37" t="s">
        <v>65</v>
      </c>
      <c r="H355" s="41">
        <v>13370</v>
      </c>
      <c r="I355" s="42">
        <v>11095</v>
      </c>
      <c r="J355" s="37" t="s">
        <v>2031</v>
      </c>
      <c r="K355" s="39">
        <v>45485</v>
      </c>
      <c r="L355" s="33" t="s">
        <v>58</v>
      </c>
      <c r="M355" s="41">
        <v>382000</v>
      </c>
      <c r="N355" s="34">
        <f t="shared" si="10"/>
        <v>1775.2</v>
      </c>
      <c r="O355" s="36">
        <f t="shared" si="11"/>
        <v>110.95</v>
      </c>
      <c r="P355" s="35">
        <v>500</v>
      </c>
    </row>
    <row r="356" spans="1:16" x14ac:dyDescent="0.25">
      <c r="A356" s="37" t="s">
        <v>467</v>
      </c>
      <c r="B356" s="37"/>
      <c r="C356" s="40" t="s">
        <v>32</v>
      </c>
      <c r="D356" s="39">
        <v>45851</v>
      </c>
      <c r="E356" s="39">
        <v>46216</v>
      </c>
      <c r="F356" s="37" t="s">
        <v>1324</v>
      </c>
      <c r="G356" s="37" t="s">
        <v>65</v>
      </c>
      <c r="H356" s="41">
        <v>13370</v>
      </c>
      <c r="I356" s="42">
        <v>11095</v>
      </c>
      <c r="J356" s="37" t="s">
        <v>2031</v>
      </c>
      <c r="K356" s="39">
        <v>45485</v>
      </c>
      <c r="L356" s="33" t="s">
        <v>58</v>
      </c>
      <c r="M356" s="41">
        <v>382000</v>
      </c>
      <c r="N356" s="34">
        <f t="shared" si="10"/>
        <v>1775.2</v>
      </c>
      <c r="O356" s="36">
        <f t="shared" si="11"/>
        <v>110.95</v>
      </c>
      <c r="P356" s="35">
        <v>500</v>
      </c>
    </row>
    <row r="357" spans="1:16" x14ac:dyDescent="0.25">
      <c r="A357" s="37" t="s">
        <v>468</v>
      </c>
      <c r="B357" s="37"/>
      <c r="C357" s="40" t="s">
        <v>49</v>
      </c>
      <c r="D357" s="39">
        <v>45485</v>
      </c>
      <c r="E357" s="39">
        <v>45850</v>
      </c>
      <c r="F357" s="37" t="s">
        <v>1325</v>
      </c>
      <c r="G357" s="37" t="s">
        <v>61</v>
      </c>
      <c r="H357" s="41">
        <v>8800</v>
      </c>
      <c r="I357" s="42">
        <v>7155</v>
      </c>
      <c r="J357" s="37" t="s">
        <v>2032</v>
      </c>
      <c r="K357" s="39">
        <v>45485</v>
      </c>
      <c r="L357" s="33" t="s">
        <v>58</v>
      </c>
      <c r="M357" s="41">
        <v>352000</v>
      </c>
      <c r="N357" s="34">
        <f t="shared" si="10"/>
        <v>1144.8</v>
      </c>
      <c r="O357" s="36">
        <f t="shared" si="11"/>
        <v>71.55</v>
      </c>
      <c r="P357" s="35">
        <v>500</v>
      </c>
    </row>
    <row r="358" spans="1:16" x14ac:dyDescent="0.25">
      <c r="A358" s="37" t="s">
        <v>469</v>
      </c>
      <c r="B358" s="37"/>
      <c r="C358" s="40" t="s">
        <v>31</v>
      </c>
      <c r="D358" s="39">
        <v>45485</v>
      </c>
      <c r="E358" s="39">
        <v>45850</v>
      </c>
      <c r="F358" s="37" t="s">
        <v>1326</v>
      </c>
      <c r="G358" s="37" t="s">
        <v>61</v>
      </c>
      <c r="H358" s="41">
        <v>12320</v>
      </c>
      <c r="I358" s="42">
        <v>10190</v>
      </c>
      <c r="J358" s="37" t="s">
        <v>2033</v>
      </c>
      <c r="K358" s="39">
        <v>45485</v>
      </c>
      <c r="L358" s="33" t="s">
        <v>58</v>
      </c>
      <c r="M358" s="41">
        <v>352000</v>
      </c>
      <c r="N358" s="34">
        <f t="shared" si="10"/>
        <v>1630.4</v>
      </c>
      <c r="O358" s="36">
        <f t="shared" si="11"/>
        <v>101.9</v>
      </c>
      <c r="P358" s="35">
        <v>500</v>
      </c>
    </row>
    <row r="359" spans="1:16" x14ac:dyDescent="0.25">
      <c r="A359" s="37" t="s">
        <v>470</v>
      </c>
      <c r="B359" s="37"/>
      <c r="C359" s="40" t="s">
        <v>31</v>
      </c>
      <c r="D359" s="39">
        <v>45851</v>
      </c>
      <c r="E359" s="39">
        <v>46216</v>
      </c>
      <c r="F359" s="37" t="s">
        <v>1326</v>
      </c>
      <c r="G359" s="37" t="s">
        <v>61</v>
      </c>
      <c r="H359" s="41">
        <v>12320</v>
      </c>
      <c r="I359" s="42">
        <v>10190</v>
      </c>
      <c r="J359" s="37" t="s">
        <v>2033</v>
      </c>
      <c r="K359" s="39">
        <v>45485</v>
      </c>
      <c r="L359" s="33" t="s">
        <v>58</v>
      </c>
      <c r="M359" s="41">
        <v>352000</v>
      </c>
      <c r="N359" s="34">
        <f t="shared" si="10"/>
        <v>1630.4</v>
      </c>
      <c r="O359" s="36">
        <f t="shared" si="11"/>
        <v>101.9</v>
      </c>
      <c r="P359" s="35">
        <v>500</v>
      </c>
    </row>
    <row r="360" spans="1:16" x14ac:dyDescent="0.25">
      <c r="A360" s="37" t="s">
        <v>471</v>
      </c>
      <c r="B360" s="37"/>
      <c r="C360" s="40" t="s">
        <v>39</v>
      </c>
      <c r="D360" s="39">
        <v>45485</v>
      </c>
      <c r="E360" s="39">
        <v>45850</v>
      </c>
      <c r="F360" s="37" t="s">
        <v>1327</v>
      </c>
      <c r="G360" s="37" t="s">
        <v>61</v>
      </c>
      <c r="H360" s="41">
        <v>12320</v>
      </c>
      <c r="I360" s="42">
        <v>10190</v>
      </c>
      <c r="J360" s="37" t="s">
        <v>2034</v>
      </c>
      <c r="K360" s="39">
        <v>45485</v>
      </c>
      <c r="L360" s="33" t="s">
        <v>58</v>
      </c>
      <c r="M360" s="41">
        <v>352000</v>
      </c>
      <c r="N360" s="34">
        <f t="shared" si="10"/>
        <v>1630.4</v>
      </c>
      <c r="O360" s="36">
        <f t="shared" si="11"/>
        <v>101.9</v>
      </c>
      <c r="P360" s="35">
        <v>500</v>
      </c>
    </row>
    <row r="361" spans="1:16" x14ac:dyDescent="0.25">
      <c r="A361" s="37" t="s">
        <v>472</v>
      </c>
      <c r="B361" s="37"/>
      <c r="C361" s="40" t="s">
        <v>39</v>
      </c>
      <c r="D361" s="39">
        <v>45851</v>
      </c>
      <c r="E361" s="39">
        <v>46216</v>
      </c>
      <c r="F361" s="37" t="s">
        <v>1327</v>
      </c>
      <c r="G361" s="37" t="s">
        <v>61</v>
      </c>
      <c r="H361" s="41">
        <v>12320</v>
      </c>
      <c r="I361" s="42">
        <v>10190</v>
      </c>
      <c r="J361" s="37" t="s">
        <v>2034</v>
      </c>
      <c r="K361" s="39">
        <v>45485</v>
      </c>
      <c r="L361" s="33" t="s">
        <v>58</v>
      </c>
      <c r="M361" s="41">
        <v>352000</v>
      </c>
      <c r="N361" s="34">
        <f t="shared" si="10"/>
        <v>1630.4</v>
      </c>
      <c r="O361" s="36">
        <f t="shared" si="11"/>
        <v>101.9</v>
      </c>
      <c r="P361" s="35">
        <v>500</v>
      </c>
    </row>
    <row r="362" spans="1:16" x14ac:dyDescent="0.25">
      <c r="A362" s="37" t="s">
        <v>473</v>
      </c>
      <c r="B362" s="37"/>
      <c r="C362" s="40" t="s">
        <v>32</v>
      </c>
      <c r="D362" s="39">
        <v>45485</v>
      </c>
      <c r="E362" s="39">
        <v>45850</v>
      </c>
      <c r="F362" s="37" t="s">
        <v>1328</v>
      </c>
      <c r="G362" s="37" t="s">
        <v>62</v>
      </c>
      <c r="H362" s="41">
        <v>13370</v>
      </c>
      <c r="I362" s="42">
        <v>11095</v>
      </c>
      <c r="J362" s="37" t="s">
        <v>2035</v>
      </c>
      <c r="K362" s="39">
        <v>45485</v>
      </c>
      <c r="L362" s="33" t="s">
        <v>58</v>
      </c>
      <c r="M362" s="41">
        <v>382000</v>
      </c>
      <c r="N362" s="34">
        <f t="shared" si="10"/>
        <v>1775.2</v>
      </c>
      <c r="O362" s="36">
        <f t="shared" si="11"/>
        <v>110.95</v>
      </c>
      <c r="P362" s="35">
        <v>500</v>
      </c>
    </row>
    <row r="363" spans="1:16" x14ac:dyDescent="0.25">
      <c r="A363" s="37" t="s">
        <v>474</v>
      </c>
      <c r="B363" s="37"/>
      <c r="C363" s="40" t="s">
        <v>32</v>
      </c>
      <c r="D363" s="39">
        <v>45851</v>
      </c>
      <c r="E363" s="39">
        <v>46216</v>
      </c>
      <c r="F363" s="37" t="s">
        <v>1328</v>
      </c>
      <c r="G363" s="37" t="s">
        <v>62</v>
      </c>
      <c r="H363" s="41">
        <v>13370</v>
      </c>
      <c r="I363" s="42">
        <v>11095</v>
      </c>
      <c r="J363" s="37" t="s">
        <v>2035</v>
      </c>
      <c r="K363" s="39">
        <v>45485</v>
      </c>
      <c r="L363" s="33" t="s">
        <v>58</v>
      </c>
      <c r="M363" s="41">
        <v>382000</v>
      </c>
      <c r="N363" s="34">
        <f t="shared" si="10"/>
        <v>1775.2</v>
      </c>
      <c r="O363" s="36">
        <f t="shared" si="11"/>
        <v>110.95</v>
      </c>
      <c r="P363" s="35">
        <v>500</v>
      </c>
    </row>
    <row r="364" spans="1:16" x14ac:dyDescent="0.25">
      <c r="A364" s="37" t="s">
        <v>475</v>
      </c>
      <c r="B364" s="37"/>
      <c r="C364" s="40" t="s">
        <v>31</v>
      </c>
      <c r="D364" s="39">
        <v>45485</v>
      </c>
      <c r="E364" s="39">
        <v>45850</v>
      </c>
      <c r="F364" s="37" t="s">
        <v>1329</v>
      </c>
      <c r="G364" s="37" t="s">
        <v>62</v>
      </c>
      <c r="H364" s="41">
        <v>13370</v>
      </c>
      <c r="I364" s="42">
        <v>11095</v>
      </c>
      <c r="J364" s="37" t="s">
        <v>2036</v>
      </c>
      <c r="K364" s="39">
        <v>45485</v>
      </c>
      <c r="L364" s="33" t="s">
        <v>58</v>
      </c>
      <c r="M364" s="41">
        <v>382000</v>
      </c>
      <c r="N364" s="34">
        <f t="shared" si="10"/>
        <v>1775.2</v>
      </c>
      <c r="O364" s="36">
        <f t="shared" si="11"/>
        <v>110.95</v>
      </c>
      <c r="P364" s="35">
        <v>500</v>
      </c>
    </row>
    <row r="365" spans="1:16" x14ac:dyDescent="0.25">
      <c r="A365" s="37" t="s">
        <v>476</v>
      </c>
      <c r="B365" s="37"/>
      <c r="C365" s="40" t="s">
        <v>35</v>
      </c>
      <c r="D365" s="39">
        <v>45485</v>
      </c>
      <c r="E365" s="39">
        <v>45850</v>
      </c>
      <c r="F365" s="37" t="s">
        <v>1330</v>
      </c>
      <c r="G365" s="37" t="s">
        <v>61</v>
      </c>
      <c r="H365" s="41">
        <v>12320</v>
      </c>
      <c r="I365" s="42">
        <v>10190</v>
      </c>
      <c r="J365" s="37" t="s">
        <v>2037</v>
      </c>
      <c r="K365" s="39">
        <v>45485</v>
      </c>
      <c r="L365" s="33" t="s">
        <v>58</v>
      </c>
      <c r="M365" s="41">
        <v>352000</v>
      </c>
      <c r="N365" s="34">
        <f t="shared" si="10"/>
        <v>1630.4</v>
      </c>
      <c r="O365" s="36">
        <f t="shared" si="11"/>
        <v>101.9</v>
      </c>
      <c r="P365" s="35">
        <v>500</v>
      </c>
    </row>
    <row r="366" spans="1:16" x14ac:dyDescent="0.25">
      <c r="A366" s="37" t="s">
        <v>477</v>
      </c>
      <c r="B366" s="37"/>
      <c r="C366" s="40" t="s">
        <v>72</v>
      </c>
      <c r="D366" s="39">
        <v>45485</v>
      </c>
      <c r="E366" s="39">
        <v>45850</v>
      </c>
      <c r="F366" s="37" t="s">
        <v>1331</v>
      </c>
      <c r="G366" s="37" t="s">
        <v>61</v>
      </c>
      <c r="H366" s="41">
        <v>8800</v>
      </c>
      <c r="I366" s="42">
        <v>7155</v>
      </c>
      <c r="J366" s="37" t="s">
        <v>2039</v>
      </c>
      <c r="K366" s="39">
        <v>45485</v>
      </c>
      <c r="L366" s="33" t="s">
        <v>58</v>
      </c>
      <c r="M366" s="41">
        <v>352000</v>
      </c>
      <c r="N366" s="34">
        <f t="shared" si="10"/>
        <v>1144.8</v>
      </c>
      <c r="O366" s="36">
        <f t="shared" si="11"/>
        <v>71.55</v>
      </c>
      <c r="P366" s="35">
        <v>500</v>
      </c>
    </row>
    <row r="367" spans="1:16" x14ac:dyDescent="0.25">
      <c r="A367" s="37" t="s">
        <v>478</v>
      </c>
      <c r="B367" s="37"/>
      <c r="C367" s="40" t="s">
        <v>67</v>
      </c>
      <c r="D367" s="39">
        <v>45485</v>
      </c>
      <c r="E367" s="39">
        <v>45850</v>
      </c>
      <c r="F367" s="37" t="s">
        <v>1332</v>
      </c>
      <c r="G367" s="37" t="s">
        <v>62</v>
      </c>
      <c r="H367" s="41">
        <v>9550</v>
      </c>
      <c r="I367" s="42">
        <v>7802</v>
      </c>
      <c r="J367" s="37" t="s">
        <v>2040</v>
      </c>
      <c r="K367" s="39">
        <v>45485</v>
      </c>
      <c r="L367" s="33" t="s">
        <v>58</v>
      </c>
      <c r="M367" s="41">
        <v>382000</v>
      </c>
      <c r="N367" s="34">
        <f t="shared" si="10"/>
        <v>1248.32</v>
      </c>
      <c r="O367" s="36">
        <f t="shared" si="11"/>
        <v>78.02</v>
      </c>
      <c r="P367" s="35">
        <v>500</v>
      </c>
    </row>
    <row r="368" spans="1:16" x14ac:dyDescent="0.25">
      <c r="A368" s="37" t="s">
        <v>479</v>
      </c>
      <c r="B368" s="37"/>
      <c r="C368" s="40" t="s">
        <v>32</v>
      </c>
      <c r="D368" s="39">
        <v>45485</v>
      </c>
      <c r="E368" s="39">
        <v>45850</v>
      </c>
      <c r="F368" s="37" t="s">
        <v>1333</v>
      </c>
      <c r="G368" s="37" t="s">
        <v>62</v>
      </c>
      <c r="H368" s="41">
        <v>13370</v>
      </c>
      <c r="I368" s="42">
        <v>11095</v>
      </c>
      <c r="J368" s="37" t="s">
        <v>2041</v>
      </c>
      <c r="K368" s="39">
        <v>45485</v>
      </c>
      <c r="L368" s="33" t="s">
        <v>58</v>
      </c>
      <c r="M368" s="41">
        <v>382000</v>
      </c>
      <c r="N368" s="34">
        <f t="shared" si="10"/>
        <v>1775.2</v>
      </c>
      <c r="O368" s="36">
        <f t="shared" si="11"/>
        <v>110.95</v>
      </c>
      <c r="P368" s="35">
        <v>500</v>
      </c>
    </row>
    <row r="369" spans="1:16" x14ac:dyDescent="0.25">
      <c r="A369" s="37" t="s">
        <v>480</v>
      </c>
      <c r="B369" s="37"/>
      <c r="C369" s="40" t="s">
        <v>32</v>
      </c>
      <c r="D369" s="39">
        <v>45851</v>
      </c>
      <c r="E369" s="39">
        <v>46216</v>
      </c>
      <c r="F369" s="37" t="s">
        <v>1333</v>
      </c>
      <c r="G369" s="37" t="s">
        <v>62</v>
      </c>
      <c r="H369" s="41">
        <v>13370</v>
      </c>
      <c r="I369" s="42">
        <v>11095</v>
      </c>
      <c r="J369" s="37" t="s">
        <v>2041</v>
      </c>
      <c r="K369" s="39">
        <v>45485</v>
      </c>
      <c r="L369" s="33" t="s">
        <v>58</v>
      </c>
      <c r="M369" s="41">
        <v>382000</v>
      </c>
      <c r="N369" s="34">
        <f t="shared" si="10"/>
        <v>1775.2</v>
      </c>
      <c r="O369" s="36">
        <f t="shared" si="11"/>
        <v>110.95</v>
      </c>
      <c r="P369" s="35">
        <v>500</v>
      </c>
    </row>
    <row r="370" spans="1:16" x14ac:dyDescent="0.25">
      <c r="A370" s="37" t="s">
        <v>481</v>
      </c>
      <c r="B370" s="37"/>
      <c r="C370" s="40" t="s">
        <v>55</v>
      </c>
      <c r="D370" s="39">
        <v>45485</v>
      </c>
      <c r="E370" s="39">
        <v>45850</v>
      </c>
      <c r="F370" s="37" t="s">
        <v>1334</v>
      </c>
      <c r="G370" s="37" t="s">
        <v>61</v>
      </c>
      <c r="H370" s="41">
        <v>8800</v>
      </c>
      <c r="I370" s="42">
        <v>7155</v>
      </c>
      <c r="J370" s="37" t="s">
        <v>2042</v>
      </c>
      <c r="K370" s="39">
        <v>45485</v>
      </c>
      <c r="L370" s="33" t="s">
        <v>58</v>
      </c>
      <c r="M370" s="41">
        <v>352000</v>
      </c>
      <c r="N370" s="34">
        <f t="shared" si="10"/>
        <v>1144.8</v>
      </c>
      <c r="O370" s="36">
        <f t="shared" si="11"/>
        <v>71.55</v>
      </c>
      <c r="P370" s="35">
        <v>500</v>
      </c>
    </row>
    <row r="371" spans="1:16" x14ac:dyDescent="0.25">
      <c r="A371" s="37" t="s">
        <v>482</v>
      </c>
      <c r="B371" s="37"/>
      <c r="C371" s="40" t="s">
        <v>53</v>
      </c>
      <c r="D371" s="39">
        <v>45485</v>
      </c>
      <c r="E371" s="39">
        <v>45850</v>
      </c>
      <c r="F371" s="37" t="s">
        <v>1335</v>
      </c>
      <c r="G371" s="37" t="s">
        <v>62</v>
      </c>
      <c r="H371" s="41">
        <v>9550</v>
      </c>
      <c r="I371" s="42">
        <v>7802</v>
      </c>
      <c r="J371" s="37" t="s">
        <v>2043</v>
      </c>
      <c r="K371" s="39">
        <v>45485</v>
      </c>
      <c r="L371" s="33" t="s">
        <v>58</v>
      </c>
      <c r="M371" s="41">
        <v>382000</v>
      </c>
      <c r="N371" s="34">
        <f t="shared" si="10"/>
        <v>1248.32</v>
      </c>
      <c r="O371" s="36">
        <f t="shared" si="11"/>
        <v>78.02</v>
      </c>
      <c r="P371" s="35">
        <v>500</v>
      </c>
    </row>
    <row r="372" spans="1:16" x14ac:dyDescent="0.25">
      <c r="A372" s="37" t="s">
        <v>483</v>
      </c>
      <c r="B372" s="37"/>
      <c r="C372" s="40" t="s">
        <v>67</v>
      </c>
      <c r="D372" s="39">
        <v>45485</v>
      </c>
      <c r="E372" s="39">
        <v>45850</v>
      </c>
      <c r="F372" s="37" t="s">
        <v>1336</v>
      </c>
      <c r="G372" s="37" t="s">
        <v>62</v>
      </c>
      <c r="H372" s="41">
        <v>9550</v>
      </c>
      <c r="I372" s="42">
        <v>7802</v>
      </c>
      <c r="J372" s="37" t="s">
        <v>2044</v>
      </c>
      <c r="K372" s="39">
        <v>45485</v>
      </c>
      <c r="L372" s="33" t="s">
        <v>58</v>
      </c>
      <c r="M372" s="41">
        <v>382000</v>
      </c>
      <c r="N372" s="34">
        <f t="shared" si="10"/>
        <v>1248.32</v>
      </c>
      <c r="O372" s="36">
        <f t="shared" si="11"/>
        <v>78.02</v>
      </c>
      <c r="P372" s="35">
        <v>500</v>
      </c>
    </row>
    <row r="373" spans="1:16" x14ac:dyDescent="0.25">
      <c r="A373" s="37" t="s">
        <v>484</v>
      </c>
      <c r="B373" s="37"/>
      <c r="C373" s="40" t="s">
        <v>32</v>
      </c>
      <c r="D373" s="39">
        <v>45485</v>
      </c>
      <c r="E373" s="39">
        <v>45850</v>
      </c>
      <c r="F373" s="37" t="s">
        <v>1337</v>
      </c>
      <c r="G373" s="37" t="s">
        <v>63</v>
      </c>
      <c r="H373" s="41">
        <v>19145</v>
      </c>
      <c r="I373" s="42">
        <v>16073</v>
      </c>
      <c r="J373" s="37" t="s">
        <v>1738</v>
      </c>
      <c r="K373" s="39">
        <v>45485</v>
      </c>
      <c r="L373" s="33" t="s">
        <v>58</v>
      </c>
      <c r="M373" s="41">
        <v>547000</v>
      </c>
      <c r="N373" s="34">
        <f t="shared" si="10"/>
        <v>2571.6799999999998</v>
      </c>
      <c r="O373" s="36">
        <f t="shared" si="11"/>
        <v>160.72999999999999</v>
      </c>
      <c r="P373" s="35">
        <v>500</v>
      </c>
    </row>
    <row r="374" spans="1:16" x14ac:dyDescent="0.25">
      <c r="A374" s="37" t="s">
        <v>485</v>
      </c>
      <c r="B374" s="37"/>
      <c r="C374" s="40" t="s">
        <v>32</v>
      </c>
      <c r="D374" s="39">
        <v>45851</v>
      </c>
      <c r="E374" s="39">
        <v>46216</v>
      </c>
      <c r="F374" s="37" t="s">
        <v>1337</v>
      </c>
      <c r="G374" s="37" t="s">
        <v>63</v>
      </c>
      <c r="H374" s="41">
        <v>19145</v>
      </c>
      <c r="I374" s="42">
        <v>16073</v>
      </c>
      <c r="J374" s="37" t="s">
        <v>1738</v>
      </c>
      <c r="K374" s="39">
        <v>45485</v>
      </c>
      <c r="L374" s="33" t="s">
        <v>58</v>
      </c>
      <c r="M374" s="41">
        <v>547000</v>
      </c>
      <c r="N374" s="34">
        <f t="shared" si="10"/>
        <v>2571.6799999999998</v>
      </c>
      <c r="O374" s="36">
        <f t="shared" si="11"/>
        <v>160.72999999999999</v>
      </c>
      <c r="P374" s="35">
        <v>500</v>
      </c>
    </row>
    <row r="375" spans="1:16" x14ac:dyDescent="0.25">
      <c r="A375" s="37" t="s">
        <v>486</v>
      </c>
      <c r="B375" s="37"/>
      <c r="C375" s="40" t="s">
        <v>32</v>
      </c>
      <c r="D375" s="39">
        <v>45485</v>
      </c>
      <c r="E375" s="39">
        <v>45850</v>
      </c>
      <c r="F375" s="37" t="s">
        <v>1338</v>
      </c>
      <c r="G375" s="37" t="s">
        <v>62</v>
      </c>
      <c r="H375" s="41">
        <v>13370</v>
      </c>
      <c r="I375" s="42">
        <v>11095</v>
      </c>
      <c r="J375" s="37" t="s">
        <v>2045</v>
      </c>
      <c r="K375" s="39">
        <v>45485</v>
      </c>
      <c r="L375" s="33" t="s">
        <v>58</v>
      </c>
      <c r="M375" s="41">
        <v>382000</v>
      </c>
      <c r="N375" s="34">
        <f t="shared" si="10"/>
        <v>1775.2</v>
      </c>
      <c r="O375" s="36">
        <f t="shared" si="11"/>
        <v>110.95</v>
      </c>
      <c r="P375" s="35">
        <v>500</v>
      </c>
    </row>
    <row r="376" spans="1:16" x14ac:dyDescent="0.25">
      <c r="A376" s="37" t="s">
        <v>487</v>
      </c>
      <c r="B376" s="37"/>
      <c r="C376" s="40" t="s">
        <v>67</v>
      </c>
      <c r="D376" s="39">
        <v>45485</v>
      </c>
      <c r="E376" s="39">
        <v>45850</v>
      </c>
      <c r="F376" s="37" t="s">
        <v>1339</v>
      </c>
      <c r="G376" s="37" t="s">
        <v>61</v>
      </c>
      <c r="H376" s="41">
        <v>8800</v>
      </c>
      <c r="I376" s="42">
        <v>7155</v>
      </c>
      <c r="J376" s="37" t="s">
        <v>2046</v>
      </c>
      <c r="K376" s="39">
        <v>45485</v>
      </c>
      <c r="L376" s="33" t="s">
        <v>58</v>
      </c>
      <c r="M376" s="41">
        <v>352000</v>
      </c>
      <c r="N376" s="34">
        <f t="shared" si="10"/>
        <v>1144.8</v>
      </c>
      <c r="O376" s="36">
        <f t="shared" si="11"/>
        <v>71.55</v>
      </c>
      <c r="P376" s="35">
        <v>500</v>
      </c>
    </row>
    <row r="377" spans="1:16" x14ac:dyDescent="0.25">
      <c r="A377" s="37" t="s">
        <v>488</v>
      </c>
      <c r="B377" s="37"/>
      <c r="C377" s="40" t="s">
        <v>55</v>
      </c>
      <c r="D377" s="39">
        <v>45485</v>
      </c>
      <c r="E377" s="39">
        <v>45850</v>
      </c>
      <c r="F377" s="37" t="s">
        <v>1340</v>
      </c>
      <c r="G377" s="37" t="s">
        <v>61</v>
      </c>
      <c r="H377" s="41">
        <v>8800</v>
      </c>
      <c r="I377" s="42">
        <v>7155</v>
      </c>
      <c r="J377" s="37" t="s">
        <v>2047</v>
      </c>
      <c r="K377" s="39">
        <v>45485</v>
      </c>
      <c r="L377" s="33" t="s">
        <v>58</v>
      </c>
      <c r="M377" s="41">
        <v>352000</v>
      </c>
      <c r="N377" s="34">
        <f t="shared" si="10"/>
        <v>1144.8</v>
      </c>
      <c r="O377" s="36">
        <f t="shared" si="11"/>
        <v>71.55</v>
      </c>
      <c r="P377" s="35">
        <v>500</v>
      </c>
    </row>
    <row r="378" spans="1:16" x14ac:dyDescent="0.25">
      <c r="A378" s="37" t="s">
        <v>489</v>
      </c>
      <c r="B378" s="37"/>
      <c r="C378" s="40" t="s">
        <v>35</v>
      </c>
      <c r="D378" s="39">
        <v>45485</v>
      </c>
      <c r="E378" s="39">
        <v>45850</v>
      </c>
      <c r="F378" s="37" t="s">
        <v>1341</v>
      </c>
      <c r="G378" s="37" t="s">
        <v>63</v>
      </c>
      <c r="H378" s="41">
        <v>19145</v>
      </c>
      <c r="I378" s="42">
        <v>16073</v>
      </c>
      <c r="J378" s="37" t="s">
        <v>2048</v>
      </c>
      <c r="K378" s="39">
        <v>45485</v>
      </c>
      <c r="L378" s="33" t="s">
        <v>58</v>
      </c>
      <c r="M378" s="41">
        <v>547000</v>
      </c>
      <c r="N378" s="34">
        <f t="shared" si="10"/>
        <v>2571.6799999999998</v>
      </c>
      <c r="O378" s="36">
        <f t="shared" si="11"/>
        <v>160.72999999999999</v>
      </c>
      <c r="P378" s="35">
        <v>500</v>
      </c>
    </row>
    <row r="379" spans="1:16" x14ac:dyDescent="0.25">
      <c r="A379" s="37" t="s">
        <v>490</v>
      </c>
      <c r="B379" s="37"/>
      <c r="C379" s="40" t="s">
        <v>1072</v>
      </c>
      <c r="D379" s="39">
        <v>45485</v>
      </c>
      <c r="E379" s="39">
        <v>45850</v>
      </c>
      <c r="F379" s="37" t="s">
        <v>1342</v>
      </c>
      <c r="G379" s="37" t="s">
        <v>61</v>
      </c>
      <c r="H379" s="41">
        <v>8800</v>
      </c>
      <c r="I379" s="42">
        <v>7155</v>
      </c>
      <c r="J379" s="37" t="s">
        <v>2049</v>
      </c>
      <c r="K379" s="39">
        <v>45485</v>
      </c>
      <c r="L379" s="33" t="s">
        <v>58</v>
      </c>
      <c r="M379" s="41">
        <v>352000</v>
      </c>
      <c r="N379" s="34">
        <f t="shared" si="10"/>
        <v>1144.8</v>
      </c>
      <c r="O379" s="36">
        <f t="shared" si="11"/>
        <v>71.55</v>
      </c>
      <c r="P379" s="35">
        <v>500</v>
      </c>
    </row>
    <row r="380" spans="1:16" x14ac:dyDescent="0.25">
      <c r="A380" s="37" t="s">
        <v>491</v>
      </c>
      <c r="B380" s="37"/>
      <c r="C380" s="40" t="s">
        <v>72</v>
      </c>
      <c r="D380" s="39">
        <v>45485</v>
      </c>
      <c r="E380" s="39">
        <v>45850</v>
      </c>
      <c r="F380" s="37" t="s">
        <v>1343</v>
      </c>
      <c r="G380" s="37" t="s">
        <v>62</v>
      </c>
      <c r="H380" s="41">
        <v>9550</v>
      </c>
      <c r="I380" s="42">
        <v>7802</v>
      </c>
      <c r="J380" s="37" t="s">
        <v>2050</v>
      </c>
      <c r="K380" s="39">
        <v>45485</v>
      </c>
      <c r="L380" s="33" t="s">
        <v>58</v>
      </c>
      <c r="M380" s="41">
        <v>382000</v>
      </c>
      <c r="N380" s="34">
        <f t="shared" si="10"/>
        <v>1248.32</v>
      </c>
      <c r="O380" s="36">
        <f t="shared" si="11"/>
        <v>78.02</v>
      </c>
      <c r="P380" s="35">
        <v>500</v>
      </c>
    </row>
    <row r="381" spans="1:16" x14ac:dyDescent="0.25">
      <c r="A381" s="37" t="s">
        <v>492</v>
      </c>
      <c r="B381" s="37"/>
      <c r="C381" s="40" t="s">
        <v>1072</v>
      </c>
      <c r="D381" s="39">
        <v>45485</v>
      </c>
      <c r="E381" s="39">
        <v>45850</v>
      </c>
      <c r="F381" s="37" t="s">
        <v>1344</v>
      </c>
      <c r="G381" s="37" t="s">
        <v>64</v>
      </c>
      <c r="H381" s="41">
        <v>12475</v>
      </c>
      <c r="I381" s="42">
        <v>10323</v>
      </c>
      <c r="J381" s="37" t="s">
        <v>2051</v>
      </c>
      <c r="K381" s="39">
        <v>45485</v>
      </c>
      <c r="L381" s="33" t="s">
        <v>58</v>
      </c>
      <c r="M381" s="41">
        <v>499000</v>
      </c>
      <c r="N381" s="34">
        <f t="shared" si="10"/>
        <v>1651.68</v>
      </c>
      <c r="O381" s="36">
        <f t="shared" si="11"/>
        <v>103.23</v>
      </c>
      <c r="P381" s="35">
        <v>500</v>
      </c>
    </row>
    <row r="382" spans="1:16" x14ac:dyDescent="0.25">
      <c r="A382" s="37" t="s">
        <v>493</v>
      </c>
      <c r="B382" s="37"/>
      <c r="C382" s="40" t="s">
        <v>1072</v>
      </c>
      <c r="D382" s="39">
        <v>45485</v>
      </c>
      <c r="E382" s="39">
        <v>45850</v>
      </c>
      <c r="F382" s="37" t="s">
        <v>1345</v>
      </c>
      <c r="G382" s="37" t="s">
        <v>65</v>
      </c>
      <c r="H382" s="41">
        <v>9550</v>
      </c>
      <c r="I382" s="42">
        <v>7802</v>
      </c>
      <c r="J382" s="37" t="s">
        <v>2052</v>
      </c>
      <c r="K382" s="39">
        <v>45485</v>
      </c>
      <c r="L382" s="33" t="s">
        <v>58</v>
      </c>
      <c r="M382" s="41">
        <v>382000</v>
      </c>
      <c r="N382" s="34">
        <f t="shared" si="10"/>
        <v>1248.32</v>
      </c>
      <c r="O382" s="36">
        <f t="shared" si="11"/>
        <v>78.02</v>
      </c>
      <c r="P382" s="35">
        <v>500</v>
      </c>
    </row>
    <row r="383" spans="1:16" x14ac:dyDescent="0.25">
      <c r="A383" s="37" t="s">
        <v>494</v>
      </c>
      <c r="B383" s="37"/>
      <c r="C383" s="40" t="s">
        <v>1072</v>
      </c>
      <c r="D383" s="39">
        <v>45485</v>
      </c>
      <c r="E383" s="39">
        <v>45850</v>
      </c>
      <c r="F383" s="37" t="s">
        <v>1346</v>
      </c>
      <c r="G383" s="37" t="s">
        <v>61</v>
      </c>
      <c r="H383" s="41">
        <v>8800</v>
      </c>
      <c r="I383" s="42">
        <v>7155</v>
      </c>
      <c r="J383" s="37" t="s">
        <v>2053</v>
      </c>
      <c r="K383" s="39">
        <v>45485</v>
      </c>
      <c r="L383" s="33" t="s">
        <v>58</v>
      </c>
      <c r="M383" s="41">
        <v>352000</v>
      </c>
      <c r="N383" s="34">
        <f t="shared" si="10"/>
        <v>1144.8</v>
      </c>
      <c r="O383" s="36">
        <f t="shared" si="11"/>
        <v>71.55</v>
      </c>
      <c r="P383" s="35">
        <v>500</v>
      </c>
    </row>
    <row r="384" spans="1:16" x14ac:dyDescent="0.25">
      <c r="A384" s="37" t="s">
        <v>495</v>
      </c>
      <c r="B384" s="37"/>
      <c r="C384" s="40" t="s">
        <v>1072</v>
      </c>
      <c r="D384" s="39">
        <v>45485</v>
      </c>
      <c r="E384" s="39">
        <v>45850</v>
      </c>
      <c r="F384" s="37" t="s">
        <v>1347</v>
      </c>
      <c r="G384" s="37" t="s">
        <v>62</v>
      </c>
      <c r="H384" s="41">
        <v>9550</v>
      </c>
      <c r="I384" s="42">
        <v>7802</v>
      </c>
      <c r="J384" s="37" t="s">
        <v>2054</v>
      </c>
      <c r="K384" s="39">
        <v>45485</v>
      </c>
      <c r="L384" s="33" t="s">
        <v>58</v>
      </c>
      <c r="M384" s="41">
        <v>382000</v>
      </c>
      <c r="N384" s="34">
        <f t="shared" si="10"/>
        <v>1248.32</v>
      </c>
      <c r="O384" s="36">
        <f t="shared" si="11"/>
        <v>78.02</v>
      </c>
      <c r="P384" s="35">
        <v>500</v>
      </c>
    </row>
    <row r="385" spans="1:16" x14ac:dyDescent="0.25">
      <c r="A385" s="37" t="s">
        <v>496</v>
      </c>
      <c r="B385" s="37"/>
      <c r="C385" s="40" t="s">
        <v>67</v>
      </c>
      <c r="D385" s="39">
        <v>45485</v>
      </c>
      <c r="E385" s="39">
        <v>45850</v>
      </c>
      <c r="F385" s="37" t="s">
        <v>1348</v>
      </c>
      <c r="G385" s="37" t="s">
        <v>62</v>
      </c>
      <c r="H385" s="41">
        <v>9550</v>
      </c>
      <c r="I385" s="42">
        <v>7802</v>
      </c>
      <c r="J385" s="37" t="s">
        <v>2055</v>
      </c>
      <c r="K385" s="39">
        <v>45485</v>
      </c>
      <c r="L385" s="33" t="s">
        <v>58</v>
      </c>
      <c r="M385" s="41">
        <v>382000</v>
      </c>
      <c r="N385" s="34">
        <f t="shared" si="10"/>
        <v>1248.32</v>
      </c>
      <c r="O385" s="36">
        <f t="shared" si="11"/>
        <v>78.02</v>
      </c>
      <c r="P385" s="35">
        <v>500</v>
      </c>
    </row>
    <row r="386" spans="1:16" x14ac:dyDescent="0.25">
      <c r="A386" s="37" t="s">
        <v>497</v>
      </c>
      <c r="B386" s="37"/>
      <c r="C386" s="40" t="s">
        <v>1072</v>
      </c>
      <c r="D386" s="39">
        <v>45485</v>
      </c>
      <c r="E386" s="39">
        <v>45850</v>
      </c>
      <c r="F386" s="37" t="s">
        <v>1349</v>
      </c>
      <c r="G386" s="37" t="s">
        <v>62</v>
      </c>
      <c r="H386" s="41">
        <v>9550</v>
      </c>
      <c r="I386" s="42">
        <v>7802</v>
      </c>
      <c r="J386" s="37" t="s">
        <v>2056</v>
      </c>
      <c r="K386" s="39">
        <v>45485</v>
      </c>
      <c r="L386" s="33" t="s">
        <v>58</v>
      </c>
      <c r="M386" s="41">
        <v>382000</v>
      </c>
      <c r="N386" s="34">
        <f t="shared" si="10"/>
        <v>1248.32</v>
      </c>
      <c r="O386" s="36">
        <f t="shared" si="11"/>
        <v>78.02</v>
      </c>
      <c r="P386" s="35">
        <v>500</v>
      </c>
    </row>
    <row r="387" spans="1:16" x14ac:dyDescent="0.25">
      <c r="A387" s="37" t="s">
        <v>498</v>
      </c>
      <c r="B387" s="37"/>
      <c r="C387" s="40" t="s">
        <v>1072</v>
      </c>
      <c r="D387" s="39">
        <v>45485</v>
      </c>
      <c r="E387" s="39">
        <v>45850</v>
      </c>
      <c r="F387" s="37" t="s">
        <v>1350</v>
      </c>
      <c r="G387" s="37" t="s">
        <v>63</v>
      </c>
      <c r="H387" s="41">
        <v>13675</v>
      </c>
      <c r="I387" s="42">
        <v>11358</v>
      </c>
      <c r="J387" s="37" t="s">
        <v>2057</v>
      </c>
      <c r="K387" s="39">
        <v>45485</v>
      </c>
      <c r="L387" s="33" t="s">
        <v>58</v>
      </c>
      <c r="M387" s="41">
        <v>547000</v>
      </c>
      <c r="N387" s="34">
        <f t="shared" ref="N387:N450" si="12">I387*16/100</f>
        <v>1817.28</v>
      </c>
      <c r="O387" s="36">
        <f t="shared" ref="O387:O450" si="13">I387*1/100</f>
        <v>113.58</v>
      </c>
      <c r="P387" s="35">
        <v>500</v>
      </c>
    </row>
    <row r="388" spans="1:16" x14ac:dyDescent="0.25">
      <c r="A388" s="37" t="s">
        <v>499</v>
      </c>
      <c r="B388" s="37"/>
      <c r="C388" s="40" t="s">
        <v>72</v>
      </c>
      <c r="D388" s="39">
        <v>45485</v>
      </c>
      <c r="E388" s="39">
        <v>45850</v>
      </c>
      <c r="F388" s="37" t="s">
        <v>1351</v>
      </c>
      <c r="G388" s="37" t="s">
        <v>62</v>
      </c>
      <c r="H388" s="41">
        <v>9550</v>
      </c>
      <c r="I388" s="42">
        <v>7802</v>
      </c>
      <c r="J388" s="37" t="s">
        <v>2058</v>
      </c>
      <c r="K388" s="39">
        <v>45485</v>
      </c>
      <c r="L388" s="33" t="s">
        <v>58</v>
      </c>
      <c r="M388" s="41">
        <v>382000</v>
      </c>
      <c r="N388" s="34">
        <f t="shared" si="12"/>
        <v>1248.32</v>
      </c>
      <c r="O388" s="36">
        <f t="shared" si="13"/>
        <v>78.02</v>
      </c>
      <c r="P388" s="35">
        <v>500</v>
      </c>
    </row>
    <row r="389" spans="1:16" x14ac:dyDescent="0.25">
      <c r="A389" s="37" t="s">
        <v>500</v>
      </c>
      <c r="B389" s="37"/>
      <c r="C389" s="40" t="s">
        <v>32</v>
      </c>
      <c r="D389" s="39">
        <v>45485</v>
      </c>
      <c r="E389" s="39">
        <v>45850</v>
      </c>
      <c r="F389" s="37" t="s">
        <v>1352</v>
      </c>
      <c r="G389" s="37" t="s">
        <v>61</v>
      </c>
      <c r="H389" s="41">
        <v>12320</v>
      </c>
      <c r="I389" s="42">
        <v>10190</v>
      </c>
      <c r="J389" s="37" t="s">
        <v>2059</v>
      </c>
      <c r="K389" s="39">
        <v>45485</v>
      </c>
      <c r="L389" s="33" t="s">
        <v>58</v>
      </c>
      <c r="M389" s="41">
        <v>352000</v>
      </c>
      <c r="N389" s="34">
        <f t="shared" si="12"/>
        <v>1630.4</v>
      </c>
      <c r="O389" s="36">
        <f t="shared" si="13"/>
        <v>101.9</v>
      </c>
      <c r="P389" s="35">
        <v>500</v>
      </c>
    </row>
    <row r="390" spans="1:16" x14ac:dyDescent="0.25">
      <c r="A390" s="37" t="s">
        <v>501</v>
      </c>
      <c r="B390" s="37"/>
      <c r="C390" s="40" t="s">
        <v>31</v>
      </c>
      <c r="D390" s="39">
        <v>45485</v>
      </c>
      <c r="E390" s="39">
        <v>45850</v>
      </c>
      <c r="F390" s="37" t="s">
        <v>1353</v>
      </c>
      <c r="G390" s="37" t="s">
        <v>64</v>
      </c>
      <c r="H390" s="41">
        <v>17465</v>
      </c>
      <c r="I390" s="42">
        <v>14625</v>
      </c>
      <c r="J390" s="37" t="s">
        <v>2061</v>
      </c>
      <c r="K390" s="39">
        <v>45485</v>
      </c>
      <c r="L390" s="33" t="s">
        <v>58</v>
      </c>
      <c r="M390" s="41">
        <v>499000</v>
      </c>
      <c r="N390" s="34">
        <f t="shared" si="12"/>
        <v>2340</v>
      </c>
      <c r="O390" s="36">
        <f t="shared" si="13"/>
        <v>146.25</v>
      </c>
      <c r="P390" s="35">
        <v>500</v>
      </c>
    </row>
    <row r="391" spans="1:16" x14ac:dyDescent="0.25">
      <c r="A391" s="37" t="s">
        <v>502</v>
      </c>
      <c r="B391" s="37"/>
      <c r="C391" s="40" t="s">
        <v>31</v>
      </c>
      <c r="D391" s="39">
        <v>45851</v>
      </c>
      <c r="E391" s="39">
        <v>46216</v>
      </c>
      <c r="F391" s="37" t="s">
        <v>1353</v>
      </c>
      <c r="G391" s="37" t="s">
        <v>64</v>
      </c>
      <c r="H391" s="41">
        <v>17465</v>
      </c>
      <c r="I391" s="42">
        <v>14625</v>
      </c>
      <c r="J391" s="37" t="s">
        <v>2061</v>
      </c>
      <c r="K391" s="39">
        <v>45485</v>
      </c>
      <c r="L391" s="33" t="s">
        <v>58</v>
      </c>
      <c r="M391" s="41">
        <v>499000</v>
      </c>
      <c r="N391" s="34">
        <f t="shared" si="12"/>
        <v>2340</v>
      </c>
      <c r="O391" s="36">
        <f t="shared" si="13"/>
        <v>146.25</v>
      </c>
      <c r="P391" s="35">
        <v>500</v>
      </c>
    </row>
    <row r="392" spans="1:16" x14ac:dyDescent="0.25">
      <c r="A392" s="37" t="s">
        <v>503</v>
      </c>
      <c r="B392" s="37"/>
      <c r="C392" s="40" t="s">
        <v>32</v>
      </c>
      <c r="D392" s="39">
        <v>45485</v>
      </c>
      <c r="E392" s="39">
        <v>45850</v>
      </c>
      <c r="F392" s="37" t="s">
        <v>1354</v>
      </c>
      <c r="G392" s="37" t="s">
        <v>61</v>
      </c>
      <c r="H392" s="41">
        <v>12320</v>
      </c>
      <c r="I392" s="42">
        <v>10190</v>
      </c>
      <c r="J392" s="37" t="s">
        <v>1963</v>
      </c>
      <c r="K392" s="39">
        <v>45485</v>
      </c>
      <c r="L392" s="33" t="s">
        <v>58</v>
      </c>
      <c r="M392" s="41">
        <v>352000</v>
      </c>
      <c r="N392" s="34">
        <f t="shared" si="12"/>
        <v>1630.4</v>
      </c>
      <c r="O392" s="36">
        <f t="shared" si="13"/>
        <v>101.9</v>
      </c>
      <c r="P392" s="35">
        <v>500</v>
      </c>
    </row>
    <row r="393" spans="1:16" x14ac:dyDescent="0.25">
      <c r="A393" s="37" t="s">
        <v>504</v>
      </c>
      <c r="B393" s="37"/>
      <c r="C393" s="40" t="s">
        <v>39</v>
      </c>
      <c r="D393" s="39">
        <v>45485</v>
      </c>
      <c r="E393" s="39">
        <v>45850</v>
      </c>
      <c r="F393" s="37" t="s">
        <v>1355</v>
      </c>
      <c r="G393" s="37" t="s">
        <v>62</v>
      </c>
      <c r="H393" s="41">
        <v>13370</v>
      </c>
      <c r="I393" s="42">
        <v>11095</v>
      </c>
      <c r="J393" s="37" t="s">
        <v>2062</v>
      </c>
      <c r="K393" s="39">
        <v>45485</v>
      </c>
      <c r="L393" s="33" t="s">
        <v>58</v>
      </c>
      <c r="M393" s="41">
        <v>382000</v>
      </c>
      <c r="N393" s="34">
        <f t="shared" si="12"/>
        <v>1775.2</v>
      </c>
      <c r="O393" s="36">
        <f t="shared" si="13"/>
        <v>110.95</v>
      </c>
      <c r="P393" s="35">
        <v>500</v>
      </c>
    </row>
    <row r="394" spans="1:16" x14ac:dyDescent="0.25">
      <c r="A394" s="37" t="s">
        <v>505</v>
      </c>
      <c r="B394" s="37"/>
      <c r="C394" s="40" t="s">
        <v>39</v>
      </c>
      <c r="D394" s="39">
        <v>45851</v>
      </c>
      <c r="E394" s="39">
        <v>46216</v>
      </c>
      <c r="F394" s="37" t="s">
        <v>1355</v>
      </c>
      <c r="G394" s="37" t="s">
        <v>62</v>
      </c>
      <c r="H394" s="41">
        <v>13370</v>
      </c>
      <c r="I394" s="42">
        <v>11095</v>
      </c>
      <c r="J394" s="37" t="s">
        <v>2062</v>
      </c>
      <c r="K394" s="39">
        <v>45485</v>
      </c>
      <c r="L394" s="33" t="s">
        <v>58</v>
      </c>
      <c r="M394" s="41">
        <v>382000</v>
      </c>
      <c r="N394" s="34">
        <f t="shared" si="12"/>
        <v>1775.2</v>
      </c>
      <c r="O394" s="36">
        <f t="shared" si="13"/>
        <v>110.95</v>
      </c>
      <c r="P394" s="35">
        <v>500</v>
      </c>
    </row>
    <row r="395" spans="1:16" x14ac:dyDescent="0.25">
      <c r="A395" s="37" t="s">
        <v>506</v>
      </c>
      <c r="B395" s="37"/>
      <c r="C395" s="40" t="s">
        <v>72</v>
      </c>
      <c r="D395" s="39">
        <v>45485</v>
      </c>
      <c r="E395" s="39">
        <v>45850</v>
      </c>
      <c r="F395" s="37" t="s">
        <v>1356</v>
      </c>
      <c r="G395" s="37" t="s">
        <v>62</v>
      </c>
      <c r="H395" s="41">
        <v>9550</v>
      </c>
      <c r="I395" s="42">
        <v>7802</v>
      </c>
      <c r="J395" s="37" t="s">
        <v>2063</v>
      </c>
      <c r="K395" s="39">
        <v>45485</v>
      </c>
      <c r="L395" s="33" t="s">
        <v>58</v>
      </c>
      <c r="M395" s="41">
        <v>382000</v>
      </c>
      <c r="N395" s="34">
        <f t="shared" si="12"/>
        <v>1248.32</v>
      </c>
      <c r="O395" s="36">
        <f t="shared" si="13"/>
        <v>78.02</v>
      </c>
      <c r="P395" s="35">
        <v>500</v>
      </c>
    </row>
    <row r="396" spans="1:16" x14ac:dyDescent="0.25">
      <c r="A396" s="37" t="s">
        <v>507</v>
      </c>
      <c r="B396" s="37"/>
      <c r="C396" s="40" t="s">
        <v>39</v>
      </c>
      <c r="D396" s="39">
        <v>45485</v>
      </c>
      <c r="E396" s="39">
        <v>45850</v>
      </c>
      <c r="F396" s="37" t="s">
        <v>1357</v>
      </c>
      <c r="G396" s="37" t="s">
        <v>62</v>
      </c>
      <c r="H396" s="41">
        <v>13370</v>
      </c>
      <c r="I396" s="42">
        <v>11095</v>
      </c>
      <c r="J396" s="37" t="s">
        <v>2064</v>
      </c>
      <c r="K396" s="39">
        <v>45485</v>
      </c>
      <c r="L396" s="33" t="s">
        <v>58</v>
      </c>
      <c r="M396" s="41">
        <v>382000</v>
      </c>
      <c r="N396" s="34">
        <f t="shared" si="12"/>
        <v>1775.2</v>
      </c>
      <c r="O396" s="36">
        <f t="shared" si="13"/>
        <v>110.95</v>
      </c>
      <c r="P396" s="35">
        <v>500</v>
      </c>
    </row>
    <row r="397" spans="1:16" x14ac:dyDescent="0.25">
      <c r="A397" s="37" t="s">
        <v>508</v>
      </c>
      <c r="B397" s="37"/>
      <c r="C397" s="40" t="s">
        <v>39</v>
      </c>
      <c r="D397" s="39">
        <v>45851</v>
      </c>
      <c r="E397" s="39">
        <v>46216</v>
      </c>
      <c r="F397" s="37" t="s">
        <v>1357</v>
      </c>
      <c r="G397" s="37" t="s">
        <v>62</v>
      </c>
      <c r="H397" s="41">
        <v>13370</v>
      </c>
      <c r="I397" s="42">
        <v>11095</v>
      </c>
      <c r="J397" s="37" t="s">
        <v>2064</v>
      </c>
      <c r="K397" s="39">
        <v>45485</v>
      </c>
      <c r="L397" s="33" t="s">
        <v>58</v>
      </c>
      <c r="M397" s="41">
        <v>382000</v>
      </c>
      <c r="N397" s="34">
        <f t="shared" si="12"/>
        <v>1775.2</v>
      </c>
      <c r="O397" s="36">
        <f t="shared" si="13"/>
        <v>110.95</v>
      </c>
      <c r="P397" s="35">
        <v>500</v>
      </c>
    </row>
    <row r="398" spans="1:16" x14ac:dyDescent="0.25">
      <c r="A398" s="37" t="s">
        <v>509</v>
      </c>
      <c r="B398" s="37"/>
      <c r="C398" s="40" t="s">
        <v>32</v>
      </c>
      <c r="D398" s="39">
        <v>45485</v>
      </c>
      <c r="E398" s="39">
        <v>45850</v>
      </c>
      <c r="F398" s="37" t="s">
        <v>1358</v>
      </c>
      <c r="G398" s="37" t="s">
        <v>63</v>
      </c>
      <c r="H398" s="41">
        <v>19145</v>
      </c>
      <c r="I398" s="42">
        <v>16073</v>
      </c>
      <c r="J398" s="37" t="s">
        <v>2065</v>
      </c>
      <c r="K398" s="39">
        <v>45485</v>
      </c>
      <c r="L398" s="33" t="s">
        <v>58</v>
      </c>
      <c r="M398" s="41">
        <v>547000</v>
      </c>
      <c r="N398" s="34">
        <f t="shared" si="12"/>
        <v>2571.6799999999998</v>
      </c>
      <c r="O398" s="36">
        <f t="shared" si="13"/>
        <v>160.72999999999999</v>
      </c>
      <c r="P398" s="35">
        <v>500</v>
      </c>
    </row>
    <row r="399" spans="1:16" x14ac:dyDescent="0.25">
      <c r="A399" s="37" t="s">
        <v>510</v>
      </c>
      <c r="B399" s="37"/>
      <c r="C399" s="40" t="s">
        <v>32</v>
      </c>
      <c r="D399" s="39">
        <v>45851</v>
      </c>
      <c r="E399" s="39">
        <v>46216</v>
      </c>
      <c r="F399" s="37" t="s">
        <v>1358</v>
      </c>
      <c r="G399" s="37" t="s">
        <v>63</v>
      </c>
      <c r="H399" s="41">
        <v>19145</v>
      </c>
      <c r="I399" s="42">
        <v>16073</v>
      </c>
      <c r="J399" s="37" t="s">
        <v>2065</v>
      </c>
      <c r="K399" s="39">
        <v>45485</v>
      </c>
      <c r="L399" s="33" t="s">
        <v>58</v>
      </c>
      <c r="M399" s="41">
        <v>547000</v>
      </c>
      <c r="N399" s="34">
        <f t="shared" si="12"/>
        <v>2571.6799999999998</v>
      </c>
      <c r="O399" s="36">
        <f t="shared" si="13"/>
        <v>160.72999999999999</v>
      </c>
      <c r="P399" s="35">
        <v>500</v>
      </c>
    </row>
    <row r="400" spans="1:16" x14ac:dyDescent="0.25">
      <c r="A400" s="37" t="s">
        <v>511</v>
      </c>
      <c r="B400" s="37"/>
      <c r="C400" s="40" t="s">
        <v>32</v>
      </c>
      <c r="D400" s="39">
        <v>45485</v>
      </c>
      <c r="E400" s="39">
        <v>45850</v>
      </c>
      <c r="F400" s="37" t="s">
        <v>1359</v>
      </c>
      <c r="G400" s="37" t="s">
        <v>61</v>
      </c>
      <c r="H400" s="41">
        <v>12320</v>
      </c>
      <c r="I400" s="42">
        <v>10190</v>
      </c>
      <c r="J400" s="37" t="s">
        <v>2066</v>
      </c>
      <c r="K400" s="39">
        <v>45485</v>
      </c>
      <c r="L400" s="33" t="s">
        <v>58</v>
      </c>
      <c r="M400" s="41">
        <v>352000</v>
      </c>
      <c r="N400" s="34">
        <f t="shared" si="12"/>
        <v>1630.4</v>
      </c>
      <c r="O400" s="36">
        <f t="shared" si="13"/>
        <v>101.9</v>
      </c>
      <c r="P400" s="35">
        <v>500</v>
      </c>
    </row>
    <row r="401" spans="1:16" x14ac:dyDescent="0.25">
      <c r="A401" s="37" t="s">
        <v>512</v>
      </c>
      <c r="B401" s="37"/>
      <c r="C401" s="40" t="s">
        <v>32</v>
      </c>
      <c r="D401" s="39">
        <v>45851</v>
      </c>
      <c r="E401" s="39">
        <v>46216</v>
      </c>
      <c r="F401" s="37" t="s">
        <v>1359</v>
      </c>
      <c r="G401" s="37" t="s">
        <v>61</v>
      </c>
      <c r="H401" s="41">
        <v>12320</v>
      </c>
      <c r="I401" s="42">
        <v>10190</v>
      </c>
      <c r="J401" s="37" t="s">
        <v>2066</v>
      </c>
      <c r="K401" s="39">
        <v>45485</v>
      </c>
      <c r="L401" s="33" t="s">
        <v>58</v>
      </c>
      <c r="M401" s="41">
        <v>352000</v>
      </c>
      <c r="N401" s="34">
        <f t="shared" si="12"/>
        <v>1630.4</v>
      </c>
      <c r="O401" s="36">
        <f t="shared" si="13"/>
        <v>101.9</v>
      </c>
      <c r="P401" s="35">
        <v>500</v>
      </c>
    </row>
    <row r="402" spans="1:16" x14ac:dyDescent="0.25">
      <c r="A402" s="37" t="s">
        <v>513</v>
      </c>
      <c r="B402" s="37"/>
      <c r="C402" s="40" t="s">
        <v>35</v>
      </c>
      <c r="D402" s="39">
        <v>45486</v>
      </c>
      <c r="E402" s="39">
        <v>45851</v>
      </c>
      <c r="F402" s="37" t="s">
        <v>1360</v>
      </c>
      <c r="G402" s="37" t="s">
        <v>62</v>
      </c>
      <c r="H402" s="41">
        <v>13370</v>
      </c>
      <c r="I402" s="42">
        <v>11095</v>
      </c>
      <c r="J402" s="37" t="s">
        <v>2067</v>
      </c>
      <c r="K402" s="39">
        <v>45486</v>
      </c>
      <c r="L402" s="33" t="s">
        <v>58</v>
      </c>
      <c r="M402" s="41">
        <v>382000</v>
      </c>
      <c r="N402" s="34">
        <f t="shared" si="12"/>
        <v>1775.2</v>
      </c>
      <c r="O402" s="36">
        <f t="shared" si="13"/>
        <v>110.95</v>
      </c>
      <c r="P402" s="35">
        <v>500</v>
      </c>
    </row>
    <row r="403" spans="1:16" x14ac:dyDescent="0.25">
      <c r="A403" s="37" t="s">
        <v>514</v>
      </c>
      <c r="B403" s="37"/>
      <c r="C403" s="40" t="s">
        <v>35</v>
      </c>
      <c r="D403" s="39">
        <v>45852</v>
      </c>
      <c r="E403" s="39">
        <v>46217</v>
      </c>
      <c r="F403" s="37" t="s">
        <v>1360</v>
      </c>
      <c r="G403" s="37" t="s">
        <v>62</v>
      </c>
      <c r="H403" s="41">
        <v>13370</v>
      </c>
      <c r="I403" s="42">
        <v>11095</v>
      </c>
      <c r="J403" s="37" t="s">
        <v>2067</v>
      </c>
      <c r="K403" s="39">
        <v>45486</v>
      </c>
      <c r="L403" s="33" t="s">
        <v>58</v>
      </c>
      <c r="M403" s="41">
        <v>382000</v>
      </c>
      <c r="N403" s="34">
        <f t="shared" si="12"/>
        <v>1775.2</v>
      </c>
      <c r="O403" s="36">
        <f t="shared" si="13"/>
        <v>110.95</v>
      </c>
      <c r="P403" s="35">
        <v>500</v>
      </c>
    </row>
    <row r="404" spans="1:16" x14ac:dyDescent="0.25">
      <c r="A404" s="37" t="s">
        <v>515</v>
      </c>
      <c r="B404" s="37"/>
      <c r="C404" s="40" t="s">
        <v>49</v>
      </c>
      <c r="D404" s="39">
        <v>45486</v>
      </c>
      <c r="E404" s="39">
        <v>45851</v>
      </c>
      <c r="F404" s="37" t="s">
        <v>1361</v>
      </c>
      <c r="G404" s="37" t="s">
        <v>62</v>
      </c>
      <c r="H404" s="41">
        <v>9550</v>
      </c>
      <c r="I404" s="42">
        <v>7802</v>
      </c>
      <c r="J404" s="37" t="s">
        <v>2068</v>
      </c>
      <c r="K404" s="39">
        <v>45486</v>
      </c>
      <c r="L404" s="33" t="s">
        <v>58</v>
      </c>
      <c r="M404" s="41">
        <v>382000</v>
      </c>
      <c r="N404" s="34">
        <f t="shared" si="12"/>
        <v>1248.32</v>
      </c>
      <c r="O404" s="36">
        <f t="shared" si="13"/>
        <v>78.02</v>
      </c>
      <c r="P404" s="35">
        <v>500</v>
      </c>
    </row>
    <row r="405" spans="1:16" x14ac:dyDescent="0.25">
      <c r="A405" s="37" t="s">
        <v>516</v>
      </c>
      <c r="B405" s="37"/>
      <c r="C405" s="40" t="s">
        <v>1072</v>
      </c>
      <c r="D405" s="39">
        <v>45486</v>
      </c>
      <c r="E405" s="39">
        <v>45851</v>
      </c>
      <c r="F405" s="37" t="s">
        <v>1362</v>
      </c>
      <c r="G405" s="37" t="s">
        <v>61</v>
      </c>
      <c r="H405" s="41">
        <v>8800</v>
      </c>
      <c r="I405" s="42">
        <v>7155</v>
      </c>
      <c r="J405" s="37" t="s">
        <v>2069</v>
      </c>
      <c r="K405" s="39">
        <v>45486</v>
      </c>
      <c r="L405" s="33" t="s">
        <v>58</v>
      </c>
      <c r="M405" s="41">
        <v>352000</v>
      </c>
      <c r="N405" s="34">
        <f t="shared" si="12"/>
        <v>1144.8</v>
      </c>
      <c r="O405" s="36">
        <f t="shared" si="13"/>
        <v>71.55</v>
      </c>
      <c r="P405" s="35">
        <v>500</v>
      </c>
    </row>
    <row r="406" spans="1:16" x14ac:dyDescent="0.25">
      <c r="A406" s="37" t="s">
        <v>517</v>
      </c>
      <c r="B406" s="37"/>
      <c r="C406" s="40" t="s">
        <v>1072</v>
      </c>
      <c r="D406" s="39">
        <v>45486</v>
      </c>
      <c r="E406" s="39">
        <v>45851</v>
      </c>
      <c r="F406" s="37" t="s">
        <v>1363</v>
      </c>
      <c r="G406" s="37" t="s">
        <v>61</v>
      </c>
      <c r="H406" s="41">
        <v>8800</v>
      </c>
      <c r="I406" s="42">
        <v>7155</v>
      </c>
      <c r="J406" s="37" t="s">
        <v>2070</v>
      </c>
      <c r="K406" s="39">
        <v>45486</v>
      </c>
      <c r="L406" s="33" t="s">
        <v>58</v>
      </c>
      <c r="M406" s="41">
        <v>352000</v>
      </c>
      <c r="N406" s="34">
        <f t="shared" si="12"/>
        <v>1144.8</v>
      </c>
      <c r="O406" s="36">
        <f t="shared" si="13"/>
        <v>71.55</v>
      </c>
      <c r="P406" s="35">
        <v>500</v>
      </c>
    </row>
    <row r="407" spans="1:16" x14ac:dyDescent="0.25">
      <c r="A407" s="37" t="s">
        <v>518</v>
      </c>
      <c r="B407" s="37"/>
      <c r="C407" s="40" t="s">
        <v>1072</v>
      </c>
      <c r="D407" s="39">
        <v>45486</v>
      </c>
      <c r="E407" s="39">
        <v>45851</v>
      </c>
      <c r="F407" s="37" t="s">
        <v>105</v>
      </c>
      <c r="G407" s="37" t="s">
        <v>61</v>
      </c>
      <c r="H407" s="41">
        <v>8800</v>
      </c>
      <c r="I407" s="42">
        <v>7155</v>
      </c>
      <c r="J407" s="37" t="s">
        <v>2071</v>
      </c>
      <c r="K407" s="39">
        <v>45486</v>
      </c>
      <c r="L407" s="33" t="s">
        <v>58</v>
      </c>
      <c r="M407" s="41">
        <v>352000</v>
      </c>
      <c r="N407" s="34">
        <f t="shared" si="12"/>
        <v>1144.8</v>
      </c>
      <c r="O407" s="36">
        <f t="shared" si="13"/>
        <v>71.55</v>
      </c>
      <c r="P407" s="35">
        <v>500</v>
      </c>
    </row>
    <row r="408" spans="1:16" x14ac:dyDescent="0.25">
      <c r="A408" s="37" t="s">
        <v>519</v>
      </c>
      <c r="B408" s="37"/>
      <c r="C408" s="40" t="s">
        <v>1072</v>
      </c>
      <c r="D408" s="39">
        <v>45486</v>
      </c>
      <c r="E408" s="39">
        <v>45851</v>
      </c>
      <c r="F408" s="37" t="s">
        <v>1364</v>
      </c>
      <c r="G408" s="37" t="s">
        <v>61</v>
      </c>
      <c r="H408" s="41">
        <v>8800</v>
      </c>
      <c r="I408" s="42">
        <v>7155</v>
      </c>
      <c r="J408" s="37" t="s">
        <v>2072</v>
      </c>
      <c r="K408" s="39">
        <v>45486</v>
      </c>
      <c r="L408" s="33" t="s">
        <v>58</v>
      </c>
      <c r="M408" s="41">
        <v>352000</v>
      </c>
      <c r="N408" s="34">
        <f t="shared" si="12"/>
        <v>1144.8</v>
      </c>
      <c r="O408" s="36">
        <f t="shared" si="13"/>
        <v>71.55</v>
      </c>
      <c r="P408" s="35">
        <v>500</v>
      </c>
    </row>
    <row r="409" spans="1:16" x14ac:dyDescent="0.25">
      <c r="A409" s="37" t="s">
        <v>520</v>
      </c>
      <c r="B409" s="37"/>
      <c r="C409" s="40" t="s">
        <v>1072</v>
      </c>
      <c r="D409" s="39">
        <v>45486</v>
      </c>
      <c r="E409" s="39">
        <v>45851</v>
      </c>
      <c r="F409" s="37" t="s">
        <v>1365</v>
      </c>
      <c r="G409" s="37" t="s">
        <v>61</v>
      </c>
      <c r="H409" s="41">
        <v>8800</v>
      </c>
      <c r="I409" s="42">
        <v>7155</v>
      </c>
      <c r="J409" s="37" t="s">
        <v>1782</v>
      </c>
      <c r="K409" s="39">
        <v>45486</v>
      </c>
      <c r="L409" s="33" t="s">
        <v>58</v>
      </c>
      <c r="M409" s="41">
        <v>352000</v>
      </c>
      <c r="N409" s="34">
        <f t="shared" si="12"/>
        <v>1144.8</v>
      </c>
      <c r="O409" s="36">
        <f t="shared" si="13"/>
        <v>71.55</v>
      </c>
      <c r="P409" s="35">
        <v>500</v>
      </c>
    </row>
    <row r="410" spans="1:16" x14ac:dyDescent="0.25">
      <c r="A410" s="37" t="s">
        <v>521</v>
      </c>
      <c r="B410" s="37"/>
      <c r="C410" s="40" t="s">
        <v>32</v>
      </c>
      <c r="D410" s="39">
        <v>45486</v>
      </c>
      <c r="E410" s="39">
        <v>45851</v>
      </c>
      <c r="F410" s="37" t="s">
        <v>1366</v>
      </c>
      <c r="G410" s="37" t="s">
        <v>64</v>
      </c>
      <c r="H410" s="41">
        <v>17465</v>
      </c>
      <c r="I410" s="42">
        <v>14625</v>
      </c>
      <c r="J410" s="37" t="s">
        <v>2073</v>
      </c>
      <c r="K410" s="39">
        <v>45486</v>
      </c>
      <c r="L410" s="33" t="s">
        <v>58</v>
      </c>
      <c r="M410" s="41">
        <v>499000</v>
      </c>
      <c r="N410" s="34">
        <f t="shared" si="12"/>
        <v>2340</v>
      </c>
      <c r="O410" s="36">
        <f t="shared" si="13"/>
        <v>146.25</v>
      </c>
      <c r="P410" s="35">
        <v>500</v>
      </c>
    </row>
    <row r="411" spans="1:16" x14ac:dyDescent="0.25">
      <c r="A411" s="37" t="s">
        <v>522</v>
      </c>
      <c r="B411" s="37"/>
      <c r="C411" s="40" t="s">
        <v>32</v>
      </c>
      <c r="D411" s="39">
        <v>45852</v>
      </c>
      <c r="E411" s="39">
        <v>46217</v>
      </c>
      <c r="F411" s="37" t="s">
        <v>1366</v>
      </c>
      <c r="G411" s="37" t="s">
        <v>64</v>
      </c>
      <c r="H411" s="41">
        <v>17465</v>
      </c>
      <c r="I411" s="42">
        <v>14625</v>
      </c>
      <c r="J411" s="37" t="s">
        <v>2073</v>
      </c>
      <c r="K411" s="39">
        <v>45486</v>
      </c>
      <c r="L411" s="33" t="s">
        <v>58</v>
      </c>
      <c r="M411" s="41">
        <v>499000</v>
      </c>
      <c r="N411" s="34">
        <f t="shared" si="12"/>
        <v>2340</v>
      </c>
      <c r="O411" s="36">
        <f t="shared" si="13"/>
        <v>146.25</v>
      </c>
      <c r="P411" s="35">
        <v>500</v>
      </c>
    </row>
    <row r="412" spans="1:16" x14ac:dyDescent="0.25">
      <c r="A412" s="37" t="s">
        <v>523</v>
      </c>
      <c r="B412" s="37"/>
      <c r="C412" s="40" t="s">
        <v>1072</v>
      </c>
      <c r="D412" s="39">
        <v>45486</v>
      </c>
      <c r="E412" s="39">
        <v>45851</v>
      </c>
      <c r="F412" s="37" t="s">
        <v>1367</v>
      </c>
      <c r="G412" s="37" t="s">
        <v>61</v>
      </c>
      <c r="H412" s="41">
        <v>8800</v>
      </c>
      <c r="I412" s="42">
        <v>7155</v>
      </c>
      <c r="J412" s="37" t="s">
        <v>2074</v>
      </c>
      <c r="K412" s="39">
        <v>45486</v>
      </c>
      <c r="L412" s="33" t="s">
        <v>58</v>
      </c>
      <c r="M412" s="41">
        <v>352000</v>
      </c>
      <c r="N412" s="34">
        <f t="shared" si="12"/>
        <v>1144.8</v>
      </c>
      <c r="O412" s="36">
        <f t="shared" si="13"/>
        <v>71.55</v>
      </c>
      <c r="P412" s="35">
        <v>500</v>
      </c>
    </row>
    <row r="413" spans="1:16" x14ac:dyDescent="0.25">
      <c r="A413" s="37" t="s">
        <v>524</v>
      </c>
      <c r="B413" s="37"/>
      <c r="C413" s="40" t="s">
        <v>32</v>
      </c>
      <c r="D413" s="39">
        <v>45486</v>
      </c>
      <c r="E413" s="39">
        <v>45851</v>
      </c>
      <c r="F413" s="37" t="s">
        <v>1368</v>
      </c>
      <c r="G413" s="37" t="s">
        <v>61</v>
      </c>
      <c r="H413" s="41">
        <v>12320</v>
      </c>
      <c r="I413" s="42">
        <v>10190</v>
      </c>
      <c r="J413" s="37" t="s">
        <v>2075</v>
      </c>
      <c r="K413" s="39">
        <v>45486</v>
      </c>
      <c r="L413" s="33" t="s">
        <v>58</v>
      </c>
      <c r="M413" s="41">
        <v>352000</v>
      </c>
      <c r="N413" s="34">
        <f t="shared" si="12"/>
        <v>1630.4</v>
      </c>
      <c r="O413" s="36">
        <f t="shared" si="13"/>
        <v>101.9</v>
      </c>
      <c r="P413" s="35">
        <v>500</v>
      </c>
    </row>
    <row r="414" spans="1:16" x14ac:dyDescent="0.25">
      <c r="A414" s="37" t="s">
        <v>525</v>
      </c>
      <c r="B414" s="37"/>
      <c r="C414" s="40" t="s">
        <v>32</v>
      </c>
      <c r="D414" s="39">
        <v>45852</v>
      </c>
      <c r="E414" s="39">
        <v>46217</v>
      </c>
      <c r="F414" s="37" t="s">
        <v>1368</v>
      </c>
      <c r="G414" s="37" t="s">
        <v>61</v>
      </c>
      <c r="H414" s="41">
        <v>12320</v>
      </c>
      <c r="I414" s="42">
        <v>10190</v>
      </c>
      <c r="J414" s="37" t="s">
        <v>2075</v>
      </c>
      <c r="K414" s="39">
        <v>45486</v>
      </c>
      <c r="L414" s="33" t="s">
        <v>58</v>
      </c>
      <c r="M414" s="41">
        <v>352000</v>
      </c>
      <c r="N414" s="34">
        <f t="shared" si="12"/>
        <v>1630.4</v>
      </c>
      <c r="O414" s="36">
        <f t="shared" si="13"/>
        <v>101.9</v>
      </c>
      <c r="P414" s="35">
        <v>500</v>
      </c>
    </row>
    <row r="415" spans="1:16" x14ac:dyDescent="0.25">
      <c r="A415" s="37" t="s">
        <v>526</v>
      </c>
      <c r="B415" s="37"/>
      <c r="C415" s="40" t="s">
        <v>32</v>
      </c>
      <c r="D415" s="39">
        <v>45486</v>
      </c>
      <c r="E415" s="39">
        <v>45851</v>
      </c>
      <c r="F415" s="37" t="s">
        <v>89</v>
      </c>
      <c r="G415" s="37" t="s">
        <v>61</v>
      </c>
      <c r="H415" s="41">
        <v>12320</v>
      </c>
      <c r="I415" s="42">
        <v>10190</v>
      </c>
      <c r="J415" s="37" t="s">
        <v>2076</v>
      </c>
      <c r="K415" s="39">
        <v>45486</v>
      </c>
      <c r="L415" s="33" t="s">
        <v>58</v>
      </c>
      <c r="M415" s="41">
        <v>352000</v>
      </c>
      <c r="N415" s="34">
        <f t="shared" si="12"/>
        <v>1630.4</v>
      </c>
      <c r="O415" s="36">
        <f t="shared" si="13"/>
        <v>101.9</v>
      </c>
      <c r="P415" s="35">
        <v>500</v>
      </c>
    </row>
    <row r="416" spans="1:16" x14ac:dyDescent="0.25">
      <c r="A416" s="37" t="s">
        <v>527</v>
      </c>
      <c r="B416" s="37"/>
      <c r="C416" s="40" t="s">
        <v>32</v>
      </c>
      <c r="D416" s="39">
        <v>45852</v>
      </c>
      <c r="E416" s="39">
        <v>46217</v>
      </c>
      <c r="F416" s="37" t="s">
        <v>89</v>
      </c>
      <c r="G416" s="37" t="s">
        <v>61</v>
      </c>
      <c r="H416" s="41">
        <v>12320</v>
      </c>
      <c r="I416" s="42">
        <v>10190</v>
      </c>
      <c r="J416" s="37" t="s">
        <v>2076</v>
      </c>
      <c r="K416" s="39">
        <v>45486</v>
      </c>
      <c r="L416" s="33" t="s">
        <v>58</v>
      </c>
      <c r="M416" s="41">
        <v>352000</v>
      </c>
      <c r="N416" s="34">
        <f t="shared" si="12"/>
        <v>1630.4</v>
      </c>
      <c r="O416" s="36">
        <f t="shared" si="13"/>
        <v>101.9</v>
      </c>
      <c r="P416" s="35">
        <v>500</v>
      </c>
    </row>
    <row r="417" spans="1:16" x14ac:dyDescent="0.25">
      <c r="A417" s="37" t="s">
        <v>528</v>
      </c>
      <c r="B417" s="37"/>
      <c r="C417" s="40" t="s">
        <v>32</v>
      </c>
      <c r="D417" s="39">
        <v>45486</v>
      </c>
      <c r="E417" s="39">
        <v>45851</v>
      </c>
      <c r="F417" s="37" t="s">
        <v>1369</v>
      </c>
      <c r="G417" s="37" t="s">
        <v>62</v>
      </c>
      <c r="H417" s="41">
        <v>13370</v>
      </c>
      <c r="I417" s="42">
        <v>11095</v>
      </c>
      <c r="J417" s="37" t="s">
        <v>2077</v>
      </c>
      <c r="K417" s="39">
        <v>45486</v>
      </c>
      <c r="L417" s="33" t="s">
        <v>58</v>
      </c>
      <c r="M417" s="41">
        <v>382000</v>
      </c>
      <c r="N417" s="34">
        <f t="shared" si="12"/>
        <v>1775.2</v>
      </c>
      <c r="O417" s="36">
        <f t="shared" si="13"/>
        <v>110.95</v>
      </c>
      <c r="P417" s="35">
        <v>500</v>
      </c>
    </row>
    <row r="418" spans="1:16" x14ac:dyDescent="0.25">
      <c r="A418" s="37" t="s">
        <v>529</v>
      </c>
      <c r="B418" s="37"/>
      <c r="C418" s="40" t="s">
        <v>32</v>
      </c>
      <c r="D418" s="39">
        <v>45852</v>
      </c>
      <c r="E418" s="39">
        <v>46217</v>
      </c>
      <c r="F418" s="37" t="s">
        <v>1369</v>
      </c>
      <c r="G418" s="37" t="s">
        <v>62</v>
      </c>
      <c r="H418" s="41">
        <v>13370</v>
      </c>
      <c r="I418" s="42">
        <v>11095</v>
      </c>
      <c r="J418" s="37" t="s">
        <v>2077</v>
      </c>
      <c r="K418" s="39">
        <v>45486</v>
      </c>
      <c r="L418" s="33" t="s">
        <v>58</v>
      </c>
      <c r="M418" s="41">
        <v>382000</v>
      </c>
      <c r="N418" s="34">
        <f t="shared" si="12"/>
        <v>1775.2</v>
      </c>
      <c r="O418" s="36">
        <f t="shared" si="13"/>
        <v>110.95</v>
      </c>
      <c r="P418" s="35">
        <v>500</v>
      </c>
    </row>
    <row r="419" spans="1:16" x14ac:dyDescent="0.25">
      <c r="A419" s="37" t="s">
        <v>530</v>
      </c>
      <c r="B419" s="37"/>
      <c r="C419" s="40" t="s">
        <v>67</v>
      </c>
      <c r="D419" s="39">
        <v>45486</v>
      </c>
      <c r="E419" s="39">
        <v>45851</v>
      </c>
      <c r="F419" s="37" t="s">
        <v>1370</v>
      </c>
      <c r="G419" s="37" t="s">
        <v>61</v>
      </c>
      <c r="H419" s="41">
        <v>8800</v>
      </c>
      <c r="I419" s="42">
        <v>7155</v>
      </c>
      <c r="J419" s="37" t="s">
        <v>2078</v>
      </c>
      <c r="K419" s="39">
        <v>45486</v>
      </c>
      <c r="L419" s="33" t="s">
        <v>58</v>
      </c>
      <c r="M419" s="41">
        <v>352000</v>
      </c>
      <c r="N419" s="34">
        <f t="shared" si="12"/>
        <v>1144.8</v>
      </c>
      <c r="O419" s="36">
        <f t="shared" si="13"/>
        <v>71.55</v>
      </c>
      <c r="P419" s="35">
        <v>500</v>
      </c>
    </row>
    <row r="420" spans="1:16" x14ac:dyDescent="0.25">
      <c r="A420" s="37" t="s">
        <v>531</v>
      </c>
      <c r="B420" s="37"/>
      <c r="C420" s="40" t="s">
        <v>1071</v>
      </c>
      <c r="D420" s="39">
        <v>45486</v>
      </c>
      <c r="E420" s="39">
        <v>45851</v>
      </c>
      <c r="F420" s="37" t="s">
        <v>70</v>
      </c>
      <c r="G420" s="37" t="s">
        <v>61</v>
      </c>
      <c r="H420" s="41">
        <v>8800</v>
      </c>
      <c r="I420" s="42">
        <v>7155</v>
      </c>
      <c r="J420" s="37" t="s">
        <v>2079</v>
      </c>
      <c r="K420" s="39">
        <v>45486</v>
      </c>
      <c r="L420" s="33" t="s">
        <v>58</v>
      </c>
      <c r="M420" s="41">
        <v>352000</v>
      </c>
      <c r="N420" s="34">
        <f t="shared" si="12"/>
        <v>1144.8</v>
      </c>
      <c r="O420" s="36">
        <f t="shared" si="13"/>
        <v>71.55</v>
      </c>
      <c r="P420" s="35">
        <v>500</v>
      </c>
    </row>
    <row r="421" spans="1:16" x14ac:dyDescent="0.25">
      <c r="A421" s="37" t="s">
        <v>532</v>
      </c>
      <c r="B421" s="37"/>
      <c r="C421" s="40" t="s">
        <v>32</v>
      </c>
      <c r="D421" s="39">
        <v>45486</v>
      </c>
      <c r="E421" s="39">
        <v>45851</v>
      </c>
      <c r="F421" s="37" t="s">
        <v>96</v>
      </c>
      <c r="G421" s="37" t="s">
        <v>62</v>
      </c>
      <c r="H421" s="41">
        <v>13370</v>
      </c>
      <c r="I421" s="42">
        <v>11095</v>
      </c>
      <c r="J421" s="37" t="s">
        <v>2080</v>
      </c>
      <c r="K421" s="39">
        <v>45486</v>
      </c>
      <c r="L421" s="33" t="s">
        <v>58</v>
      </c>
      <c r="M421" s="41">
        <v>382000</v>
      </c>
      <c r="N421" s="34">
        <f t="shared" si="12"/>
        <v>1775.2</v>
      </c>
      <c r="O421" s="36">
        <f t="shared" si="13"/>
        <v>110.95</v>
      </c>
      <c r="P421" s="35">
        <v>500</v>
      </c>
    </row>
    <row r="422" spans="1:16" x14ac:dyDescent="0.25">
      <c r="A422" s="37" t="s">
        <v>533</v>
      </c>
      <c r="B422" s="37"/>
      <c r="C422" s="40" t="s">
        <v>32</v>
      </c>
      <c r="D422" s="39">
        <v>45852</v>
      </c>
      <c r="E422" s="39">
        <v>46217</v>
      </c>
      <c r="F422" s="37" t="s">
        <v>96</v>
      </c>
      <c r="G422" s="37" t="s">
        <v>62</v>
      </c>
      <c r="H422" s="41">
        <v>13370</v>
      </c>
      <c r="I422" s="42">
        <v>11095</v>
      </c>
      <c r="J422" s="37" t="s">
        <v>2080</v>
      </c>
      <c r="K422" s="39">
        <v>45486</v>
      </c>
      <c r="L422" s="33" t="s">
        <v>58</v>
      </c>
      <c r="M422" s="41">
        <v>382000</v>
      </c>
      <c r="N422" s="34">
        <f t="shared" si="12"/>
        <v>1775.2</v>
      </c>
      <c r="O422" s="36">
        <f t="shared" si="13"/>
        <v>110.95</v>
      </c>
      <c r="P422" s="35">
        <v>500</v>
      </c>
    </row>
    <row r="423" spans="1:16" x14ac:dyDescent="0.25">
      <c r="A423" s="37" t="s">
        <v>534</v>
      </c>
      <c r="B423" s="37"/>
      <c r="C423" s="40" t="s">
        <v>1071</v>
      </c>
      <c r="D423" s="39">
        <v>45486</v>
      </c>
      <c r="E423" s="39">
        <v>45851</v>
      </c>
      <c r="F423" s="37" t="s">
        <v>1371</v>
      </c>
      <c r="G423" s="37" t="s">
        <v>61</v>
      </c>
      <c r="H423" s="41">
        <v>8800</v>
      </c>
      <c r="I423" s="42">
        <v>7155</v>
      </c>
      <c r="J423" s="37" t="s">
        <v>1878</v>
      </c>
      <c r="K423" s="39">
        <v>45486</v>
      </c>
      <c r="L423" s="33" t="s">
        <v>58</v>
      </c>
      <c r="M423" s="41">
        <v>352000</v>
      </c>
      <c r="N423" s="34">
        <f t="shared" si="12"/>
        <v>1144.8</v>
      </c>
      <c r="O423" s="36">
        <f t="shared" si="13"/>
        <v>71.55</v>
      </c>
      <c r="P423" s="35">
        <v>500</v>
      </c>
    </row>
    <row r="424" spans="1:16" x14ac:dyDescent="0.25">
      <c r="A424" s="37" t="s">
        <v>535</v>
      </c>
      <c r="B424" s="37"/>
      <c r="C424" s="40" t="s">
        <v>31</v>
      </c>
      <c r="D424" s="39">
        <v>45486</v>
      </c>
      <c r="E424" s="39">
        <v>45851</v>
      </c>
      <c r="F424" s="37" t="s">
        <v>1372</v>
      </c>
      <c r="G424" s="37" t="s">
        <v>64</v>
      </c>
      <c r="H424" s="41">
        <v>17465</v>
      </c>
      <c r="I424" s="42">
        <v>14625</v>
      </c>
      <c r="J424" s="37" t="s">
        <v>2081</v>
      </c>
      <c r="K424" s="39">
        <v>45486</v>
      </c>
      <c r="L424" s="33" t="s">
        <v>58</v>
      </c>
      <c r="M424" s="41">
        <v>499000</v>
      </c>
      <c r="N424" s="34">
        <f t="shared" si="12"/>
        <v>2340</v>
      </c>
      <c r="O424" s="36">
        <f t="shared" si="13"/>
        <v>146.25</v>
      </c>
      <c r="P424" s="35">
        <v>500</v>
      </c>
    </row>
    <row r="425" spans="1:16" x14ac:dyDescent="0.25">
      <c r="A425" s="37" t="s">
        <v>536</v>
      </c>
      <c r="B425" s="37"/>
      <c r="C425" s="40" t="s">
        <v>31</v>
      </c>
      <c r="D425" s="39">
        <v>45852</v>
      </c>
      <c r="E425" s="39">
        <v>46217</v>
      </c>
      <c r="F425" s="37" t="s">
        <v>1372</v>
      </c>
      <c r="G425" s="37" t="s">
        <v>64</v>
      </c>
      <c r="H425" s="41">
        <v>17465</v>
      </c>
      <c r="I425" s="42">
        <v>14625</v>
      </c>
      <c r="J425" s="37" t="s">
        <v>2081</v>
      </c>
      <c r="K425" s="39">
        <v>45486</v>
      </c>
      <c r="L425" s="33" t="s">
        <v>58</v>
      </c>
      <c r="M425" s="41">
        <v>499000</v>
      </c>
      <c r="N425" s="34">
        <f t="shared" si="12"/>
        <v>2340</v>
      </c>
      <c r="O425" s="36">
        <f t="shared" si="13"/>
        <v>146.25</v>
      </c>
      <c r="P425" s="35">
        <v>500</v>
      </c>
    </row>
    <row r="426" spans="1:16" x14ac:dyDescent="0.25">
      <c r="A426" s="37" t="s">
        <v>537</v>
      </c>
      <c r="B426" s="37"/>
      <c r="C426" s="40" t="s">
        <v>53</v>
      </c>
      <c r="D426" s="39">
        <v>45486</v>
      </c>
      <c r="E426" s="39">
        <v>45851</v>
      </c>
      <c r="F426" s="37" t="s">
        <v>1373</v>
      </c>
      <c r="G426" s="37" t="s">
        <v>61</v>
      </c>
      <c r="H426" s="41">
        <v>8800</v>
      </c>
      <c r="I426" s="42">
        <v>7155</v>
      </c>
      <c r="J426" s="37" t="s">
        <v>2082</v>
      </c>
      <c r="K426" s="39">
        <v>45486</v>
      </c>
      <c r="L426" s="33" t="s">
        <v>58</v>
      </c>
      <c r="M426" s="41">
        <v>352000</v>
      </c>
      <c r="N426" s="34">
        <f t="shared" si="12"/>
        <v>1144.8</v>
      </c>
      <c r="O426" s="36">
        <f t="shared" si="13"/>
        <v>71.55</v>
      </c>
      <c r="P426" s="35">
        <v>500</v>
      </c>
    </row>
    <row r="427" spans="1:16" x14ac:dyDescent="0.25">
      <c r="A427" s="37" t="s">
        <v>538</v>
      </c>
      <c r="B427" s="37"/>
      <c r="C427" s="40" t="s">
        <v>31</v>
      </c>
      <c r="D427" s="39">
        <v>45486</v>
      </c>
      <c r="E427" s="39">
        <v>45851</v>
      </c>
      <c r="F427" s="37" t="s">
        <v>1374</v>
      </c>
      <c r="G427" s="37" t="s">
        <v>65</v>
      </c>
      <c r="H427" s="41">
        <v>13370</v>
      </c>
      <c r="I427" s="42">
        <v>11095</v>
      </c>
      <c r="J427" s="37" t="s">
        <v>2083</v>
      </c>
      <c r="K427" s="39">
        <v>45486</v>
      </c>
      <c r="L427" s="33" t="s">
        <v>58</v>
      </c>
      <c r="M427" s="41">
        <v>382000</v>
      </c>
      <c r="N427" s="34">
        <f t="shared" si="12"/>
        <v>1775.2</v>
      </c>
      <c r="O427" s="36">
        <f t="shared" si="13"/>
        <v>110.95</v>
      </c>
      <c r="P427" s="35">
        <v>500</v>
      </c>
    </row>
    <row r="428" spans="1:16" x14ac:dyDescent="0.25">
      <c r="A428" s="37" t="s">
        <v>539</v>
      </c>
      <c r="B428" s="37"/>
      <c r="C428" s="40" t="s">
        <v>31</v>
      </c>
      <c r="D428" s="39">
        <v>45852</v>
      </c>
      <c r="E428" s="39">
        <v>46217</v>
      </c>
      <c r="F428" s="37" t="s">
        <v>1374</v>
      </c>
      <c r="G428" s="37" t="s">
        <v>65</v>
      </c>
      <c r="H428" s="41">
        <v>13370</v>
      </c>
      <c r="I428" s="42">
        <v>11095</v>
      </c>
      <c r="J428" s="37" t="s">
        <v>2083</v>
      </c>
      <c r="K428" s="39">
        <v>45486</v>
      </c>
      <c r="L428" s="33" t="s">
        <v>58</v>
      </c>
      <c r="M428" s="41">
        <v>382000</v>
      </c>
      <c r="N428" s="34">
        <f t="shared" si="12"/>
        <v>1775.2</v>
      </c>
      <c r="O428" s="36">
        <f t="shared" si="13"/>
        <v>110.95</v>
      </c>
      <c r="P428" s="35">
        <v>500</v>
      </c>
    </row>
    <row r="429" spans="1:16" x14ac:dyDescent="0.25">
      <c r="A429" s="37" t="s">
        <v>540</v>
      </c>
      <c r="B429" s="37"/>
      <c r="C429" s="40" t="s">
        <v>32</v>
      </c>
      <c r="D429" s="39">
        <v>45486</v>
      </c>
      <c r="E429" s="39">
        <v>45851</v>
      </c>
      <c r="F429" s="37" t="s">
        <v>1375</v>
      </c>
      <c r="G429" s="37" t="s">
        <v>64</v>
      </c>
      <c r="H429" s="41">
        <v>17465</v>
      </c>
      <c r="I429" s="42">
        <v>14625</v>
      </c>
      <c r="J429" s="37" t="s">
        <v>2084</v>
      </c>
      <c r="K429" s="39">
        <v>45486</v>
      </c>
      <c r="L429" s="33" t="s">
        <v>58</v>
      </c>
      <c r="M429" s="41">
        <v>499000</v>
      </c>
      <c r="N429" s="34">
        <f t="shared" si="12"/>
        <v>2340</v>
      </c>
      <c r="O429" s="36">
        <f t="shared" si="13"/>
        <v>146.25</v>
      </c>
      <c r="P429" s="35">
        <v>500</v>
      </c>
    </row>
    <row r="430" spans="1:16" x14ac:dyDescent="0.25">
      <c r="A430" s="37" t="s">
        <v>541</v>
      </c>
      <c r="B430" s="37"/>
      <c r="C430" s="40" t="s">
        <v>32</v>
      </c>
      <c r="D430" s="39">
        <v>45852</v>
      </c>
      <c r="E430" s="39">
        <v>46217</v>
      </c>
      <c r="F430" s="37" t="s">
        <v>1375</v>
      </c>
      <c r="G430" s="37" t="s">
        <v>64</v>
      </c>
      <c r="H430" s="41">
        <v>17465</v>
      </c>
      <c r="I430" s="42">
        <v>14625</v>
      </c>
      <c r="J430" s="37" t="s">
        <v>2084</v>
      </c>
      <c r="K430" s="39">
        <v>45486</v>
      </c>
      <c r="L430" s="33" t="s">
        <v>58</v>
      </c>
      <c r="M430" s="41">
        <v>499000</v>
      </c>
      <c r="N430" s="34">
        <f t="shared" si="12"/>
        <v>2340</v>
      </c>
      <c r="O430" s="36">
        <f t="shared" si="13"/>
        <v>146.25</v>
      </c>
      <c r="P430" s="35">
        <v>500</v>
      </c>
    </row>
    <row r="431" spans="1:16" x14ac:dyDescent="0.25">
      <c r="A431" s="37" t="s">
        <v>542</v>
      </c>
      <c r="B431" s="37"/>
      <c r="C431" s="40" t="s">
        <v>31</v>
      </c>
      <c r="D431" s="39">
        <v>45486</v>
      </c>
      <c r="E431" s="39">
        <v>45851</v>
      </c>
      <c r="F431" s="37" t="s">
        <v>1376</v>
      </c>
      <c r="G431" s="37" t="s">
        <v>61</v>
      </c>
      <c r="H431" s="41">
        <v>12320</v>
      </c>
      <c r="I431" s="42">
        <v>10190</v>
      </c>
      <c r="J431" s="37" t="s">
        <v>2085</v>
      </c>
      <c r="K431" s="39">
        <v>45486</v>
      </c>
      <c r="L431" s="33" t="s">
        <v>58</v>
      </c>
      <c r="M431" s="41">
        <v>352000</v>
      </c>
      <c r="N431" s="34">
        <f t="shared" si="12"/>
        <v>1630.4</v>
      </c>
      <c r="O431" s="36">
        <f t="shared" si="13"/>
        <v>101.9</v>
      </c>
      <c r="P431" s="35">
        <v>500</v>
      </c>
    </row>
    <row r="432" spans="1:16" x14ac:dyDescent="0.25">
      <c r="A432" s="37" t="s">
        <v>543</v>
      </c>
      <c r="B432" s="37"/>
      <c r="C432" s="40" t="s">
        <v>31</v>
      </c>
      <c r="D432" s="39">
        <v>45852</v>
      </c>
      <c r="E432" s="39">
        <v>46217</v>
      </c>
      <c r="F432" s="37" t="s">
        <v>1376</v>
      </c>
      <c r="G432" s="37" t="s">
        <v>61</v>
      </c>
      <c r="H432" s="41">
        <v>12320</v>
      </c>
      <c r="I432" s="42">
        <v>10190</v>
      </c>
      <c r="J432" s="37" t="s">
        <v>2085</v>
      </c>
      <c r="K432" s="39">
        <v>45486</v>
      </c>
      <c r="L432" s="33" t="s">
        <v>58</v>
      </c>
      <c r="M432" s="41">
        <v>352000</v>
      </c>
      <c r="N432" s="34">
        <f t="shared" si="12"/>
        <v>1630.4</v>
      </c>
      <c r="O432" s="36">
        <f t="shared" si="13"/>
        <v>101.9</v>
      </c>
      <c r="P432" s="35">
        <v>500</v>
      </c>
    </row>
    <row r="433" spans="1:16" x14ac:dyDescent="0.25">
      <c r="A433" s="37" t="s">
        <v>544</v>
      </c>
      <c r="B433" s="37"/>
      <c r="C433" s="40" t="s">
        <v>32</v>
      </c>
      <c r="D433" s="39">
        <v>45486</v>
      </c>
      <c r="E433" s="39">
        <v>45851</v>
      </c>
      <c r="F433" s="37" t="s">
        <v>1377</v>
      </c>
      <c r="G433" s="37" t="s">
        <v>63</v>
      </c>
      <c r="H433" s="41">
        <v>19145</v>
      </c>
      <c r="I433" s="42">
        <v>16073</v>
      </c>
      <c r="J433" s="37" t="s">
        <v>2086</v>
      </c>
      <c r="K433" s="39">
        <v>45486</v>
      </c>
      <c r="L433" s="33" t="s">
        <v>58</v>
      </c>
      <c r="M433" s="41">
        <v>547000</v>
      </c>
      <c r="N433" s="34">
        <f t="shared" si="12"/>
        <v>2571.6799999999998</v>
      </c>
      <c r="O433" s="36">
        <f t="shared" si="13"/>
        <v>160.72999999999999</v>
      </c>
      <c r="P433" s="35">
        <v>500</v>
      </c>
    </row>
    <row r="434" spans="1:16" x14ac:dyDescent="0.25">
      <c r="A434" s="37" t="s">
        <v>545</v>
      </c>
      <c r="B434" s="37"/>
      <c r="C434" s="40" t="s">
        <v>32</v>
      </c>
      <c r="D434" s="39">
        <v>45852</v>
      </c>
      <c r="E434" s="39">
        <v>46217</v>
      </c>
      <c r="F434" s="37" t="s">
        <v>1377</v>
      </c>
      <c r="G434" s="37" t="s">
        <v>63</v>
      </c>
      <c r="H434" s="41">
        <v>19145</v>
      </c>
      <c r="I434" s="42">
        <v>16073</v>
      </c>
      <c r="J434" s="37" t="s">
        <v>2086</v>
      </c>
      <c r="K434" s="39">
        <v>45486</v>
      </c>
      <c r="L434" s="33" t="s">
        <v>58</v>
      </c>
      <c r="M434" s="41">
        <v>547000</v>
      </c>
      <c r="N434" s="34">
        <f t="shared" si="12"/>
        <v>2571.6799999999998</v>
      </c>
      <c r="O434" s="36">
        <f t="shared" si="13"/>
        <v>160.72999999999999</v>
      </c>
      <c r="P434" s="35">
        <v>500</v>
      </c>
    </row>
    <row r="435" spans="1:16" x14ac:dyDescent="0.25">
      <c r="A435" s="37" t="s">
        <v>546</v>
      </c>
      <c r="B435" s="37"/>
      <c r="C435" s="40" t="s">
        <v>39</v>
      </c>
      <c r="D435" s="39">
        <v>45486</v>
      </c>
      <c r="E435" s="39">
        <v>45851</v>
      </c>
      <c r="F435" s="37" t="s">
        <v>1378</v>
      </c>
      <c r="G435" s="37" t="s">
        <v>61</v>
      </c>
      <c r="H435" s="41">
        <v>12320</v>
      </c>
      <c r="I435" s="42">
        <v>10190</v>
      </c>
      <c r="J435" s="37" t="s">
        <v>1907</v>
      </c>
      <c r="K435" s="39">
        <v>45486</v>
      </c>
      <c r="L435" s="33" t="s">
        <v>58</v>
      </c>
      <c r="M435" s="41">
        <v>352000</v>
      </c>
      <c r="N435" s="34">
        <f t="shared" si="12"/>
        <v>1630.4</v>
      </c>
      <c r="O435" s="36">
        <f t="shared" si="13"/>
        <v>101.9</v>
      </c>
      <c r="P435" s="35">
        <v>500</v>
      </c>
    </row>
    <row r="436" spans="1:16" x14ac:dyDescent="0.25">
      <c r="A436" s="37" t="s">
        <v>547</v>
      </c>
      <c r="B436" s="37"/>
      <c r="C436" s="40" t="s">
        <v>32</v>
      </c>
      <c r="D436" s="39">
        <v>45486</v>
      </c>
      <c r="E436" s="39">
        <v>45851</v>
      </c>
      <c r="F436" s="37" t="s">
        <v>1379</v>
      </c>
      <c r="G436" s="37" t="s">
        <v>63</v>
      </c>
      <c r="H436" s="41">
        <v>19145</v>
      </c>
      <c r="I436" s="42">
        <v>16073</v>
      </c>
      <c r="J436" s="37" t="s">
        <v>2088</v>
      </c>
      <c r="K436" s="39">
        <v>45486</v>
      </c>
      <c r="L436" s="33" t="s">
        <v>58</v>
      </c>
      <c r="M436" s="41">
        <v>547000</v>
      </c>
      <c r="N436" s="34">
        <f t="shared" si="12"/>
        <v>2571.6799999999998</v>
      </c>
      <c r="O436" s="36">
        <f t="shared" si="13"/>
        <v>160.72999999999999</v>
      </c>
      <c r="P436" s="35">
        <v>500</v>
      </c>
    </row>
    <row r="437" spans="1:16" x14ac:dyDescent="0.25">
      <c r="A437" s="37" t="s">
        <v>548</v>
      </c>
      <c r="B437" s="37"/>
      <c r="C437" s="40" t="s">
        <v>32</v>
      </c>
      <c r="D437" s="39">
        <v>45852</v>
      </c>
      <c r="E437" s="39">
        <v>46217</v>
      </c>
      <c r="F437" s="37" t="s">
        <v>1379</v>
      </c>
      <c r="G437" s="37" t="s">
        <v>63</v>
      </c>
      <c r="H437" s="41">
        <v>19145</v>
      </c>
      <c r="I437" s="42">
        <v>16073</v>
      </c>
      <c r="J437" s="37" t="s">
        <v>2088</v>
      </c>
      <c r="K437" s="39">
        <v>45486</v>
      </c>
      <c r="L437" s="33" t="s">
        <v>58</v>
      </c>
      <c r="M437" s="41">
        <v>547000</v>
      </c>
      <c r="N437" s="34">
        <f t="shared" si="12"/>
        <v>2571.6799999999998</v>
      </c>
      <c r="O437" s="36">
        <f t="shared" si="13"/>
        <v>160.72999999999999</v>
      </c>
      <c r="P437" s="35">
        <v>500</v>
      </c>
    </row>
    <row r="438" spans="1:16" x14ac:dyDescent="0.25">
      <c r="A438" s="37" t="s">
        <v>549</v>
      </c>
      <c r="B438" s="37"/>
      <c r="C438" s="40" t="s">
        <v>30</v>
      </c>
      <c r="D438" s="39">
        <v>45486</v>
      </c>
      <c r="E438" s="39">
        <v>45851</v>
      </c>
      <c r="F438" s="37" t="s">
        <v>1380</v>
      </c>
      <c r="G438" s="37" t="s">
        <v>61</v>
      </c>
      <c r="H438" s="41">
        <v>12320</v>
      </c>
      <c r="I438" s="42">
        <v>10190</v>
      </c>
      <c r="J438" s="37" t="s">
        <v>2089</v>
      </c>
      <c r="K438" s="39">
        <v>45486</v>
      </c>
      <c r="L438" s="33" t="s">
        <v>58</v>
      </c>
      <c r="M438" s="41">
        <v>352000</v>
      </c>
      <c r="N438" s="34">
        <f t="shared" si="12"/>
        <v>1630.4</v>
      </c>
      <c r="O438" s="36">
        <f t="shared" si="13"/>
        <v>101.9</v>
      </c>
      <c r="P438" s="35">
        <v>500</v>
      </c>
    </row>
    <row r="439" spans="1:16" x14ac:dyDescent="0.25">
      <c r="A439" s="37" t="s">
        <v>550</v>
      </c>
      <c r="B439" s="37"/>
      <c r="C439" s="40" t="s">
        <v>30</v>
      </c>
      <c r="D439" s="39">
        <v>45852</v>
      </c>
      <c r="E439" s="39">
        <v>46217</v>
      </c>
      <c r="F439" s="37" t="s">
        <v>1380</v>
      </c>
      <c r="G439" s="37" t="s">
        <v>61</v>
      </c>
      <c r="H439" s="41">
        <v>12320</v>
      </c>
      <c r="I439" s="42">
        <v>10190</v>
      </c>
      <c r="J439" s="37" t="s">
        <v>2089</v>
      </c>
      <c r="K439" s="39">
        <v>45486</v>
      </c>
      <c r="L439" s="33" t="s">
        <v>58</v>
      </c>
      <c r="M439" s="41">
        <v>352000</v>
      </c>
      <c r="N439" s="34">
        <f t="shared" si="12"/>
        <v>1630.4</v>
      </c>
      <c r="O439" s="36">
        <f t="shared" si="13"/>
        <v>101.9</v>
      </c>
      <c r="P439" s="35">
        <v>500</v>
      </c>
    </row>
    <row r="440" spans="1:16" x14ac:dyDescent="0.25">
      <c r="A440" s="37" t="s">
        <v>551</v>
      </c>
      <c r="B440" s="37"/>
      <c r="C440" s="40" t="s">
        <v>1071</v>
      </c>
      <c r="D440" s="39">
        <v>45486</v>
      </c>
      <c r="E440" s="39">
        <v>45851</v>
      </c>
      <c r="F440" s="37" t="s">
        <v>1381</v>
      </c>
      <c r="G440" s="37" t="s">
        <v>61</v>
      </c>
      <c r="H440" s="41">
        <v>8800</v>
      </c>
      <c r="I440" s="42">
        <v>7155</v>
      </c>
      <c r="J440" s="37" t="s">
        <v>2090</v>
      </c>
      <c r="K440" s="39">
        <v>45486</v>
      </c>
      <c r="L440" s="33" t="s">
        <v>58</v>
      </c>
      <c r="M440" s="41">
        <v>352000</v>
      </c>
      <c r="N440" s="34">
        <f t="shared" si="12"/>
        <v>1144.8</v>
      </c>
      <c r="O440" s="36">
        <f t="shared" si="13"/>
        <v>71.55</v>
      </c>
      <c r="P440" s="35">
        <v>500</v>
      </c>
    </row>
    <row r="441" spans="1:16" x14ac:dyDescent="0.25">
      <c r="A441" s="37" t="s">
        <v>552</v>
      </c>
      <c r="B441" s="37"/>
      <c r="C441" s="40" t="s">
        <v>1071</v>
      </c>
      <c r="D441" s="39">
        <v>45486</v>
      </c>
      <c r="E441" s="39">
        <v>45851</v>
      </c>
      <c r="F441" s="37" t="s">
        <v>1382</v>
      </c>
      <c r="G441" s="37" t="s">
        <v>61</v>
      </c>
      <c r="H441" s="41">
        <v>8800</v>
      </c>
      <c r="I441" s="42">
        <v>7155</v>
      </c>
      <c r="J441" s="37" t="s">
        <v>2092</v>
      </c>
      <c r="K441" s="39">
        <v>45486</v>
      </c>
      <c r="L441" s="33" t="s">
        <v>58</v>
      </c>
      <c r="M441" s="41">
        <v>352000</v>
      </c>
      <c r="N441" s="34">
        <f t="shared" si="12"/>
        <v>1144.8</v>
      </c>
      <c r="O441" s="36">
        <f t="shared" si="13"/>
        <v>71.55</v>
      </c>
      <c r="P441" s="35">
        <v>500</v>
      </c>
    </row>
    <row r="442" spans="1:16" x14ac:dyDescent="0.25">
      <c r="A442" s="37" t="s">
        <v>553</v>
      </c>
      <c r="B442" s="37"/>
      <c r="C442" s="40" t="s">
        <v>1071</v>
      </c>
      <c r="D442" s="39">
        <v>45486</v>
      </c>
      <c r="E442" s="39">
        <v>45851</v>
      </c>
      <c r="F442" s="37" t="s">
        <v>1383</v>
      </c>
      <c r="G442" s="37" t="s">
        <v>61</v>
      </c>
      <c r="H442" s="41">
        <v>8800</v>
      </c>
      <c r="I442" s="42">
        <v>7155</v>
      </c>
      <c r="J442" s="37" t="s">
        <v>2093</v>
      </c>
      <c r="K442" s="39">
        <v>45486</v>
      </c>
      <c r="L442" s="33" t="s">
        <v>58</v>
      </c>
      <c r="M442" s="41">
        <v>352000</v>
      </c>
      <c r="N442" s="34">
        <f t="shared" si="12"/>
        <v>1144.8</v>
      </c>
      <c r="O442" s="36">
        <f t="shared" si="13"/>
        <v>71.55</v>
      </c>
      <c r="P442" s="35">
        <v>500</v>
      </c>
    </row>
    <row r="443" spans="1:16" x14ac:dyDescent="0.25">
      <c r="A443" s="37" t="s">
        <v>554</v>
      </c>
      <c r="B443" s="37"/>
      <c r="C443" s="40" t="s">
        <v>30</v>
      </c>
      <c r="D443" s="39">
        <v>45486</v>
      </c>
      <c r="E443" s="39">
        <v>45851</v>
      </c>
      <c r="F443" s="37" t="s">
        <v>1384</v>
      </c>
      <c r="G443" s="37" t="s">
        <v>61</v>
      </c>
      <c r="H443" s="41">
        <v>12320</v>
      </c>
      <c r="I443" s="42">
        <v>10190</v>
      </c>
      <c r="J443" s="37" t="s">
        <v>2094</v>
      </c>
      <c r="K443" s="39">
        <v>45486</v>
      </c>
      <c r="L443" s="33" t="s">
        <v>58</v>
      </c>
      <c r="M443" s="41">
        <v>352000</v>
      </c>
      <c r="N443" s="34">
        <f t="shared" si="12"/>
        <v>1630.4</v>
      </c>
      <c r="O443" s="36">
        <f t="shared" si="13"/>
        <v>101.9</v>
      </c>
      <c r="P443" s="35">
        <v>500</v>
      </c>
    </row>
    <row r="444" spans="1:16" x14ac:dyDescent="0.25">
      <c r="A444" s="37" t="s">
        <v>555</v>
      </c>
      <c r="B444" s="37"/>
      <c r="C444" s="40" t="s">
        <v>30</v>
      </c>
      <c r="D444" s="39">
        <v>45852</v>
      </c>
      <c r="E444" s="39">
        <v>46217</v>
      </c>
      <c r="F444" s="37" t="s">
        <v>1384</v>
      </c>
      <c r="G444" s="37" t="s">
        <v>61</v>
      </c>
      <c r="H444" s="41">
        <v>12320</v>
      </c>
      <c r="I444" s="42">
        <v>10190</v>
      </c>
      <c r="J444" s="37" t="s">
        <v>2094</v>
      </c>
      <c r="K444" s="39">
        <v>45486</v>
      </c>
      <c r="L444" s="33" t="s">
        <v>58</v>
      </c>
      <c r="M444" s="41">
        <v>352000</v>
      </c>
      <c r="N444" s="34">
        <f t="shared" si="12"/>
        <v>1630.4</v>
      </c>
      <c r="O444" s="36">
        <f t="shared" si="13"/>
        <v>101.9</v>
      </c>
      <c r="P444" s="35">
        <v>500</v>
      </c>
    </row>
    <row r="445" spans="1:16" x14ac:dyDescent="0.25">
      <c r="A445" s="37" t="s">
        <v>556</v>
      </c>
      <c r="B445" s="37"/>
      <c r="C445" s="40" t="s">
        <v>35</v>
      </c>
      <c r="D445" s="39">
        <v>45486</v>
      </c>
      <c r="E445" s="39">
        <v>45851</v>
      </c>
      <c r="F445" s="37" t="s">
        <v>1385</v>
      </c>
      <c r="G445" s="37" t="s">
        <v>61</v>
      </c>
      <c r="H445" s="41">
        <v>12320</v>
      </c>
      <c r="I445" s="42">
        <v>10190</v>
      </c>
      <c r="J445" s="37" t="s">
        <v>1744</v>
      </c>
      <c r="K445" s="39">
        <v>45486</v>
      </c>
      <c r="L445" s="33" t="s">
        <v>58</v>
      </c>
      <c r="M445" s="41">
        <v>352000</v>
      </c>
      <c r="N445" s="34">
        <f t="shared" si="12"/>
        <v>1630.4</v>
      </c>
      <c r="O445" s="36">
        <f t="shared" si="13"/>
        <v>101.9</v>
      </c>
      <c r="P445" s="35">
        <v>500</v>
      </c>
    </row>
    <row r="446" spans="1:16" x14ac:dyDescent="0.25">
      <c r="A446" s="37" t="s">
        <v>557</v>
      </c>
      <c r="B446" s="37"/>
      <c r="C446" s="40" t="s">
        <v>32</v>
      </c>
      <c r="D446" s="39">
        <v>45486</v>
      </c>
      <c r="E446" s="39">
        <v>45851</v>
      </c>
      <c r="F446" s="37" t="s">
        <v>1386</v>
      </c>
      <c r="G446" s="37" t="s">
        <v>61</v>
      </c>
      <c r="H446" s="41">
        <v>12320</v>
      </c>
      <c r="I446" s="42">
        <v>10190</v>
      </c>
      <c r="J446" s="37" t="s">
        <v>2095</v>
      </c>
      <c r="K446" s="39">
        <v>45486</v>
      </c>
      <c r="L446" s="33" t="s">
        <v>58</v>
      </c>
      <c r="M446" s="41">
        <v>352000</v>
      </c>
      <c r="N446" s="34">
        <f t="shared" si="12"/>
        <v>1630.4</v>
      </c>
      <c r="O446" s="36">
        <f t="shared" si="13"/>
        <v>101.9</v>
      </c>
      <c r="P446" s="35">
        <v>500</v>
      </c>
    </row>
    <row r="447" spans="1:16" x14ac:dyDescent="0.25">
      <c r="A447" s="37" t="s">
        <v>558</v>
      </c>
      <c r="B447" s="37"/>
      <c r="C447" s="40" t="s">
        <v>32</v>
      </c>
      <c r="D447" s="39">
        <v>45852</v>
      </c>
      <c r="E447" s="39">
        <v>46217</v>
      </c>
      <c r="F447" s="37" t="s">
        <v>1386</v>
      </c>
      <c r="G447" s="37" t="s">
        <v>61</v>
      </c>
      <c r="H447" s="41">
        <v>12320</v>
      </c>
      <c r="I447" s="42">
        <v>10190</v>
      </c>
      <c r="J447" s="37" t="s">
        <v>2095</v>
      </c>
      <c r="K447" s="39">
        <v>45486</v>
      </c>
      <c r="L447" s="33" t="s">
        <v>58</v>
      </c>
      <c r="M447" s="41">
        <v>352000</v>
      </c>
      <c r="N447" s="34">
        <f t="shared" si="12"/>
        <v>1630.4</v>
      </c>
      <c r="O447" s="36">
        <f t="shared" si="13"/>
        <v>101.9</v>
      </c>
      <c r="P447" s="35">
        <v>500</v>
      </c>
    </row>
    <row r="448" spans="1:16" x14ac:dyDescent="0.25">
      <c r="A448" s="37" t="s">
        <v>559</v>
      </c>
      <c r="B448" s="37"/>
      <c r="C448" s="40" t="s">
        <v>32</v>
      </c>
      <c r="D448" s="39">
        <v>45486</v>
      </c>
      <c r="E448" s="39">
        <v>45851</v>
      </c>
      <c r="F448" s="37" t="s">
        <v>1387</v>
      </c>
      <c r="G448" s="37" t="s">
        <v>61</v>
      </c>
      <c r="H448" s="41">
        <v>12320</v>
      </c>
      <c r="I448" s="42">
        <v>10190</v>
      </c>
      <c r="J448" s="37" t="s">
        <v>2097</v>
      </c>
      <c r="K448" s="39">
        <v>45486</v>
      </c>
      <c r="L448" s="33" t="s">
        <v>58</v>
      </c>
      <c r="M448" s="41">
        <v>352000</v>
      </c>
      <c r="N448" s="34">
        <f t="shared" si="12"/>
        <v>1630.4</v>
      </c>
      <c r="O448" s="36">
        <f t="shared" si="13"/>
        <v>101.9</v>
      </c>
      <c r="P448" s="35">
        <v>500</v>
      </c>
    </row>
    <row r="449" spans="1:16" x14ac:dyDescent="0.25">
      <c r="A449" s="37" t="s">
        <v>560</v>
      </c>
      <c r="B449" s="37"/>
      <c r="C449" s="40" t="s">
        <v>32</v>
      </c>
      <c r="D449" s="39">
        <v>45852</v>
      </c>
      <c r="E449" s="39">
        <v>46217</v>
      </c>
      <c r="F449" s="37" t="s">
        <v>1387</v>
      </c>
      <c r="G449" s="37" t="s">
        <v>61</v>
      </c>
      <c r="H449" s="41">
        <v>12320</v>
      </c>
      <c r="I449" s="42">
        <v>10190</v>
      </c>
      <c r="J449" s="37" t="s">
        <v>2097</v>
      </c>
      <c r="K449" s="39">
        <v>45486</v>
      </c>
      <c r="L449" s="33" t="s">
        <v>58</v>
      </c>
      <c r="M449" s="41">
        <v>352000</v>
      </c>
      <c r="N449" s="34">
        <f t="shared" si="12"/>
        <v>1630.4</v>
      </c>
      <c r="O449" s="36">
        <f t="shared" si="13"/>
        <v>101.9</v>
      </c>
      <c r="P449" s="35">
        <v>500</v>
      </c>
    </row>
    <row r="450" spans="1:16" x14ac:dyDescent="0.25">
      <c r="A450" s="37" t="s">
        <v>561</v>
      </c>
      <c r="B450" s="37"/>
      <c r="C450" s="40" t="s">
        <v>35</v>
      </c>
      <c r="D450" s="39">
        <v>45486</v>
      </c>
      <c r="E450" s="39">
        <v>45851</v>
      </c>
      <c r="F450" s="37" t="s">
        <v>1388</v>
      </c>
      <c r="G450" s="37" t="s">
        <v>61</v>
      </c>
      <c r="H450" s="41">
        <v>12320</v>
      </c>
      <c r="I450" s="42">
        <v>10190</v>
      </c>
      <c r="J450" s="37" t="s">
        <v>2098</v>
      </c>
      <c r="K450" s="39">
        <v>45486</v>
      </c>
      <c r="L450" s="33" t="s">
        <v>58</v>
      </c>
      <c r="M450" s="41">
        <v>352000</v>
      </c>
      <c r="N450" s="34">
        <f t="shared" si="12"/>
        <v>1630.4</v>
      </c>
      <c r="O450" s="36">
        <f t="shared" si="13"/>
        <v>101.9</v>
      </c>
      <c r="P450" s="35">
        <v>500</v>
      </c>
    </row>
    <row r="451" spans="1:16" x14ac:dyDescent="0.25">
      <c r="A451" s="37" t="s">
        <v>562</v>
      </c>
      <c r="B451" s="37"/>
      <c r="C451" s="40" t="s">
        <v>35</v>
      </c>
      <c r="D451" s="39">
        <v>45852</v>
      </c>
      <c r="E451" s="39">
        <v>46217</v>
      </c>
      <c r="F451" s="37" t="s">
        <v>1388</v>
      </c>
      <c r="G451" s="37" t="s">
        <v>61</v>
      </c>
      <c r="H451" s="41">
        <v>12320</v>
      </c>
      <c r="I451" s="42">
        <v>10190</v>
      </c>
      <c r="J451" s="37" t="s">
        <v>2098</v>
      </c>
      <c r="K451" s="39">
        <v>45486</v>
      </c>
      <c r="L451" s="33" t="s">
        <v>58</v>
      </c>
      <c r="M451" s="41">
        <v>352000</v>
      </c>
      <c r="N451" s="34">
        <f t="shared" ref="N451:N514" si="14">I451*16/100</f>
        <v>1630.4</v>
      </c>
      <c r="O451" s="36">
        <f t="shared" ref="O451:O514" si="15">I451*1/100</f>
        <v>101.9</v>
      </c>
      <c r="P451" s="35">
        <v>500</v>
      </c>
    </row>
    <row r="452" spans="1:16" x14ac:dyDescent="0.25">
      <c r="A452" s="37" t="s">
        <v>563</v>
      </c>
      <c r="B452" s="37"/>
      <c r="C452" s="40" t="s">
        <v>1071</v>
      </c>
      <c r="D452" s="39">
        <v>45486</v>
      </c>
      <c r="E452" s="39">
        <v>45851</v>
      </c>
      <c r="F452" s="37" t="s">
        <v>1389</v>
      </c>
      <c r="G452" s="37" t="s">
        <v>61</v>
      </c>
      <c r="H452" s="41">
        <v>8800</v>
      </c>
      <c r="I452" s="42">
        <v>7155</v>
      </c>
      <c r="J452" s="37" t="s">
        <v>2100</v>
      </c>
      <c r="K452" s="39">
        <v>45486</v>
      </c>
      <c r="L452" s="33" t="s">
        <v>58</v>
      </c>
      <c r="M452" s="41">
        <v>352000</v>
      </c>
      <c r="N452" s="34">
        <f t="shared" si="14"/>
        <v>1144.8</v>
      </c>
      <c r="O452" s="36">
        <f t="shared" si="15"/>
        <v>71.55</v>
      </c>
      <c r="P452" s="35">
        <v>500</v>
      </c>
    </row>
    <row r="453" spans="1:16" x14ac:dyDescent="0.25">
      <c r="A453" s="37" t="s">
        <v>564</v>
      </c>
      <c r="B453" s="37"/>
      <c r="C453" s="40" t="s">
        <v>31</v>
      </c>
      <c r="D453" s="39">
        <v>45486</v>
      </c>
      <c r="E453" s="39">
        <v>45851</v>
      </c>
      <c r="F453" s="37" t="s">
        <v>1390</v>
      </c>
      <c r="G453" s="37" t="s">
        <v>61</v>
      </c>
      <c r="H453" s="41">
        <v>12320</v>
      </c>
      <c r="I453" s="42">
        <v>10190</v>
      </c>
      <c r="J453" s="37" t="s">
        <v>2101</v>
      </c>
      <c r="K453" s="39">
        <v>45486</v>
      </c>
      <c r="L453" s="33" t="s">
        <v>58</v>
      </c>
      <c r="M453" s="41">
        <v>352000</v>
      </c>
      <c r="N453" s="34">
        <f t="shared" si="14"/>
        <v>1630.4</v>
      </c>
      <c r="O453" s="36">
        <f t="shared" si="15"/>
        <v>101.9</v>
      </c>
      <c r="P453" s="35">
        <v>500</v>
      </c>
    </row>
    <row r="454" spans="1:16" x14ac:dyDescent="0.25">
      <c r="A454" s="37" t="s">
        <v>565</v>
      </c>
      <c r="B454" s="37"/>
      <c r="C454" s="40" t="s">
        <v>1071</v>
      </c>
      <c r="D454" s="39">
        <v>45486</v>
      </c>
      <c r="E454" s="39">
        <v>45851</v>
      </c>
      <c r="F454" s="37" t="s">
        <v>108</v>
      </c>
      <c r="G454" s="37" t="s">
        <v>61</v>
      </c>
      <c r="H454" s="41">
        <v>8800</v>
      </c>
      <c r="I454" s="42">
        <v>7155</v>
      </c>
      <c r="J454" s="37" t="s">
        <v>1829</v>
      </c>
      <c r="K454" s="39">
        <v>45486</v>
      </c>
      <c r="L454" s="33" t="s">
        <v>58</v>
      </c>
      <c r="M454" s="41">
        <v>352000</v>
      </c>
      <c r="N454" s="34">
        <f t="shared" si="14"/>
        <v>1144.8</v>
      </c>
      <c r="O454" s="36">
        <f t="shared" si="15"/>
        <v>71.55</v>
      </c>
      <c r="P454" s="35">
        <v>500</v>
      </c>
    </row>
    <row r="455" spans="1:16" x14ac:dyDescent="0.25">
      <c r="A455" s="37" t="s">
        <v>566</v>
      </c>
      <c r="B455" s="37"/>
      <c r="C455" s="40" t="s">
        <v>1071</v>
      </c>
      <c r="D455" s="39">
        <v>45486</v>
      </c>
      <c r="E455" s="39">
        <v>45851</v>
      </c>
      <c r="F455" s="37" t="s">
        <v>86</v>
      </c>
      <c r="G455" s="37" t="s">
        <v>61</v>
      </c>
      <c r="H455" s="41">
        <v>8800</v>
      </c>
      <c r="I455" s="42">
        <v>7155</v>
      </c>
      <c r="J455" s="37" t="s">
        <v>2102</v>
      </c>
      <c r="K455" s="39">
        <v>45486</v>
      </c>
      <c r="L455" s="33" t="s">
        <v>58</v>
      </c>
      <c r="M455" s="41">
        <v>352000</v>
      </c>
      <c r="N455" s="34">
        <f t="shared" si="14"/>
        <v>1144.8</v>
      </c>
      <c r="O455" s="36">
        <f t="shared" si="15"/>
        <v>71.55</v>
      </c>
      <c r="P455" s="35">
        <v>500</v>
      </c>
    </row>
    <row r="456" spans="1:16" x14ac:dyDescent="0.25">
      <c r="A456" s="37" t="s">
        <v>567</v>
      </c>
      <c r="B456" s="37"/>
      <c r="C456" s="40" t="s">
        <v>32</v>
      </c>
      <c r="D456" s="39">
        <v>45486</v>
      </c>
      <c r="E456" s="39">
        <v>45851</v>
      </c>
      <c r="F456" s="37" t="s">
        <v>1391</v>
      </c>
      <c r="G456" s="37" t="s">
        <v>61</v>
      </c>
      <c r="H456" s="41">
        <v>12320</v>
      </c>
      <c r="I456" s="42">
        <v>10190</v>
      </c>
      <c r="J456" s="37" t="s">
        <v>2060</v>
      </c>
      <c r="K456" s="39">
        <v>45486</v>
      </c>
      <c r="L456" s="33" t="s">
        <v>58</v>
      </c>
      <c r="M456" s="41">
        <v>352000</v>
      </c>
      <c r="N456" s="34">
        <f t="shared" si="14"/>
        <v>1630.4</v>
      </c>
      <c r="O456" s="36">
        <f t="shared" si="15"/>
        <v>101.9</v>
      </c>
      <c r="P456" s="35">
        <v>500</v>
      </c>
    </row>
    <row r="457" spans="1:16" x14ac:dyDescent="0.25">
      <c r="A457" s="37" t="s">
        <v>568</v>
      </c>
      <c r="B457" s="37"/>
      <c r="C457" s="40" t="s">
        <v>32</v>
      </c>
      <c r="D457" s="39">
        <v>45852</v>
      </c>
      <c r="E457" s="39">
        <v>46217</v>
      </c>
      <c r="F457" s="37" t="s">
        <v>1391</v>
      </c>
      <c r="G457" s="37" t="s">
        <v>61</v>
      </c>
      <c r="H457" s="41">
        <v>12320</v>
      </c>
      <c r="I457" s="42">
        <v>10190</v>
      </c>
      <c r="J457" s="37" t="s">
        <v>2060</v>
      </c>
      <c r="K457" s="39">
        <v>45486</v>
      </c>
      <c r="L457" s="33" t="s">
        <v>58</v>
      </c>
      <c r="M457" s="41">
        <v>352000</v>
      </c>
      <c r="N457" s="34">
        <f t="shared" si="14"/>
        <v>1630.4</v>
      </c>
      <c r="O457" s="36">
        <f t="shared" si="15"/>
        <v>101.9</v>
      </c>
      <c r="P457" s="35">
        <v>500</v>
      </c>
    </row>
    <row r="458" spans="1:16" x14ac:dyDescent="0.25">
      <c r="A458" s="37" t="s">
        <v>569</v>
      </c>
      <c r="B458" s="37"/>
      <c r="C458" s="40" t="s">
        <v>1071</v>
      </c>
      <c r="D458" s="39">
        <v>45486</v>
      </c>
      <c r="E458" s="39">
        <v>45851</v>
      </c>
      <c r="F458" s="37" t="s">
        <v>1392</v>
      </c>
      <c r="G458" s="37" t="s">
        <v>61</v>
      </c>
      <c r="H458" s="41">
        <v>8800</v>
      </c>
      <c r="I458" s="42">
        <v>7155</v>
      </c>
      <c r="J458" s="37" t="s">
        <v>2103</v>
      </c>
      <c r="K458" s="39">
        <v>45486</v>
      </c>
      <c r="L458" s="33" t="s">
        <v>58</v>
      </c>
      <c r="M458" s="41">
        <v>352000</v>
      </c>
      <c r="N458" s="34">
        <f t="shared" si="14"/>
        <v>1144.8</v>
      </c>
      <c r="O458" s="36">
        <f t="shared" si="15"/>
        <v>71.55</v>
      </c>
      <c r="P458" s="35">
        <v>500</v>
      </c>
    </row>
    <row r="459" spans="1:16" x14ac:dyDescent="0.25">
      <c r="A459" s="37" t="s">
        <v>570</v>
      </c>
      <c r="B459" s="37"/>
      <c r="C459" s="40" t="s">
        <v>1071</v>
      </c>
      <c r="D459" s="39">
        <v>45486</v>
      </c>
      <c r="E459" s="39">
        <v>45851</v>
      </c>
      <c r="F459" s="37" t="s">
        <v>1393</v>
      </c>
      <c r="G459" s="37" t="s">
        <v>61</v>
      </c>
      <c r="H459" s="41">
        <v>8800</v>
      </c>
      <c r="I459" s="42">
        <v>7155</v>
      </c>
      <c r="J459" s="37" t="s">
        <v>2104</v>
      </c>
      <c r="K459" s="39">
        <v>45486</v>
      </c>
      <c r="L459" s="33" t="s">
        <v>58</v>
      </c>
      <c r="M459" s="41">
        <v>352000</v>
      </c>
      <c r="N459" s="34">
        <f t="shared" si="14"/>
        <v>1144.8</v>
      </c>
      <c r="O459" s="36">
        <f t="shared" si="15"/>
        <v>71.55</v>
      </c>
      <c r="P459" s="35">
        <v>500</v>
      </c>
    </row>
    <row r="460" spans="1:16" x14ac:dyDescent="0.25">
      <c r="A460" s="37" t="s">
        <v>571</v>
      </c>
      <c r="B460" s="37"/>
      <c r="C460" s="40" t="s">
        <v>1071</v>
      </c>
      <c r="D460" s="39">
        <v>45486</v>
      </c>
      <c r="E460" s="39">
        <v>45851</v>
      </c>
      <c r="F460" s="37" t="s">
        <v>1394</v>
      </c>
      <c r="G460" s="37" t="s">
        <v>61</v>
      </c>
      <c r="H460" s="41">
        <v>8800</v>
      </c>
      <c r="I460" s="42">
        <v>7155</v>
      </c>
      <c r="J460" s="37" t="s">
        <v>2105</v>
      </c>
      <c r="K460" s="39">
        <v>45486</v>
      </c>
      <c r="L460" s="33" t="s">
        <v>58</v>
      </c>
      <c r="M460" s="41">
        <v>352000</v>
      </c>
      <c r="N460" s="34">
        <f t="shared" si="14"/>
        <v>1144.8</v>
      </c>
      <c r="O460" s="36">
        <f t="shared" si="15"/>
        <v>71.55</v>
      </c>
      <c r="P460" s="35">
        <v>500</v>
      </c>
    </row>
    <row r="461" spans="1:16" x14ac:dyDescent="0.25">
      <c r="A461" s="37" t="s">
        <v>572</v>
      </c>
      <c r="B461" s="37"/>
      <c r="C461" s="40" t="s">
        <v>31</v>
      </c>
      <c r="D461" s="39">
        <v>45486</v>
      </c>
      <c r="E461" s="39">
        <v>45851</v>
      </c>
      <c r="F461" s="37" t="s">
        <v>1395</v>
      </c>
      <c r="G461" s="37" t="s">
        <v>61</v>
      </c>
      <c r="H461" s="41">
        <v>12320</v>
      </c>
      <c r="I461" s="42">
        <v>10190</v>
      </c>
      <c r="J461" s="37" t="s">
        <v>1987</v>
      </c>
      <c r="K461" s="39">
        <v>45486</v>
      </c>
      <c r="L461" s="33" t="s">
        <v>58</v>
      </c>
      <c r="M461" s="41">
        <v>352000</v>
      </c>
      <c r="N461" s="34">
        <f t="shared" si="14"/>
        <v>1630.4</v>
      </c>
      <c r="O461" s="36">
        <f t="shared" si="15"/>
        <v>101.9</v>
      </c>
      <c r="P461" s="35">
        <v>500</v>
      </c>
    </row>
    <row r="462" spans="1:16" x14ac:dyDescent="0.25">
      <c r="A462" s="37" t="s">
        <v>573</v>
      </c>
      <c r="B462" s="37"/>
      <c r="C462" s="40" t="s">
        <v>32</v>
      </c>
      <c r="D462" s="39">
        <v>45486</v>
      </c>
      <c r="E462" s="39">
        <v>45851</v>
      </c>
      <c r="F462" s="37" t="s">
        <v>1396</v>
      </c>
      <c r="G462" s="37" t="s">
        <v>62</v>
      </c>
      <c r="H462" s="41">
        <v>13370</v>
      </c>
      <c r="I462" s="42">
        <v>11095</v>
      </c>
      <c r="J462" s="37" t="s">
        <v>2106</v>
      </c>
      <c r="K462" s="39">
        <v>45486</v>
      </c>
      <c r="L462" s="33" t="s">
        <v>58</v>
      </c>
      <c r="M462" s="41">
        <v>382000</v>
      </c>
      <c r="N462" s="34">
        <f t="shared" si="14"/>
        <v>1775.2</v>
      </c>
      <c r="O462" s="36">
        <f t="shared" si="15"/>
        <v>110.95</v>
      </c>
      <c r="P462" s="35">
        <v>500</v>
      </c>
    </row>
    <row r="463" spans="1:16" x14ac:dyDescent="0.25">
      <c r="A463" s="37" t="s">
        <v>574</v>
      </c>
      <c r="B463" s="37"/>
      <c r="C463" s="40" t="s">
        <v>32</v>
      </c>
      <c r="D463" s="39">
        <v>45852</v>
      </c>
      <c r="E463" s="39">
        <v>46217</v>
      </c>
      <c r="F463" s="37" t="s">
        <v>1396</v>
      </c>
      <c r="G463" s="37" t="s">
        <v>62</v>
      </c>
      <c r="H463" s="41">
        <v>13370</v>
      </c>
      <c r="I463" s="42">
        <v>11095</v>
      </c>
      <c r="J463" s="37" t="s">
        <v>2106</v>
      </c>
      <c r="K463" s="39">
        <v>45486</v>
      </c>
      <c r="L463" s="33" t="s">
        <v>58</v>
      </c>
      <c r="M463" s="41">
        <v>382000</v>
      </c>
      <c r="N463" s="34">
        <f t="shared" si="14"/>
        <v>1775.2</v>
      </c>
      <c r="O463" s="36">
        <f t="shared" si="15"/>
        <v>110.95</v>
      </c>
      <c r="P463" s="35">
        <v>500</v>
      </c>
    </row>
    <row r="464" spans="1:16" x14ac:dyDescent="0.25">
      <c r="A464" s="37" t="s">
        <v>575</v>
      </c>
      <c r="B464" s="37"/>
      <c r="C464" s="40" t="s">
        <v>32</v>
      </c>
      <c r="D464" s="39">
        <v>45486</v>
      </c>
      <c r="E464" s="39">
        <v>45851</v>
      </c>
      <c r="F464" s="37" t="s">
        <v>1397</v>
      </c>
      <c r="G464" s="37" t="s">
        <v>61</v>
      </c>
      <c r="H464" s="41">
        <v>12320</v>
      </c>
      <c r="I464" s="42">
        <v>10190</v>
      </c>
      <c r="J464" s="37" t="s">
        <v>2107</v>
      </c>
      <c r="K464" s="39">
        <v>45486</v>
      </c>
      <c r="L464" s="33" t="s">
        <v>58</v>
      </c>
      <c r="M464" s="41">
        <v>352000</v>
      </c>
      <c r="N464" s="34">
        <f t="shared" si="14"/>
        <v>1630.4</v>
      </c>
      <c r="O464" s="36">
        <f t="shared" si="15"/>
        <v>101.9</v>
      </c>
      <c r="P464" s="35">
        <v>500</v>
      </c>
    </row>
    <row r="465" spans="1:16" x14ac:dyDescent="0.25">
      <c r="A465" s="37" t="s">
        <v>576</v>
      </c>
      <c r="B465" s="37"/>
      <c r="C465" s="40" t="s">
        <v>32</v>
      </c>
      <c r="D465" s="39">
        <v>45852</v>
      </c>
      <c r="E465" s="39">
        <v>46217</v>
      </c>
      <c r="F465" s="37" t="s">
        <v>1397</v>
      </c>
      <c r="G465" s="37" t="s">
        <v>61</v>
      </c>
      <c r="H465" s="41">
        <v>12320</v>
      </c>
      <c r="I465" s="42">
        <v>10190</v>
      </c>
      <c r="J465" s="37" t="s">
        <v>2107</v>
      </c>
      <c r="K465" s="39">
        <v>45486</v>
      </c>
      <c r="L465" s="33" t="s">
        <v>58</v>
      </c>
      <c r="M465" s="41">
        <v>352000</v>
      </c>
      <c r="N465" s="34">
        <f t="shared" si="14"/>
        <v>1630.4</v>
      </c>
      <c r="O465" s="36">
        <f t="shared" si="15"/>
        <v>101.9</v>
      </c>
      <c r="P465" s="35">
        <v>500</v>
      </c>
    </row>
    <row r="466" spans="1:16" x14ac:dyDescent="0.25">
      <c r="A466" s="37" t="s">
        <v>577</v>
      </c>
      <c r="B466" s="37"/>
      <c r="C466" s="40" t="s">
        <v>32</v>
      </c>
      <c r="D466" s="39">
        <v>45486</v>
      </c>
      <c r="E466" s="39">
        <v>45851</v>
      </c>
      <c r="F466" s="37" t="s">
        <v>1398</v>
      </c>
      <c r="G466" s="37" t="s">
        <v>62</v>
      </c>
      <c r="H466" s="41">
        <v>13370</v>
      </c>
      <c r="I466" s="42">
        <v>11095</v>
      </c>
      <c r="J466" s="37" t="s">
        <v>2108</v>
      </c>
      <c r="K466" s="39">
        <v>45486</v>
      </c>
      <c r="L466" s="33" t="s">
        <v>58</v>
      </c>
      <c r="M466" s="41">
        <v>382000</v>
      </c>
      <c r="N466" s="34">
        <f t="shared" si="14"/>
        <v>1775.2</v>
      </c>
      <c r="O466" s="36">
        <f t="shared" si="15"/>
        <v>110.95</v>
      </c>
      <c r="P466" s="35">
        <v>500</v>
      </c>
    </row>
    <row r="467" spans="1:16" x14ac:dyDescent="0.25">
      <c r="A467" s="37" t="s">
        <v>578</v>
      </c>
      <c r="B467" s="37"/>
      <c r="C467" s="40" t="s">
        <v>49</v>
      </c>
      <c r="D467" s="39">
        <v>45486</v>
      </c>
      <c r="E467" s="39">
        <v>45851</v>
      </c>
      <c r="F467" s="37" t="s">
        <v>1399</v>
      </c>
      <c r="G467" s="37" t="s">
        <v>62</v>
      </c>
      <c r="H467" s="41">
        <v>9550</v>
      </c>
      <c r="I467" s="42">
        <v>7802</v>
      </c>
      <c r="J467" s="37" t="s">
        <v>2109</v>
      </c>
      <c r="K467" s="39">
        <v>45486</v>
      </c>
      <c r="L467" s="33" t="s">
        <v>58</v>
      </c>
      <c r="M467" s="41">
        <v>382000</v>
      </c>
      <c r="N467" s="34">
        <f t="shared" si="14"/>
        <v>1248.32</v>
      </c>
      <c r="O467" s="36">
        <f t="shared" si="15"/>
        <v>78.02</v>
      </c>
      <c r="P467" s="35">
        <v>500</v>
      </c>
    </row>
    <row r="468" spans="1:16" x14ac:dyDescent="0.25">
      <c r="A468" s="37" t="s">
        <v>579</v>
      </c>
      <c r="B468" s="37"/>
      <c r="C468" s="40" t="s">
        <v>32</v>
      </c>
      <c r="D468" s="39">
        <v>45486</v>
      </c>
      <c r="E468" s="39">
        <v>45851</v>
      </c>
      <c r="F468" s="37" t="s">
        <v>1400</v>
      </c>
      <c r="G468" s="37" t="s">
        <v>63</v>
      </c>
      <c r="H468" s="41">
        <v>19145</v>
      </c>
      <c r="I468" s="42">
        <v>16073</v>
      </c>
      <c r="J468" s="37" t="s">
        <v>2110</v>
      </c>
      <c r="K468" s="39">
        <v>45486</v>
      </c>
      <c r="L468" s="33" t="s">
        <v>58</v>
      </c>
      <c r="M468" s="41">
        <v>547000</v>
      </c>
      <c r="N468" s="34">
        <f t="shared" si="14"/>
        <v>2571.6799999999998</v>
      </c>
      <c r="O468" s="36">
        <f t="shared" si="15"/>
        <v>160.72999999999999</v>
      </c>
      <c r="P468" s="35">
        <v>500</v>
      </c>
    </row>
    <row r="469" spans="1:16" x14ac:dyDescent="0.25">
      <c r="A469" s="37" t="s">
        <v>580</v>
      </c>
      <c r="B469" s="37"/>
      <c r="C469" s="40" t="s">
        <v>32</v>
      </c>
      <c r="D469" s="39">
        <v>45852</v>
      </c>
      <c r="E469" s="39">
        <v>46217</v>
      </c>
      <c r="F469" s="37" t="s">
        <v>1400</v>
      </c>
      <c r="G469" s="37" t="s">
        <v>63</v>
      </c>
      <c r="H469" s="41">
        <v>19145</v>
      </c>
      <c r="I469" s="42">
        <v>16073</v>
      </c>
      <c r="J469" s="37" t="s">
        <v>2110</v>
      </c>
      <c r="K469" s="39">
        <v>45486</v>
      </c>
      <c r="L469" s="33" t="s">
        <v>58</v>
      </c>
      <c r="M469" s="41">
        <v>547000</v>
      </c>
      <c r="N469" s="34">
        <f t="shared" si="14"/>
        <v>2571.6799999999998</v>
      </c>
      <c r="O469" s="36">
        <f t="shared" si="15"/>
        <v>160.72999999999999</v>
      </c>
      <c r="P469" s="35">
        <v>500</v>
      </c>
    </row>
    <row r="470" spans="1:16" x14ac:dyDescent="0.25">
      <c r="A470" s="37" t="s">
        <v>581</v>
      </c>
      <c r="B470" s="37"/>
      <c r="C470" s="40" t="s">
        <v>38</v>
      </c>
      <c r="D470" s="39">
        <v>45486</v>
      </c>
      <c r="E470" s="39">
        <v>45851</v>
      </c>
      <c r="F470" s="37" t="s">
        <v>1401</v>
      </c>
      <c r="G470" s="37" t="s">
        <v>62</v>
      </c>
      <c r="H470" s="41">
        <v>13370</v>
      </c>
      <c r="I470" s="42">
        <v>11095</v>
      </c>
      <c r="J470" s="37" t="s">
        <v>2111</v>
      </c>
      <c r="K470" s="39">
        <v>45486</v>
      </c>
      <c r="L470" s="33" t="s">
        <v>58</v>
      </c>
      <c r="M470" s="41">
        <v>382000</v>
      </c>
      <c r="N470" s="34">
        <f t="shared" si="14"/>
        <v>1775.2</v>
      </c>
      <c r="O470" s="36">
        <f t="shared" si="15"/>
        <v>110.95</v>
      </c>
      <c r="P470" s="35">
        <v>500</v>
      </c>
    </row>
    <row r="471" spans="1:16" x14ac:dyDescent="0.25">
      <c r="A471" s="37" t="s">
        <v>582</v>
      </c>
      <c r="B471" s="37"/>
      <c r="C471" s="40" t="s">
        <v>38</v>
      </c>
      <c r="D471" s="39">
        <v>45486</v>
      </c>
      <c r="E471" s="39">
        <v>45851</v>
      </c>
      <c r="F471" s="37" t="s">
        <v>1265</v>
      </c>
      <c r="G471" s="37" t="s">
        <v>61</v>
      </c>
      <c r="H471" s="41">
        <v>12320</v>
      </c>
      <c r="I471" s="42">
        <v>10190</v>
      </c>
      <c r="J471" s="37" t="s">
        <v>2112</v>
      </c>
      <c r="K471" s="39">
        <v>45486</v>
      </c>
      <c r="L471" s="33" t="s">
        <v>58</v>
      </c>
      <c r="M471" s="41">
        <v>352000</v>
      </c>
      <c r="N471" s="34">
        <f t="shared" si="14"/>
        <v>1630.4</v>
      </c>
      <c r="O471" s="36">
        <f t="shared" si="15"/>
        <v>101.9</v>
      </c>
      <c r="P471" s="35">
        <v>500</v>
      </c>
    </row>
    <row r="472" spans="1:16" x14ac:dyDescent="0.25">
      <c r="A472" s="37" t="s">
        <v>583</v>
      </c>
      <c r="B472" s="37"/>
      <c r="C472" s="40" t="s">
        <v>38</v>
      </c>
      <c r="D472" s="39">
        <v>45486</v>
      </c>
      <c r="E472" s="39">
        <v>45851</v>
      </c>
      <c r="F472" s="37" t="s">
        <v>1402</v>
      </c>
      <c r="G472" s="37" t="s">
        <v>61</v>
      </c>
      <c r="H472" s="41">
        <v>12320</v>
      </c>
      <c r="I472" s="42">
        <v>10190</v>
      </c>
      <c r="J472" s="37" t="s">
        <v>2113</v>
      </c>
      <c r="K472" s="39">
        <v>45486</v>
      </c>
      <c r="L472" s="33" t="s">
        <v>58</v>
      </c>
      <c r="M472" s="41">
        <v>352000</v>
      </c>
      <c r="N472" s="34">
        <f t="shared" si="14"/>
        <v>1630.4</v>
      </c>
      <c r="O472" s="36">
        <f t="shared" si="15"/>
        <v>101.9</v>
      </c>
      <c r="P472" s="35">
        <v>500</v>
      </c>
    </row>
    <row r="473" spans="1:16" x14ac:dyDescent="0.25">
      <c r="A473" s="37" t="s">
        <v>584</v>
      </c>
      <c r="B473" s="37"/>
      <c r="C473" s="40" t="s">
        <v>38</v>
      </c>
      <c r="D473" s="39">
        <v>45852</v>
      </c>
      <c r="E473" s="39">
        <v>46217</v>
      </c>
      <c r="F473" s="37" t="s">
        <v>1402</v>
      </c>
      <c r="G473" s="37" t="s">
        <v>61</v>
      </c>
      <c r="H473" s="41">
        <v>12320</v>
      </c>
      <c r="I473" s="42">
        <v>10190</v>
      </c>
      <c r="J473" s="37" t="s">
        <v>2113</v>
      </c>
      <c r="K473" s="39">
        <v>45486</v>
      </c>
      <c r="L473" s="33" t="s">
        <v>58</v>
      </c>
      <c r="M473" s="41">
        <v>352000</v>
      </c>
      <c r="N473" s="34">
        <f t="shared" si="14"/>
        <v>1630.4</v>
      </c>
      <c r="O473" s="36">
        <f t="shared" si="15"/>
        <v>101.9</v>
      </c>
      <c r="P473" s="35">
        <v>500</v>
      </c>
    </row>
    <row r="474" spans="1:16" x14ac:dyDescent="0.25">
      <c r="A474" s="37" t="s">
        <v>585</v>
      </c>
      <c r="B474" s="37"/>
      <c r="C474" s="40" t="s">
        <v>38</v>
      </c>
      <c r="D474" s="39">
        <v>45486</v>
      </c>
      <c r="E474" s="39">
        <v>45851</v>
      </c>
      <c r="F474" s="37" t="s">
        <v>1403</v>
      </c>
      <c r="G474" s="37" t="s">
        <v>62</v>
      </c>
      <c r="H474" s="41">
        <v>13370</v>
      </c>
      <c r="I474" s="42">
        <v>11095</v>
      </c>
      <c r="J474" s="37" t="s">
        <v>2114</v>
      </c>
      <c r="K474" s="39">
        <v>45486</v>
      </c>
      <c r="L474" s="33" t="s">
        <v>58</v>
      </c>
      <c r="M474" s="41">
        <v>382000</v>
      </c>
      <c r="N474" s="34">
        <f t="shared" si="14"/>
        <v>1775.2</v>
      </c>
      <c r="O474" s="36">
        <f t="shared" si="15"/>
        <v>110.95</v>
      </c>
      <c r="P474" s="35">
        <v>500</v>
      </c>
    </row>
    <row r="475" spans="1:16" x14ac:dyDescent="0.25">
      <c r="A475" s="37" t="s">
        <v>586</v>
      </c>
      <c r="B475" s="37"/>
      <c r="C475" s="40" t="s">
        <v>38</v>
      </c>
      <c r="D475" s="39">
        <v>45852</v>
      </c>
      <c r="E475" s="39">
        <v>46217</v>
      </c>
      <c r="F475" s="37" t="s">
        <v>1403</v>
      </c>
      <c r="G475" s="37" t="s">
        <v>62</v>
      </c>
      <c r="H475" s="41">
        <v>13370</v>
      </c>
      <c r="I475" s="42">
        <v>11095</v>
      </c>
      <c r="J475" s="37" t="s">
        <v>2114</v>
      </c>
      <c r="K475" s="39">
        <v>45486</v>
      </c>
      <c r="L475" s="33" t="s">
        <v>58</v>
      </c>
      <c r="M475" s="41">
        <v>382000</v>
      </c>
      <c r="N475" s="34">
        <f t="shared" si="14"/>
        <v>1775.2</v>
      </c>
      <c r="O475" s="36">
        <f t="shared" si="15"/>
        <v>110.95</v>
      </c>
      <c r="P475" s="35">
        <v>500</v>
      </c>
    </row>
    <row r="476" spans="1:16" x14ac:dyDescent="0.25">
      <c r="A476" s="37" t="s">
        <v>587</v>
      </c>
      <c r="B476" s="37"/>
      <c r="C476" s="40" t="s">
        <v>35</v>
      </c>
      <c r="D476" s="39">
        <v>45488</v>
      </c>
      <c r="E476" s="39">
        <v>45853</v>
      </c>
      <c r="F476" s="37" t="s">
        <v>1404</v>
      </c>
      <c r="G476" s="37" t="s">
        <v>61</v>
      </c>
      <c r="H476" s="41">
        <v>12320</v>
      </c>
      <c r="I476" s="42">
        <v>10190</v>
      </c>
      <c r="J476" s="37" t="s">
        <v>1916</v>
      </c>
      <c r="K476" s="39">
        <v>45488</v>
      </c>
      <c r="L476" s="33" t="s">
        <v>58</v>
      </c>
      <c r="M476" s="41">
        <v>352000</v>
      </c>
      <c r="N476" s="34">
        <f t="shared" si="14"/>
        <v>1630.4</v>
      </c>
      <c r="O476" s="36">
        <f t="shared" si="15"/>
        <v>101.9</v>
      </c>
      <c r="P476" s="35">
        <v>500</v>
      </c>
    </row>
    <row r="477" spans="1:16" x14ac:dyDescent="0.25">
      <c r="A477" s="37" t="s">
        <v>588</v>
      </c>
      <c r="B477" s="37"/>
      <c r="C477" s="40" t="s">
        <v>1071</v>
      </c>
      <c r="D477" s="39">
        <v>45488</v>
      </c>
      <c r="E477" s="39">
        <v>45853</v>
      </c>
      <c r="F477" s="37" t="s">
        <v>1405</v>
      </c>
      <c r="G477" s="37" t="s">
        <v>61</v>
      </c>
      <c r="H477" s="41">
        <v>8800</v>
      </c>
      <c r="I477" s="42">
        <v>7155</v>
      </c>
      <c r="J477" s="37" t="s">
        <v>2115</v>
      </c>
      <c r="K477" s="39">
        <v>45488</v>
      </c>
      <c r="L477" s="33" t="s">
        <v>58</v>
      </c>
      <c r="M477" s="41">
        <v>352000</v>
      </c>
      <c r="N477" s="34">
        <f t="shared" si="14"/>
        <v>1144.8</v>
      </c>
      <c r="O477" s="36">
        <f t="shared" si="15"/>
        <v>71.55</v>
      </c>
      <c r="P477" s="35">
        <v>500</v>
      </c>
    </row>
    <row r="478" spans="1:16" x14ac:dyDescent="0.25">
      <c r="A478" s="37" t="s">
        <v>589</v>
      </c>
      <c r="B478" s="37"/>
      <c r="C478" s="40" t="s">
        <v>31</v>
      </c>
      <c r="D478" s="39">
        <v>45488</v>
      </c>
      <c r="E478" s="39">
        <v>45853</v>
      </c>
      <c r="F478" s="37" t="s">
        <v>1406</v>
      </c>
      <c r="G478" s="37" t="s">
        <v>61</v>
      </c>
      <c r="H478" s="41">
        <v>12320</v>
      </c>
      <c r="I478" s="42">
        <v>10190</v>
      </c>
      <c r="J478" s="37" t="s">
        <v>2116</v>
      </c>
      <c r="K478" s="39">
        <v>45488</v>
      </c>
      <c r="L478" s="33" t="s">
        <v>58</v>
      </c>
      <c r="M478" s="41">
        <v>352000</v>
      </c>
      <c r="N478" s="34">
        <f t="shared" si="14"/>
        <v>1630.4</v>
      </c>
      <c r="O478" s="36">
        <f t="shared" si="15"/>
        <v>101.9</v>
      </c>
      <c r="P478" s="35">
        <v>500</v>
      </c>
    </row>
    <row r="479" spans="1:16" x14ac:dyDescent="0.25">
      <c r="A479" s="37" t="s">
        <v>590</v>
      </c>
      <c r="B479" s="37"/>
      <c r="C479" s="40" t="s">
        <v>37</v>
      </c>
      <c r="D479" s="39">
        <v>45488</v>
      </c>
      <c r="E479" s="39">
        <v>45853</v>
      </c>
      <c r="F479" s="37" t="s">
        <v>1407</v>
      </c>
      <c r="G479" s="37" t="s">
        <v>61</v>
      </c>
      <c r="H479" s="41">
        <v>8800</v>
      </c>
      <c r="I479" s="42">
        <v>7155</v>
      </c>
      <c r="J479" s="37" t="s">
        <v>2117</v>
      </c>
      <c r="K479" s="39">
        <v>45488</v>
      </c>
      <c r="L479" s="33" t="s">
        <v>58</v>
      </c>
      <c r="M479" s="41">
        <v>352000</v>
      </c>
      <c r="N479" s="34">
        <f t="shared" si="14"/>
        <v>1144.8</v>
      </c>
      <c r="O479" s="36">
        <f t="shared" si="15"/>
        <v>71.55</v>
      </c>
      <c r="P479" s="35">
        <v>500</v>
      </c>
    </row>
    <row r="480" spans="1:16" x14ac:dyDescent="0.25">
      <c r="A480" s="37" t="s">
        <v>591</v>
      </c>
      <c r="B480" s="37"/>
      <c r="C480" s="40" t="s">
        <v>88</v>
      </c>
      <c r="D480" s="39">
        <v>45488</v>
      </c>
      <c r="E480" s="39">
        <v>45853</v>
      </c>
      <c r="F480" s="37" t="s">
        <v>1408</v>
      </c>
      <c r="G480" s="37" t="s">
        <v>62</v>
      </c>
      <c r="H480" s="41">
        <v>9550</v>
      </c>
      <c r="I480" s="42">
        <v>7802</v>
      </c>
      <c r="J480" s="37" t="s">
        <v>2118</v>
      </c>
      <c r="K480" s="39">
        <v>45488</v>
      </c>
      <c r="L480" s="33" t="s">
        <v>58</v>
      </c>
      <c r="M480" s="41">
        <v>382000</v>
      </c>
      <c r="N480" s="34">
        <f t="shared" si="14"/>
        <v>1248.32</v>
      </c>
      <c r="O480" s="36">
        <f t="shared" si="15"/>
        <v>78.02</v>
      </c>
      <c r="P480" s="35">
        <v>500</v>
      </c>
    </row>
    <row r="481" spans="1:16" x14ac:dyDescent="0.25">
      <c r="A481" s="37" t="s">
        <v>592</v>
      </c>
      <c r="B481" s="37"/>
      <c r="C481" s="40" t="s">
        <v>88</v>
      </c>
      <c r="D481" s="39">
        <v>45488</v>
      </c>
      <c r="E481" s="39">
        <v>45853</v>
      </c>
      <c r="F481" s="37" t="s">
        <v>1409</v>
      </c>
      <c r="G481" s="37" t="s">
        <v>61</v>
      </c>
      <c r="H481" s="41">
        <v>8800</v>
      </c>
      <c r="I481" s="42">
        <v>7155</v>
      </c>
      <c r="J481" s="37" t="s">
        <v>2119</v>
      </c>
      <c r="K481" s="39">
        <v>45488</v>
      </c>
      <c r="L481" s="33" t="s">
        <v>58</v>
      </c>
      <c r="M481" s="41">
        <v>352000</v>
      </c>
      <c r="N481" s="34">
        <f t="shared" si="14"/>
        <v>1144.8</v>
      </c>
      <c r="O481" s="36">
        <f t="shared" si="15"/>
        <v>71.55</v>
      </c>
      <c r="P481" s="35">
        <v>500</v>
      </c>
    </row>
    <row r="482" spans="1:16" x14ac:dyDescent="0.25">
      <c r="A482" s="37" t="s">
        <v>593</v>
      </c>
      <c r="B482" s="37"/>
      <c r="C482" s="40" t="s">
        <v>66</v>
      </c>
      <c r="D482" s="39">
        <v>45488</v>
      </c>
      <c r="E482" s="39">
        <v>45853</v>
      </c>
      <c r="F482" s="37" t="s">
        <v>1410</v>
      </c>
      <c r="G482" s="37" t="s">
        <v>63</v>
      </c>
      <c r="H482" s="41">
        <v>13675</v>
      </c>
      <c r="I482" s="42">
        <v>11358</v>
      </c>
      <c r="J482" s="37" t="s">
        <v>2120</v>
      </c>
      <c r="K482" s="39">
        <v>45488</v>
      </c>
      <c r="L482" s="33" t="s">
        <v>58</v>
      </c>
      <c r="M482" s="41">
        <v>547000</v>
      </c>
      <c r="N482" s="34">
        <f t="shared" si="14"/>
        <v>1817.28</v>
      </c>
      <c r="O482" s="36">
        <f t="shared" si="15"/>
        <v>113.58</v>
      </c>
      <c r="P482" s="35">
        <v>500</v>
      </c>
    </row>
    <row r="483" spans="1:16" x14ac:dyDescent="0.25">
      <c r="A483" s="37" t="s">
        <v>594</v>
      </c>
      <c r="B483" s="37"/>
      <c r="C483" s="40" t="s">
        <v>66</v>
      </c>
      <c r="D483" s="39">
        <v>45488</v>
      </c>
      <c r="E483" s="39">
        <v>45853</v>
      </c>
      <c r="F483" s="37" t="s">
        <v>1411</v>
      </c>
      <c r="G483" s="37" t="s">
        <v>62</v>
      </c>
      <c r="H483" s="41">
        <v>9550</v>
      </c>
      <c r="I483" s="42">
        <v>7802</v>
      </c>
      <c r="J483" s="37" t="s">
        <v>2121</v>
      </c>
      <c r="K483" s="39">
        <v>45488</v>
      </c>
      <c r="L483" s="33" t="s">
        <v>58</v>
      </c>
      <c r="M483" s="41">
        <v>382000</v>
      </c>
      <c r="N483" s="34">
        <f t="shared" si="14"/>
        <v>1248.32</v>
      </c>
      <c r="O483" s="36">
        <f t="shared" si="15"/>
        <v>78.02</v>
      </c>
      <c r="P483" s="35">
        <v>500</v>
      </c>
    </row>
    <row r="484" spans="1:16" x14ac:dyDescent="0.25">
      <c r="A484" s="37" t="s">
        <v>595</v>
      </c>
      <c r="B484" s="37"/>
      <c r="C484" s="40" t="s">
        <v>66</v>
      </c>
      <c r="D484" s="39">
        <v>45488</v>
      </c>
      <c r="E484" s="39">
        <v>45853</v>
      </c>
      <c r="F484" s="37" t="s">
        <v>1412</v>
      </c>
      <c r="G484" s="37" t="s">
        <v>65</v>
      </c>
      <c r="H484" s="41">
        <v>9550</v>
      </c>
      <c r="I484" s="42">
        <v>7802</v>
      </c>
      <c r="J484" s="37" t="s">
        <v>2122</v>
      </c>
      <c r="K484" s="39">
        <v>45488</v>
      </c>
      <c r="L484" s="33" t="s">
        <v>58</v>
      </c>
      <c r="M484" s="41">
        <v>382000</v>
      </c>
      <c r="N484" s="34">
        <f t="shared" si="14"/>
        <v>1248.32</v>
      </c>
      <c r="O484" s="36">
        <f t="shared" si="15"/>
        <v>78.02</v>
      </c>
      <c r="P484" s="35">
        <v>500</v>
      </c>
    </row>
    <row r="485" spans="1:16" x14ac:dyDescent="0.25">
      <c r="A485" s="37" t="s">
        <v>596</v>
      </c>
      <c r="B485" s="37"/>
      <c r="C485" s="40" t="s">
        <v>66</v>
      </c>
      <c r="D485" s="39">
        <v>45488</v>
      </c>
      <c r="E485" s="39">
        <v>45853</v>
      </c>
      <c r="F485" s="37" t="s">
        <v>1413</v>
      </c>
      <c r="G485" s="37" t="s">
        <v>61</v>
      </c>
      <c r="H485" s="41">
        <v>8800</v>
      </c>
      <c r="I485" s="42">
        <v>7155</v>
      </c>
      <c r="J485" s="37" t="s">
        <v>2123</v>
      </c>
      <c r="K485" s="39">
        <v>45488</v>
      </c>
      <c r="L485" s="33" t="s">
        <v>58</v>
      </c>
      <c r="M485" s="41">
        <v>352000</v>
      </c>
      <c r="N485" s="34">
        <f t="shared" si="14"/>
        <v>1144.8</v>
      </c>
      <c r="O485" s="36">
        <f t="shared" si="15"/>
        <v>71.55</v>
      </c>
      <c r="P485" s="35">
        <v>500</v>
      </c>
    </row>
    <row r="486" spans="1:16" x14ac:dyDescent="0.25">
      <c r="A486" s="37" t="s">
        <v>597</v>
      </c>
      <c r="B486" s="37"/>
      <c r="C486" s="40" t="s">
        <v>37</v>
      </c>
      <c r="D486" s="39">
        <v>45488</v>
      </c>
      <c r="E486" s="39">
        <v>45853</v>
      </c>
      <c r="F486" s="37" t="s">
        <v>1414</v>
      </c>
      <c r="G486" s="37" t="s">
        <v>61</v>
      </c>
      <c r="H486" s="41">
        <v>8800</v>
      </c>
      <c r="I486" s="42">
        <v>7155</v>
      </c>
      <c r="J486" s="37" t="s">
        <v>2124</v>
      </c>
      <c r="K486" s="39">
        <v>45488</v>
      </c>
      <c r="L486" s="33" t="s">
        <v>58</v>
      </c>
      <c r="M486" s="41">
        <v>352000</v>
      </c>
      <c r="N486" s="34">
        <f t="shared" si="14"/>
        <v>1144.8</v>
      </c>
      <c r="O486" s="36">
        <f t="shared" si="15"/>
        <v>71.55</v>
      </c>
      <c r="P486" s="35">
        <v>500</v>
      </c>
    </row>
    <row r="487" spans="1:16" x14ac:dyDescent="0.25">
      <c r="A487" s="37" t="s">
        <v>598</v>
      </c>
      <c r="B487" s="37"/>
      <c r="C487" s="40" t="s">
        <v>66</v>
      </c>
      <c r="D487" s="39">
        <v>45488</v>
      </c>
      <c r="E487" s="39">
        <v>45853</v>
      </c>
      <c r="F487" s="37" t="s">
        <v>1415</v>
      </c>
      <c r="G487" s="37" t="s">
        <v>61</v>
      </c>
      <c r="H487" s="41">
        <v>8800</v>
      </c>
      <c r="I487" s="42">
        <v>7155</v>
      </c>
      <c r="J487" s="37" t="s">
        <v>2125</v>
      </c>
      <c r="K487" s="39">
        <v>45488</v>
      </c>
      <c r="L487" s="33" t="s">
        <v>58</v>
      </c>
      <c r="M487" s="41">
        <v>352000</v>
      </c>
      <c r="N487" s="34">
        <f t="shared" si="14"/>
        <v>1144.8</v>
      </c>
      <c r="O487" s="36">
        <f t="shared" si="15"/>
        <v>71.55</v>
      </c>
      <c r="P487" s="35">
        <v>500</v>
      </c>
    </row>
    <row r="488" spans="1:16" x14ac:dyDescent="0.25">
      <c r="A488" s="37" t="s">
        <v>599</v>
      </c>
      <c r="B488" s="37"/>
      <c r="C488" s="40" t="s">
        <v>31</v>
      </c>
      <c r="D488" s="39">
        <v>45488</v>
      </c>
      <c r="E488" s="39">
        <v>45853</v>
      </c>
      <c r="F488" s="37" t="s">
        <v>1416</v>
      </c>
      <c r="G488" s="37" t="s">
        <v>65</v>
      </c>
      <c r="H488" s="41">
        <v>13370</v>
      </c>
      <c r="I488" s="42">
        <v>11095</v>
      </c>
      <c r="J488" s="37" t="s">
        <v>2126</v>
      </c>
      <c r="K488" s="39">
        <v>45488</v>
      </c>
      <c r="L488" s="33" t="s">
        <v>58</v>
      </c>
      <c r="M488" s="41">
        <v>382000</v>
      </c>
      <c r="N488" s="34">
        <f t="shared" si="14"/>
        <v>1775.2</v>
      </c>
      <c r="O488" s="36">
        <f t="shared" si="15"/>
        <v>110.95</v>
      </c>
      <c r="P488" s="35">
        <v>500</v>
      </c>
    </row>
    <row r="489" spans="1:16" x14ac:dyDescent="0.25">
      <c r="A489" s="37" t="s">
        <v>600</v>
      </c>
      <c r="B489" s="37"/>
      <c r="C489" s="40" t="s">
        <v>66</v>
      </c>
      <c r="D489" s="39">
        <v>45488</v>
      </c>
      <c r="E489" s="39">
        <v>45853</v>
      </c>
      <c r="F489" s="37" t="s">
        <v>1417</v>
      </c>
      <c r="G489" s="37" t="s">
        <v>64</v>
      </c>
      <c r="H489" s="41">
        <v>12475</v>
      </c>
      <c r="I489" s="42">
        <v>10323</v>
      </c>
      <c r="J489" s="37" t="s">
        <v>2127</v>
      </c>
      <c r="K489" s="39">
        <v>45488</v>
      </c>
      <c r="L489" s="33" t="s">
        <v>58</v>
      </c>
      <c r="M489" s="41">
        <v>499000</v>
      </c>
      <c r="N489" s="34">
        <f t="shared" si="14"/>
        <v>1651.68</v>
      </c>
      <c r="O489" s="36">
        <f t="shared" si="15"/>
        <v>103.23</v>
      </c>
      <c r="P489" s="35">
        <v>500</v>
      </c>
    </row>
    <row r="490" spans="1:16" x14ac:dyDescent="0.25">
      <c r="A490" s="37" t="s">
        <v>601</v>
      </c>
      <c r="B490" s="37"/>
      <c r="C490" s="40" t="s">
        <v>37</v>
      </c>
      <c r="D490" s="39">
        <v>45488</v>
      </c>
      <c r="E490" s="39">
        <v>45853</v>
      </c>
      <c r="F490" s="37" t="s">
        <v>1418</v>
      </c>
      <c r="G490" s="37" t="s">
        <v>61</v>
      </c>
      <c r="H490" s="41">
        <v>8800</v>
      </c>
      <c r="I490" s="42">
        <v>7155</v>
      </c>
      <c r="J490" s="37" t="s">
        <v>2128</v>
      </c>
      <c r="K490" s="39">
        <v>45488</v>
      </c>
      <c r="L490" s="33" t="s">
        <v>58</v>
      </c>
      <c r="M490" s="41">
        <v>352000</v>
      </c>
      <c r="N490" s="34">
        <f t="shared" si="14"/>
        <v>1144.8</v>
      </c>
      <c r="O490" s="36">
        <f t="shared" si="15"/>
        <v>71.55</v>
      </c>
      <c r="P490" s="35">
        <v>500</v>
      </c>
    </row>
    <row r="491" spans="1:16" x14ac:dyDescent="0.25">
      <c r="A491" s="37" t="s">
        <v>602</v>
      </c>
      <c r="B491" s="37"/>
      <c r="C491" s="40" t="s">
        <v>87</v>
      </c>
      <c r="D491" s="39">
        <v>45488</v>
      </c>
      <c r="E491" s="39">
        <v>45853</v>
      </c>
      <c r="F491" s="37" t="s">
        <v>85</v>
      </c>
      <c r="G491" s="37" t="s">
        <v>62</v>
      </c>
      <c r="H491" s="41">
        <v>9550</v>
      </c>
      <c r="I491" s="42">
        <v>7802</v>
      </c>
      <c r="J491" s="37" t="s">
        <v>2129</v>
      </c>
      <c r="K491" s="39">
        <v>45488</v>
      </c>
      <c r="L491" s="33" t="s">
        <v>58</v>
      </c>
      <c r="M491" s="41">
        <v>382000</v>
      </c>
      <c r="N491" s="34">
        <f t="shared" si="14"/>
        <v>1248.32</v>
      </c>
      <c r="O491" s="36">
        <f t="shared" si="15"/>
        <v>78.02</v>
      </c>
      <c r="P491" s="35">
        <v>500</v>
      </c>
    </row>
    <row r="492" spans="1:16" x14ac:dyDescent="0.25">
      <c r="A492" s="37" t="s">
        <v>603</v>
      </c>
      <c r="B492" s="37"/>
      <c r="C492" s="40" t="s">
        <v>37</v>
      </c>
      <c r="D492" s="39">
        <v>45488</v>
      </c>
      <c r="E492" s="39">
        <v>45853</v>
      </c>
      <c r="F492" s="37" t="s">
        <v>1419</v>
      </c>
      <c r="G492" s="37" t="s">
        <v>61</v>
      </c>
      <c r="H492" s="41">
        <v>8800</v>
      </c>
      <c r="I492" s="42">
        <v>7155</v>
      </c>
      <c r="J492" s="37" t="s">
        <v>2130</v>
      </c>
      <c r="K492" s="39">
        <v>45488</v>
      </c>
      <c r="L492" s="33" t="s">
        <v>58</v>
      </c>
      <c r="M492" s="41">
        <v>352000</v>
      </c>
      <c r="N492" s="34">
        <f t="shared" si="14"/>
        <v>1144.8</v>
      </c>
      <c r="O492" s="36">
        <f t="shared" si="15"/>
        <v>71.55</v>
      </c>
      <c r="P492" s="35">
        <v>500</v>
      </c>
    </row>
    <row r="493" spans="1:16" x14ac:dyDescent="0.25">
      <c r="A493" s="37" t="s">
        <v>604</v>
      </c>
      <c r="B493" s="37"/>
      <c r="C493" s="40" t="s">
        <v>87</v>
      </c>
      <c r="D493" s="39">
        <v>45488</v>
      </c>
      <c r="E493" s="39">
        <v>45853</v>
      </c>
      <c r="F493" s="37" t="s">
        <v>1420</v>
      </c>
      <c r="G493" s="37" t="s">
        <v>61</v>
      </c>
      <c r="H493" s="41">
        <v>8800</v>
      </c>
      <c r="I493" s="42">
        <v>7155</v>
      </c>
      <c r="J493" s="37" t="s">
        <v>1929</v>
      </c>
      <c r="K493" s="39">
        <v>45488</v>
      </c>
      <c r="L493" s="33" t="s">
        <v>58</v>
      </c>
      <c r="M493" s="41">
        <v>352000</v>
      </c>
      <c r="N493" s="34">
        <f t="shared" si="14"/>
        <v>1144.8</v>
      </c>
      <c r="O493" s="36">
        <f t="shared" si="15"/>
        <v>71.55</v>
      </c>
      <c r="P493" s="35">
        <v>500</v>
      </c>
    </row>
    <row r="494" spans="1:16" x14ac:dyDescent="0.25">
      <c r="A494" s="37" t="s">
        <v>605</v>
      </c>
      <c r="B494" s="37"/>
      <c r="C494" s="40" t="s">
        <v>87</v>
      </c>
      <c r="D494" s="39">
        <v>45488</v>
      </c>
      <c r="E494" s="39">
        <v>45853</v>
      </c>
      <c r="F494" s="37" t="s">
        <v>76</v>
      </c>
      <c r="G494" s="37" t="s">
        <v>61</v>
      </c>
      <c r="H494" s="41">
        <v>8800</v>
      </c>
      <c r="I494" s="42">
        <v>7155</v>
      </c>
      <c r="J494" s="37" t="s">
        <v>2131</v>
      </c>
      <c r="K494" s="39">
        <v>45488</v>
      </c>
      <c r="L494" s="33" t="s">
        <v>58</v>
      </c>
      <c r="M494" s="41">
        <v>352000</v>
      </c>
      <c r="N494" s="34">
        <f t="shared" si="14"/>
        <v>1144.8</v>
      </c>
      <c r="O494" s="36">
        <f t="shared" si="15"/>
        <v>71.55</v>
      </c>
      <c r="P494" s="35">
        <v>500</v>
      </c>
    </row>
    <row r="495" spans="1:16" x14ac:dyDescent="0.25">
      <c r="A495" s="37" t="s">
        <v>606</v>
      </c>
      <c r="B495" s="37"/>
      <c r="C495" s="40" t="s">
        <v>36</v>
      </c>
      <c r="D495" s="39">
        <v>45488</v>
      </c>
      <c r="E495" s="39">
        <v>45853</v>
      </c>
      <c r="F495" s="37" t="s">
        <v>81</v>
      </c>
      <c r="G495" s="37" t="s">
        <v>61</v>
      </c>
      <c r="H495" s="41">
        <v>12320</v>
      </c>
      <c r="I495" s="42">
        <v>10190</v>
      </c>
      <c r="J495" s="37" t="s">
        <v>1801</v>
      </c>
      <c r="K495" s="39">
        <v>45488</v>
      </c>
      <c r="L495" s="33" t="s">
        <v>58</v>
      </c>
      <c r="M495" s="41">
        <v>352000</v>
      </c>
      <c r="N495" s="34">
        <f t="shared" si="14"/>
        <v>1630.4</v>
      </c>
      <c r="O495" s="36">
        <f t="shared" si="15"/>
        <v>101.9</v>
      </c>
      <c r="P495" s="35">
        <v>500</v>
      </c>
    </row>
    <row r="496" spans="1:16" x14ac:dyDescent="0.25">
      <c r="A496" s="37" t="s">
        <v>607</v>
      </c>
      <c r="B496" s="37"/>
      <c r="C496" s="40" t="s">
        <v>1071</v>
      </c>
      <c r="D496" s="39">
        <v>45488</v>
      </c>
      <c r="E496" s="39">
        <v>45853</v>
      </c>
      <c r="F496" s="37" t="s">
        <v>92</v>
      </c>
      <c r="G496" s="37" t="s">
        <v>61</v>
      </c>
      <c r="H496" s="41">
        <v>8800</v>
      </c>
      <c r="I496" s="42">
        <v>7155</v>
      </c>
      <c r="J496" s="37" t="s">
        <v>2132</v>
      </c>
      <c r="K496" s="39">
        <v>45488</v>
      </c>
      <c r="L496" s="33" t="s">
        <v>58</v>
      </c>
      <c r="M496" s="41">
        <v>352000</v>
      </c>
      <c r="N496" s="34">
        <f t="shared" si="14"/>
        <v>1144.8</v>
      </c>
      <c r="O496" s="36">
        <f t="shared" si="15"/>
        <v>71.55</v>
      </c>
      <c r="P496" s="35">
        <v>500</v>
      </c>
    </row>
    <row r="497" spans="1:16" x14ac:dyDescent="0.25">
      <c r="A497" s="37" t="s">
        <v>608</v>
      </c>
      <c r="B497" s="37"/>
      <c r="C497" s="40" t="s">
        <v>67</v>
      </c>
      <c r="D497" s="39">
        <v>45488</v>
      </c>
      <c r="E497" s="39">
        <v>45853</v>
      </c>
      <c r="F497" s="37" t="s">
        <v>1421</v>
      </c>
      <c r="G497" s="37" t="s">
        <v>61</v>
      </c>
      <c r="H497" s="41">
        <v>8800</v>
      </c>
      <c r="I497" s="42">
        <v>7155</v>
      </c>
      <c r="J497" s="37" t="s">
        <v>2133</v>
      </c>
      <c r="K497" s="39">
        <v>45488</v>
      </c>
      <c r="L497" s="33" t="s">
        <v>58</v>
      </c>
      <c r="M497" s="41">
        <v>352000</v>
      </c>
      <c r="N497" s="34">
        <f t="shared" si="14"/>
        <v>1144.8</v>
      </c>
      <c r="O497" s="36">
        <f t="shared" si="15"/>
        <v>71.55</v>
      </c>
      <c r="P497" s="35">
        <v>500</v>
      </c>
    </row>
    <row r="498" spans="1:16" x14ac:dyDescent="0.25">
      <c r="A498" s="37" t="s">
        <v>609</v>
      </c>
      <c r="B498" s="37"/>
      <c r="C498" s="40" t="s">
        <v>1071</v>
      </c>
      <c r="D498" s="39">
        <v>45488</v>
      </c>
      <c r="E498" s="39">
        <v>45853</v>
      </c>
      <c r="F498" s="37" t="s">
        <v>1422</v>
      </c>
      <c r="G498" s="37" t="s">
        <v>61</v>
      </c>
      <c r="H498" s="41">
        <v>8800</v>
      </c>
      <c r="I498" s="42">
        <v>7155</v>
      </c>
      <c r="J498" s="37" t="s">
        <v>2134</v>
      </c>
      <c r="K498" s="39">
        <v>45488</v>
      </c>
      <c r="L498" s="33" t="s">
        <v>58</v>
      </c>
      <c r="M498" s="41">
        <v>352000</v>
      </c>
      <c r="N498" s="34">
        <f t="shared" si="14"/>
        <v>1144.8</v>
      </c>
      <c r="O498" s="36">
        <f t="shared" si="15"/>
        <v>71.55</v>
      </c>
      <c r="P498" s="35">
        <v>500</v>
      </c>
    </row>
    <row r="499" spans="1:16" x14ac:dyDescent="0.25">
      <c r="A499" s="37" t="s">
        <v>610</v>
      </c>
      <c r="B499" s="37"/>
      <c r="C499" s="40" t="s">
        <v>37</v>
      </c>
      <c r="D499" s="39">
        <v>45488</v>
      </c>
      <c r="E499" s="39">
        <v>45853</v>
      </c>
      <c r="F499" s="37" t="s">
        <v>1423</v>
      </c>
      <c r="G499" s="37" t="s">
        <v>61</v>
      </c>
      <c r="H499" s="41">
        <v>8800</v>
      </c>
      <c r="I499" s="42">
        <v>7155</v>
      </c>
      <c r="J499" s="37" t="s">
        <v>2135</v>
      </c>
      <c r="K499" s="39">
        <v>45488</v>
      </c>
      <c r="L499" s="33" t="s">
        <v>58</v>
      </c>
      <c r="M499" s="41">
        <v>352000</v>
      </c>
      <c r="N499" s="34">
        <f t="shared" si="14"/>
        <v>1144.8</v>
      </c>
      <c r="O499" s="36">
        <f t="shared" si="15"/>
        <v>71.55</v>
      </c>
      <c r="P499" s="35">
        <v>500</v>
      </c>
    </row>
    <row r="500" spans="1:16" x14ac:dyDescent="0.25">
      <c r="A500" s="37" t="s">
        <v>611</v>
      </c>
      <c r="B500" s="37"/>
      <c r="C500" s="40" t="s">
        <v>67</v>
      </c>
      <c r="D500" s="39">
        <v>45488</v>
      </c>
      <c r="E500" s="39">
        <v>45853</v>
      </c>
      <c r="F500" s="37" t="s">
        <v>1424</v>
      </c>
      <c r="G500" s="37" t="s">
        <v>61</v>
      </c>
      <c r="H500" s="41">
        <v>8800</v>
      </c>
      <c r="I500" s="42">
        <v>7155</v>
      </c>
      <c r="J500" s="37" t="s">
        <v>2136</v>
      </c>
      <c r="K500" s="39">
        <v>45488</v>
      </c>
      <c r="L500" s="33" t="s">
        <v>58</v>
      </c>
      <c r="M500" s="41">
        <v>352000</v>
      </c>
      <c r="N500" s="34">
        <f t="shared" si="14"/>
        <v>1144.8</v>
      </c>
      <c r="O500" s="36">
        <f t="shared" si="15"/>
        <v>71.55</v>
      </c>
      <c r="P500" s="35">
        <v>500</v>
      </c>
    </row>
    <row r="501" spans="1:16" x14ac:dyDescent="0.25">
      <c r="A501" s="37" t="s">
        <v>612</v>
      </c>
      <c r="B501" s="37"/>
      <c r="C501" s="40" t="s">
        <v>1071</v>
      </c>
      <c r="D501" s="39">
        <v>45488</v>
      </c>
      <c r="E501" s="39">
        <v>45853</v>
      </c>
      <c r="F501" s="37" t="s">
        <v>1425</v>
      </c>
      <c r="G501" s="37" t="s">
        <v>62</v>
      </c>
      <c r="H501" s="41">
        <v>9550</v>
      </c>
      <c r="I501" s="42">
        <v>7802</v>
      </c>
      <c r="J501" s="37" t="s">
        <v>2137</v>
      </c>
      <c r="K501" s="39">
        <v>45488</v>
      </c>
      <c r="L501" s="33" t="s">
        <v>58</v>
      </c>
      <c r="M501" s="41">
        <v>382000</v>
      </c>
      <c r="N501" s="34">
        <f t="shared" si="14"/>
        <v>1248.32</v>
      </c>
      <c r="O501" s="36">
        <f t="shared" si="15"/>
        <v>78.02</v>
      </c>
      <c r="P501" s="35">
        <v>500</v>
      </c>
    </row>
    <row r="502" spans="1:16" x14ac:dyDescent="0.25">
      <c r="A502" s="37" t="s">
        <v>613</v>
      </c>
      <c r="B502" s="37"/>
      <c r="C502" s="40" t="s">
        <v>87</v>
      </c>
      <c r="D502" s="39">
        <v>45488</v>
      </c>
      <c r="E502" s="39">
        <v>45853</v>
      </c>
      <c r="F502" s="37" t="s">
        <v>1426</v>
      </c>
      <c r="G502" s="37" t="s">
        <v>61</v>
      </c>
      <c r="H502" s="41">
        <v>8800</v>
      </c>
      <c r="I502" s="42">
        <v>7155</v>
      </c>
      <c r="J502" s="37" t="s">
        <v>2138</v>
      </c>
      <c r="K502" s="39">
        <v>45488</v>
      </c>
      <c r="L502" s="33" t="s">
        <v>58</v>
      </c>
      <c r="M502" s="41">
        <v>352000</v>
      </c>
      <c r="N502" s="34">
        <f t="shared" si="14"/>
        <v>1144.8</v>
      </c>
      <c r="O502" s="36">
        <f t="shared" si="15"/>
        <v>71.55</v>
      </c>
      <c r="P502" s="35">
        <v>500</v>
      </c>
    </row>
    <row r="503" spans="1:16" x14ac:dyDescent="0.25">
      <c r="A503" s="37" t="s">
        <v>614</v>
      </c>
      <c r="B503" s="37"/>
      <c r="C503" s="40" t="s">
        <v>33</v>
      </c>
      <c r="D503" s="39">
        <v>45488</v>
      </c>
      <c r="E503" s="39">
        <v>45853</v>
      </c>
      <c r="F503" s="37" t="s">
        <v>79</v>
      </c>
      <c r="G503" s="37" t="s">
        <v>61</v>
      </c>
      <c r="H503" s="41">
        <v>12320</v>
      </c>
      <c r="I503" s="42">
        <v>10190</v>
      </c>
      <c r="J503" s="37" t="s">
        <v>2139</v>
      </c>
      <c r="K503" s="39">
        <v>45488</v>
      </c>
      <c r="L503" s="33" t="s">
        <v>58</v>
      </c>
      <c r="M503" s="41">
        <v>352000</v>
      </c>
      <c r="N503" s="34">
        <f t="shared" si="14"/>
        <v>1630.4</v>
      </c>
      <c r="O503" s="36">
        <f t="shared" si="15"/>
        <v>101.9</v>
      </c>
      <c r="P503" s="35">
        <v>500</v>
      </c>
    </row>
    <row r="504" spans="1:16" x14ac:dyDescent="0.25">
      <c r="A504" s="37" t="s">
        <v>615</v>
      </c>
      <c r="B504" s="37"/>
      <c r="C504" s="40" t="s">
        <v>33</v>
      </c>
      <c r="D504" s="39">
        <v>45854</v>
      </c>
      <c r="E504" s="39">
        <v>46219</v>
      </c>
      <c r="F504" s="37" t="s">
        <v>79</v>
      </c>
      <c r="G504" s="37" t="s">
        <v>61</v>
      </c>
      <c r="H504" s="41">
        <v>12320</v>
      </c>
      <c r="I504" s="42">
        <v>10190</v>
      </c>
      <c r="J504" s="37" t="s">
        <v>2139</v>
      </c>
      <c r="K504" s="39">
        <v>45488</v>
      </c>
      <c r="L504" s="33" t="s">
        <v>58</v>
      </c>
      <c r="M504" s="41">
        <v>352000</v>
      </c>
      <c r="N504" s="34">
        <f t="shared" si="14"/>
        <v>1630.4</v>
      </c>
      <c r="O504" s="36">
        <f t="shared" si="15"/>
        <v>101.9</v>
      </c>
      <c r="P504" s="35">
        <v>500</v>
      </c>
    </row>
    <row r="505" spans="1:16" x14ac:dyDescent="0.25">
      <c r="A505" s="37" t="s">
        <v>616</v>
      </c>
      <c r="B505" s="37"/>
      <c r="C505" s="40" t="s">
        <v>37</v>
      </c>
      <c r="D505" s="39">
        <v>45488</v>
      </c>
      <c r="E505" s="39">
        <v>45853</v>
      </c>
      <c r="F505" s="37" t="s">
        <v>1427</v>
      </c>
      <c r="G505" s="37" t="s">
        <v>61</v>
      </c>
      <c r="H505" s="41">
        <v>8800</v>
      </c>
      <c r="I505" s="42">
        <v>7155</v>
      </c>
      <c r="J505" s="37" t="s">
        <v>2140</v>
      </c>
      <c r="K505" s="39">
        <v>45488</v>
      </c>
      <c r="L505" s="33" t="s">
        <v>58</v>
      </c>
      <c r="M505" s="41">
        <v>352000</v>
      </c>
      <c r="N505" s="34">
        <f t="shared" si="14"/>
        <v>1144.8</v>
      </c>
      <c r="O505" s="36">
        <f t="shared" si="15"/>
        <v>71.55</v>
      </c>
      <c r="P505" s="35">
        <v>500</v>
      </c>
    </row>
    <row r="506" spans="1:16" x14ac:dyDescent="0.25">
      <c r="A506" s="37" t="s">
        <v>617</v>
      </c>
      <c r="B506" s="37"/>
      <c r="C506" s="40" t="s">
        <v>37</v>
      </c>
      <c r="D506" s="39">
        <v>45488</v>
      </c>
      <c r="E506" s="39">
        <v>45853</v>
      </c>
      <c r="F506" s="37" t="s">
        <v>1428</v>
      </c>
      <c r="G506" s="37" t="s">
        <v>61</v>
      </c>
      <c r="H506" s="41">
        <v>8800</v>
      </c>
      <c r="I506" s="42">
        <v>7155</v>
      </c>
      <c r="J506" s="37" t="s">
        <v>2141</v>
      </c>
      <c r="K506" s="39">
        <v>45488</v>
      </c>
      <c r="L506" s="33" t="s">
        <v>58</v>
      </c>
      <c r="M506" s="41">
        <v>352000</v>
      </c>
      <c r="N506" s="34">
        <f t="shared" si="14"/>
        <v>1144.8</v>
      </c>
      <c r="O506" s="36">
        <f t="shared" si="15"/>
        <v>71.55</v>
      </c>
      <c r="P506" s="35">
        <v>500</v>
      </c>
    </row>
    <row r="507" spans="1:16" x14ac:dyDescent="0.25">
      <c r="A507" s="37" t="s">
        <v>618</v>
      </c>
      <c r="B507" s="37"/>
      <c r="C507" s="40" t="s">
        <v>37</v>
      </c>
      <c r="D507" s="39">
        <v>45488</v>
      </c>
      <c r="E507" s="39">
        <v>45853</v>
      </c>
      <c r="F507" s="37" t="s">
        <v>1429</v>
      </c>
      <c r="G507" s="37" t="s">
        <v>61</v>
      </c>
      <c r="H507" s="41">
        <v>8800</v>
      </c>
      <c r="I507" s="42">
        <v>7155</v>
      </c>
      <c r="J507" s="37" t="s">
        <v>2143</v>
      </c>
      <c r="K507" s="39">
        <v>45488</v>
      </c>
      <c r="L507" s="33" t="s">
        <v>58</v>
      </c>
      <c r="M507" s="41">
        <v>352000</v>
      </c>
      <c r="N507" s="34">
        <f t="shared" si="14"/>
        <v>1144.8</v>
      </c>
      <c r="O507" s="36">
        <f t="shared" si="15"/>
        <v>71.55</v>
      </c>
      <c r="P507" s="35">
        <v>500</v>
      </c>
    </row>
    <row r="508" spans="1:16" x14ac:dyDescent="0.25">
      <c r="A508" s="37" t="s">
        <v>619</v>
      </c>
      <c r="B508" s="37"/>
      <c r="C508" s="40" t="s">
        <v>35</v>
      </c>
      <c r="D508" s="39">
        <v>45488</v>
      </c>
      <c r="E508" s="39">
        <v>45853</v>
      </c>
      <c r="F508" s="37" t="s">
        <v>1430</v>
      </c>
      <c r="G508" s="37" t="s">
        <v>61</v>
      </c>
      <c r="H508" s="41">
        <v>12320</v>
      </c>
      <c r="I508" s="42">
        <v>10190</v>
      </c>
      <c r="J508" s="37" t="s">
        <v>2144</v>
      </c>
      <c r="K508" s="39">
        <v>45488</v>
      </c>
      <c r="L508" s="33" t="s">
        <v>58</v>
      </c>
      <c r="M508" s="41">
        <v>352000</v>
      </c>
      <c r="N508" s="34">
        <f t="shared" si="14"/>
        <v>1630.4</v>
      </c>
      <c r="O508" s="36">
        <f t="shared" si="15"/>
        <v>101.9</v>
      </c>
      <c r="P508" s="35">
        <v>500</v>
      </c>
    </row>
    <row r="509" spans="1:16" x14ac:dyDescent="0.25">
      <c r="A509" s="37" t="s">
        <v>620</v>
      </c>
      <c r="B509" s="37"/>
      <c r="C509" s="40" t="s">
        <v>35</v>
      </c>
      <c r="D509" s="39">
        <v>45854</v>
      </c>
      <c r="E509" s="39">
        <v>46219</v>
      </c>
      <c r="F509" s="37" t="s">
        <v>1430</v>
      </c>
      <c r="G509" s="37" t="s">
        <v>61</v>
      </c>
      <c r="H509" s="41">
        <v>12320</v>
      </c>
      <c r="I509" s="42">
        <v>10190</v>
      </c>
      <c r="J509" s="37" t="s">
        <v>2144</v>
      </c>
      <c r="K509" s="39">
        <v>45488</v>
      </c>
      <c r="L509" s="33" t="s">
        <v>58</v>
      </c>
      <c r="M509" s="41">
        <v>352000</v>
      </c>
      <c r="N509" s="34">
        <f t="shared" si="14"/>
        <v>1630.4</v>
      </c>
      <c r="O509" s="36">
        <f t="shared" si="15"/>
        <v>101.9</v>
      </c>
      <c r="P509" s="35">
        <v>500</v>
      </c>
    </row>
    <row r="510" spans="1:16" x14ac:dyDescent="0.25">
      <c r="A510" s="37" t="s">
        <v>621</v>
      </c>
      <c r="B510" s="37"/>
      <c r="C510" s="40" t="s">
        <v>37</v>
      </c>
      <c r="D510" s="39">
        <v>45488</v>
      </c>
      <c r="E510" s="39">
        <v>45853</v>
      </c>
      <c r="F510" s="37" t="s">
        <v>93</v>
      </c>
      <c r="G510" s="37" t="s">
        <v>61</v>
      </c>
      <c r="H510" s="41">
        <v>8800</v>
      </c>
      <c r="I510" s="42">
        <v>7155</v>
      </c>
      <c r="J510" s="37" t="s">
        <v>2145</v>
      </c>
      <c r="K510" s="39">
        <v>45488</v>
      </c>
      <c r="L510" s="33" t="s">
        <v>58</v>
      </c>
      <c r="M510" s="41">
        <v>352000</v>
      </c>
      <c r="N510" s="34">
        <f t="shared" si="14"/>
        <v>1144.8</v>
      </c>
      <c r="O510" s="36">
        <f t="shared" si="15"/>
        <v>71.55</v>
      </c>
      <c r="P510" s="35">
        <v>500</v>
      </c>
    </row>
    <row r="511" spans="1:16" x14ac:dyDescent="0.25">
      <c r="A511" s="37" t="s">
        <v>622</v>
      </c>
      <c r="B511" s="37"/>
      <c r="C511" s="40" t="s">
        <v>35</v>
      </c>
      <c r="D511" s="39">
        <v>45488</v>
      </c>
      <c r="E511" s="39">
        <v>45853</v>
      </c>
      <c r="F511" s="37" t="s">
        <v>1431</v>
      </c>
      <c r="G511" s="37" t="s">
        <v>61</v>
      </c>
      <c r="H511" s="41">
        <v>12320</v>
      </c>
      <c r="I511" s="42">
        <v>10190</v>
      </c>
      <c r="J511" s="37" t="s">
        <v>2146</v>
      </c>
      <c r="K511" s="39">
        <v>45488</v>
      </c>
      <c r="L511" s="33" t="s">
        <v>58</v>
      </c>
      <c r="M511" s="41">
        <v>352000</v>
      </c>
      <c r="N511" s="34">
        <f t="shared" si="14"/>
        <v>1630.4</v>
      </c>
      <c r="O511" s="36">
        <f t="shared" si="15"/>
        <v>101.9</v>
      </c>
      <c r="P511" s="35">
        <v>500</v>
      </c>
    </row>
    <row r="512" spans="1:16" x14ac:dyDescent="0.25">
      <c r="A512" s="37" t="s">
        <v>623</v>
      </c>
      <c r="B512" s="37"/>
      <c r="C512" s="40" t="s">
        <v>35</v>
      </c>
      <c r="D512" s="39">
        <v>45854</v>
      </c>
      <c r="E512" s="39">
        <v>46219</v>
      </c>
      <c r="F512" s="37" t="s">
        <v>1431</v>
      </c>
      <c r="G512" s="37" t="s">
        <v>61</v>
      </c>
      <c r="H512" s="41">
        <v>12320</v>
      </c>
      <c r="I512" s="42">
        <v>10190</v>
      </c>
      <c r="J512" s="37" t="s">
        <v>2146</v>
      </c>
      <c r="K512" s="39">
        <v>45488</v>
      </c>
      <c r="L512" s="33" t="s">
        <v>58</v>
      </c>
      <c r="M512" s="41">
        <v>352000</v>
      </c>
      <c r="N512" s="34">
        <f t="shared" si="14"/>
        <v>1630.4</v>
      </c>
      <c r="O512" s="36">
        <f t="shared" si="15"/>
        <v>101.9</v>
      </c>
      <c r="P512" s="35">
        <v>500</v>
      </c>
    </row>
    <row r="513" spans="1:16" x14ac:dyDescent="0.25">
      <c r="A513" s="37" t="s">
        <v>624</v>
      </c>
      <c r="B513" s="37"/>
      <c r="C513" s="40" t="s">
        <v>37</v>
      </c>
      <c r="D513" s="39">
        <v>45488</v>
      </c>
      <c r="E513" s="39">
        <v>45853</v>
      </c>
      <c r="F513" s="37" t="s">
        <v>1432</v>
      </c>
      <c r="G513" s="37" t="s">
        <v>61</v>
      </c>
      <c r="H513" s="41">
        <v>8800</v>
      </c>
      <c r="I513" s="42">
        <v>7155</v>
      </c>
      <c r="J513" s="37" t="s">
        <v>2148</v>
      </c>
      <c r="K513" s="39">
        <v>45488</v>
      </c>
      <c r="L513" s="33" t="s">
        <v>58</v>
      </c>
      <c r="M513" s="41">
        <v>352000</v>
      </c>
      <c r="N513" s="34">
        <f t="shared" si="14"/>
        <v>1144.8</v>
      </c>
      <c r="O513" s="36">
        <f t="shared" si="15"/>
        <v>71.55</v>
      </c>
      <c r="P513" s="35">
        <v>500</v>
      </c>
    </row>
    <row r="514" spans="1:16" x14ac:dyDescent="0.25">
      <c r="A514" s="37" t="s">
        <v>625</v>
      </c>
      <c r="B514" s="37"/>
      <c r="C514" s="40" t="s">
        <v>37</v>
      </c>
      <c r="D514" s="39">
        <v>45488</v>
      </c>
      <c r="E514" s="39">
        <v>45853</v>
      </c>
      <c r="F514" s="37" t="s">
        <v>91</v>
      </c>
      <c r="G514" s="37" t="s">
        <v>61</v>
      </c>
      <c r="H514" s="41">
        <v>8800</v>
      </c>
      <c r="I514" s="42">
        <v>7155</v>
      </c>
      <c r="J514" s="37" t="s">
        <v>2149</v>
      </c>
      <c r="K514" s="39">
        <v>45488</v>
      </c>
      <c r="L514" s="33" t="s">
        <v>58</v>
      </c>
      <c r="M514" s="41">
        <v>352000</v>
      </c>
      <c r="N514" s="34">
        <f t="shared" si="14"/>
        <v>1144.8</v>
      </c>
      <c r="O514" s="36">
        <f t="shared" si="15"/>
        <v>71.55</v>
      </c>
      <c r="P514" s="35">
        <v>500</v>
      </c>
    </row>
    <row r="515" spans="1:16" x14ac:dyDescent="0.25">
      <c r="A515" s="37" t="s">
        <v>626</v>
      </c>
      <c r="B515" s="37"/>
      <c r="C515" s="40" t="s">
        <v>31</v>
      </c>
      <c r="D515" s="39">
        <v>45488</v>
      </c>
      <c r="E515" s="39">
        <v>45853</v>
      </c>
      <c r="F515" s="37" t="s">
        <v>1433</v>
      </c>
      <c r="G515" s="37" t="s">
        <v>61</v>
      </c>
      <c r="H515" s="41">
        <v>12320</v>
      </c>
      <c r="I515" s="42">
        <v>10190</v>
      </c>
      <c r="J515" s="37" t="s">
        <v>2150</v>
      </c>
      <c r="K515" s="39">
        <v>45488</v>
      </c>
      <c r="L515" s="33" t="s">
        <v>58</v>
      </c>
      <c r="M515" s="41">
        <v>352000</v>
      </c>
      <c r="N515" s="34">
        <f t="shared" ref="N515:N577" si="16">I515*16/100</f>
        <v>1630.4</v>
      </c>
      <c r="O515" s="36">
        <f t="shared" ref="O515:O577" si="17">I515*1/100</f>
        <v>101.9</v>
      </c>
      <c r="P515" s="35">
        <v>500</v>
      </c>
    </row>
    <row r="516" spans="1:16" x14ac:dyDescent="0.25">
      <c r="A516" s="37" t="s">
        <v>627</v>
      </c>
      <c r="B516" s="37"/>
      <c r="C516" s="40" t="s">
        <v>31</v>
      </c>
      <c r="D516" s="39">
        <v>45854</v>
      </c>
      <c r="E516" s="39">
        <v>46219</v>
      </c>
      <c r="F516" s="37" t="s">
        <v>1433</v>
      </c>
      <c r="G516" s="37" t="s">
        <v>61</v>
      </c>
      <c r="H516" s="41">
        <v>12320</v>
      </c>
      <c r="I516" s="42">
        <v>10190</v>
      </c>
      <c r="J516" s="37" t="s">
        <v>2150</v>
      </c>
      <c r="K516" s="39">
        <v>45488</v>
      </c>
      <c r="L516" s="33" t="s">
        <v>58</v>
      </c>
      <c r="M516" s="41">
        <v>352000</v>
      </c>
      <c r="N516" s="34">
        <f t="shared" si="16"/>
        <v>1630.4</v>
      </c>
      <c r="O516" s="36">
        <f t="shared" si="17"/>
        <v>101.9</v>
      </c>
      <c r="P516" s="35">
        <v>500</v>
      </c>
    </row>
    <row r="517" spans="1:16" x14ac:dyDescent="0.25">
      <c r="A517" s="37" t="s">
        <v>628</v>
      </c>
      <c r="B517" s="37"/>
      <c r="C517" s="40" t="s">
        <v>35</v>
      </c>
      <c r="D517" s="39">
        <v>45488</v>
      </c>
      <c r="E517" s="39">
        <v>45853</v>
      </c>
      <c r="F517" s="37" t="s">
        <v>1434</v>
      </c>
      <c r="G517" s="37" t="s">
        <v>62</v>
      </c>
      <c r="H517" s="41">
        <v>13370</v>
      </c>
      <c r="I517" s="42">
        <v>11095</v>
      </c>
      <c r="J517" s="37" t="s">
        <v>2151</v>
      </c>
      <c r="K517" s="39">
        <v>45488</v>
      </c>
      <c r="L517" s="33" t="s">
        <v>58</v>
      </c>
      <c r="M517" s="41">
        <v>382000</v>
      </c>
      <c r="N517" s="34">
        <f t="shared" si="16"/>
        <v>1775.2</v>
      </c>
      <c r="O517" s="36">
        <f t="shared" si="17"/>
        <v>110.95</v>
      </c>
      <c r="P517" s="35">
        <v>500</v>
      </c>
    </row>
    <row r="518" spans="1:16" x14ac:dyDescent="0.25">
      <c r="A518" s="37" t="s">
        <v>629</v>
      </c>
      <c r="B518" s="37"/>
      <c r="C518" s="40" t="s">
        <v>37</v>
      </c>
      <c r="D518" s="39">
        <v>45488</v>
      </c>
      <c r="E518" s="39">
        <v>45853</v>
      </c>
      <c r="F518" s="37" t="s">
        <v>1435</v>
      </c>
      <c r="G518" s="37" t="s">
        <v>61</v>
      </c>
      <c r="H518" s="41">
        <v>8800</v>
      </c>
      <c r="I518" s="42">
        <v>7155</v>
      </c>
      <c r="J518" s="37" t="s">
        <v>2152</v>
      </c>
      <c r="K518" s="39">
        <v>45488</v>
      </c>
      <c r="L518" s="33" t="s">
        <v>58</v>
      </c>
      <c r="M518" s="41">
        <v>352000</v>
      </c>
      <c r="N518" s="34">
        <f t="shared" si="16"/>
        <v>1144.8</v>
      </c>
      <c r="O518" s="36">
        <f t="shared" si="17"/>
        <v>71.55</v>
      </c>
      <c r="P518" s="35">
        <v>500</v>
      </c>
    </row>
    <row r="519" spans="1:16" x14ac:dyDescent="0.25">
      <c r="A519" s="37" t="s">
        <v>630</v>
      </c>
      <c r="B519" s="37"/>
      <c r="C519" s="40" t="s">
        <v>37</v>
      </c>
      <c r="D519" s="39">
        <v>45488</v>
      </c>
      <c r="E519" s="39">
        <v>45853</v>
      </c>
      <c r="F519" s="37" t="s">
        <v>1325</v>
      </c>
      <c r="G519" s="37" t="s">
        <v>61</v>
      </c>
      <c r="H519" s="41">
        <v>8800</v>
      </c>
      <c r="I519" s="42">
        <v>7155</v>
      </c>
      <c r="J519" s="37" t="s">
        <v>2153</v>
      </c>
      <c r="K519" s="39">
        <v>45488</v>
      </c>
      <c r="L519" s="33" t="s">
        <v>58</v>
      </c>
      <c r="M519" s="41">
        <v>352000</v>
      </c>
      <c r="N519" s="34">
        <f t="shared" si="16"/>
        <v>1144.8</v>
      </c>
      <c r="O519" s="36">
        <f t="shared" si="17"/>
        <v>71.55</v>
      </c>
      <c r="P519" s="35">
        <v>500</v>
      </c>
    </row>
    <row r="520" spans="1:16" x14ac:dyDescent="0.25">
      <c r="A520" s="37" t="s">
        <v>631</v>
      </c>
      <c r="B520" s="37"/>
      <c r="C520" s="40" t="s">
        <v>37</v>
      </c>
      <c r="D520" s="39">
        <v>45488</v>
      </c>
      <c r="E520" s="39">
        <v>45853</v>
      </c>
      <c r="F520" s="37" t="s">
        <v>1436</v>
      </c>
      <c r="G520" s="37" t="s">
        <v>61</v>
      </c>
      <c r="H520" s="41">
        <v>8800</v>
      </c>
      <c r="I520" s="42">
        <v>7155</v>
      </c>
      <c r="J520" s="37" t="s">
        <v>2142</v>
      </c>
      <c r="K520" s="39">
        <v>45488</v>
      </c>
      <c r="L520" s="33" t="s">
        <v>58</v>
      </c>
      <c r="M520" s="41">
        <v>352000</v>
      </c>
      <c r="N520" s="34">
        <f t="shared" si="16"/>
        <v>1144.8</v>
      </c>
      <c r="O520" s="36">
        <f t="shared" si="17"/>
        <v>71.55</v>
      </c>
      <c r="P520" s="35">
        <v>500</v>
      </c>
    </row>
    <row r="521" spans="1:16" x14ac:dyDescent="0.25">
      <c r="A521" s="37" t="s">
        <v>632</v>
      </c>
      <c r="B521" s="37"/>
      <c r="C521" s="40" t="s">
        <v>52</v>
      </c>
      <c r="D521" s="39">
        <v>45488</v>
      </c>
      <c r="E521" s="39">
        <v>45853</v>
      </c>
      <c r="F521" s="37" t="s">
        <v>1437</v>
      </c>
      <c r="G521" s="37" t="s">
        <v>61</v>
      </c>
      <c r="H521" s="41">
        <v>12320</v>
      </c>
      <c r="I521" s="42">
        <v>10190</v>
      </c>
      <c r="J521" s="37" t="s">
        <v>2154</v>
      </c>
      <c r="K521" s="39">
        <v>45488</v>
      </c>
      <c r="L521" s="33" t="s">
        <v>58</v>
      </c>
      <c r="M521" s="41">
        <v>352000</v>
      </c>
      <c r="N521" s="34">
        <f t="shared" si="16"/>
        <v>1630.4</v>
      </c>
      <c r="O521" s="36">
        <f t="shared" si="17"/>
        <v>101.9</v>
      </c>
      <c r="P521" s="35">
        <v>500</v>
      </c>
    </row>
    <row r="522" spans="1:16" x14ac:dyDescent="0.25">
      <c r="A522" s="37" t="s">
        <v>633</v>
      </c>
      <c r="B522" s="37"/>
      <c r="C522" s="40" t="s">
        <v>37</v>
      </c>
      <c r="D522" s="39">
        <v>45488</v>
      </c>
      <c r="E522" s="39">
        <v>45853</v>
      </c>
      <c r="F522" s="37" t="s">
        <v>1438</v>
      </c>
      <c r="G522" s="37" t="s">
        <v>63</v>
      </c>
      <c r="H522" s="41">
        <v>13675</v>
      </c>
      <c r="I522" s="42">
        <v>11358</v>
      </c>
      <c r="J522" s="37" t="s">
        <v>2155</v>
      </c>
      <c r="K522" s="39">
        <v>45488</v>
      </c>
      <c r="L522" s="33" t="s">
        <v>58</v>
      </c>
      <c r="M522" s="41">
        <v>547000</v>
      </c>
      <c r="N522" s="34">
        <f t="shared" si="16"/>
        <v>1817.28</v>
      </c>
      <c r="O522" s="36">
        <f t="shared" si="17"/>
        <v>113.58</v>
      </c>
      <c r="P522" s="35">
        <v>500</v>
      </c>
    </row>
    <row r="523" spans="1:16" x14ac:dyDescent="0.25">
      <c r="A523" s="37" t="s">
        <v>634</v>
      </c>
      <c r="B523" s="37"/>
      <c r="C523" s="40" t="s">
        <v>37</v>
      </c>
      <c r="D523" s="39">
        <v>45488</v>
      </c>
      <c r="E523" s="39">
        <v>45853</v>
      </c>
      <c r="F523" s="37" t="s">
        <v>1439</v>
      </c>
      <c r="G523" s="37" t="s">
        <v>61</v>
      </c>
      <c r="H523" s="41">
        <v>8800</v>
      </c>
      <c r="I523" s="42">
        <v>7155</v>
      </c>
      <c r="J523" s="37" t="s">
        <v>2157</v>
      </c>
      <c r="K523" s="39">
        <v>45488</v>
      </c>
      <c r="L523" s="33" t="s">
        <v>58</v>
      </c>
      <c r="M523" s="41">
        <v>352000</v>
      </c>
      <c r="N523" s="34">
        <f t="shared" si="16"/>
        <v>1144.8</v>
      </c>
      <c r="O523" s="36">
        <f t="shared" si="17"/>
        <v>71.55</v>
      </c>
      <c r="P523" s="35">
        <v>500</v>
      </c>
    </row>
    <row r="524" spans="1:16" x14ac:dyDescent="0.25">
      <c r="A524" s="37" t="s">
        <v>635</v>
      </c>
      <c r="B524" s="37"/>
      <c r="C524" s="40" t="s">
        <v>37</v>
      </c>
      <c r="D524" s="39">
        <v>45488</v>
      </c>
      <c r="E524" s="39">
        <v>45853</v>
      </c>
      <c r="F524" s="37" t="s">
        <v>1440</v>
      </c>
      <c r="G524" s="37" t="s">
        <v>64</v>
      </c>
      <c r="H524" s="41">
        <v>12475</v>
      </c>
      <c r="I524" s="42">
        <v>10323</v>
      </c>
      <c r="J524" s="37" t="s">
        <v>2158</v>
      </c>
      <c r="K524" s="39">
        <v>45488</v>
      </c>
      <c r="L524" s="33" t="s">
        <v>58</v>
      </c>
      <c r="M524" s="41">
        <v>499000</v>
      </c>
      <c r="N524" s="34">
        <f t="shared" si="16"/>
        <v>1651.68</v>
      </c>
      <c r="O524" s="36">
        <f t="shared" si="17"/>
        <v>103.23</v>
      </c>
      <c r="P524" s="35">
        <v>500</v>
      </c>
    </row>
    <row r="525" spans="1:16" x14ac:dyDescent="0.25">
      <c r="A525" s="37" t="s">
        <v>636</v>
      </c>
      <c r="B525" s="37"/>
      <c r="C525" s="40" t="s">
        <v>37</v>
      </c>
      <c r="D525" s="39">
        <v>45488</v>
      </c>
      <c r="E525" s="39">
        <v>45853</v>
      </c>
      <c r="F525" s="37" t="s">
        <v>1441</v>
      </c>
      <c r="G525" s="37" t="s">
        <v>61</v>
      </c>
      <c r="H525" s="41">
        <v>8800</v>
      </c>
      <c r="I525" s="42">
        <v>7155</v>
      </c>
      <c r="J525" s="37" t="s">
        <v>2159</v>
      </c>
      <c r="K525" s="39">
        <v>45488</v>
      </c>
      <c r="L525" s="33" t="s">
        <v>58</v>
      </c>
      <c r="M525" s="41">
        <v>352000</v>
      </c>
      <c r="N525" s="34">
        <f t="shared" si="16"/>
        <v>1144.8</v>
      </c>
      <c r="O525" s="36">
        <f t="shared" si="17"/>
        <v>71.55</v>
      </c>
      <c r="P525" s="35">
        <v>500</v>
      </c>
    </row>
    <row r="526" spans="1:16" x14ac:dyDescent="0.25">
      <c r="A526" s="37" t="s">
        <v>637</v>
      </c>
      <c r="B526" s="37"/>
      <c r="C526" s="40" t="s">
        <v>38</v>
      </c>
      <c r="D526" s="39">
        <v>45488</v>
      </c>
      <c r="E526" s="39">
        <v>45853</v>
      </c>
      <c r="F526" s="37" t="s">
        <v>1442</v>
      </c>
      <c r="G526" s="37" t="s">
        <v>62</v>
      </c>
      <c r="H526" s="41">
        <v>13370</v>
      </c>
      <c r="I526" s="42">
        <v>11095</v>
      </c>
      <c r="J526" s="37" t="s">
        <v>2160</v>
      </c>
      <c r="K526" s="39">
        <v>45488</v>
      </c>
      <c r="L526" s="33" t="s">
        <v>58</v>
      </c>
      <c r="M526" s="41">
        <v>382000</v>
      </c>
      <c r="N526" s="34">
        <f t="shared" si="16"/>
        <v>1775.2</v>
      </c>
      <c r="O526" s="36">
        <f t="shared" si="17"/>
        <v>110.95</v>
      </c>
      <c r="P526" s="35">
        <v>500</v>
      </c>
    </row>
    <row r="527" spans="1:16" x14ac:dyDescent="0.25">
      <c r="A527" s="37" t="s">
        <v>638</v>
      </c>
      <c r="B527" s="37"/>
      <c r="C527" s="40" t="s">
        <v>38</v>
      </c>
      <c r="D527" s="39">
        <v>45854</v>
      </c>
      <c r="E527" s="39">
        <v>46219</v>
      </c>
      <c r="F527" s="37" t="s">
        <v>1442</v>
      </c>
      <c r="G527" s="37" t="s">
        <v>62</v>
      </c>
      <c r="H527" s="41">
        <v>13370</v>
      </c>
      <c r="I527" s="42">
        <v>11095</v>
      </c>
      <c r="J527" s="37" t="s">
        <v>2160</v>
      </c>
      <c r="K527" s="39">
        <v>45488</v>
      </c>
      <c r="L527" s="33" t="s">
        <v>58</v>
      </c>
      <c r="M527" s="41">
        <v>382000</v>
      </c>
      <c r="N527" s="34">
        <f t="shared" si="16"/>
        <v>1775.2</v>
      </c>
      <c r="O527" s="36">
        <f t="shared" si="17"/>
        <v>110.95</v>
      </c>
      <c r="P527" s="35">
        <v>500</v>
      </c>
    </row>
    <row r="528" spans="1:16" x14ac:dyDescent="0.25">
      <c r="A528" s="37" t="s">
        <v>639</v>
      </c>
      <c r="B528" s="37"/>
      <c r="C528" s="40" t="s">
        <v>38</v>
      </c>
      <c r="D528" s="39">
        <v>45488</v>
      </c>
      <c r="E528" s="39">
        <v>45853</v>
      </c>
      <c r="F528" s="37" t="s">
        <v>1196</v>
      </c>
      <c r="G528" s="37" t="s">
        <v>62</v>
      </c>
      <c r="H528" s="41">
        <v>13370</v>
      </c>
      <c r="I528" s="42">
        <v>11095</v>
      </c>
      <c r="J528" s="37" t="s">
        <v>2161</v>
      </c>
      <c r="K528" s="39">
        <v>45488</v>
      </c>
      <c r="L528" s="33" t="s">
        <v>58</v>
      </c>
      <c r="M528" s="41">
        <v>382000</v>
      </c>
      <c r="N528" s="34">
        <f t="shared" si="16"/>
        <v>1775.2</v>
      </c>
      <c r="O528" s="36">
        <f t="shared" si="17"/>
        <v>110.95</v>
      </c>
      <c r="P528" s="35">
        <v>500</v>
      </c>
    </row>
    <row r="529" spans="1:16" x14ac:dyDescent="0.25">
      <c r="A529" s="37" t="s">
        <v>640</v>
      </c>
      <c r="B529" s="37"/>
      <c r="C529" s="40" t="s">
        <v>38</v>
      </c>
      <c r="D529" s="39">
        <v>45854</v>
      </c>
      <c r="E529" s="39">
        <v>46219</v>
      </c>
      <c r="F529" s="37" t="s">
        <v>1196</v>
      </c>
      <c r="G529" s="37" t="s">
        <v>62</v>
      </c>
      <c r="H529" s="41">
        <v>13370</v>
      </c>
      <c r="I529" s="42">
        <v>11095</v>
      </c>
      <c r="J529" s="37" t="s">
        <v>2161</v>
      </c>
      <c r="K529" s="39">
        <v>45488</v>
      </c>
      <c r="L529" s="33" t="s">
        <v>58</v>
      </c>
      <c r="M529" s="41">
        <v>382000</v>
      </c>
      <c r="N529" s="34">
        <f t="shared" si="16"/>
        <v>1775.2</v>
      </c>
      <c r="O529" s="36">
        <f t="shared" si="17"/>
        <v>110.95</v>
      </c>
      <c r="P529" s="35">
        <v>500</v>
      </c>
    </row>
    <row r="530" spans="1:16" x14ac:dyDescent="0.25">
      <c r="A530" s="37" t="s">
        <v>641</v>
      </c>
      <c r="B530" s="37"/>
      <c r="C530" s="40" t="s">
        <v>38</v>
      </c>
      <c r="D530" s="39">
        <v>45488</v>
      </c>
      <c r="E530" s="39">
        <v>45853</v>
      </c>
      <c r="F530" s="37" t="s">
        <v>1443</v>
      </c>
      <c r="G530" s="37" t="s">
        <v>61</v>
      </c>
      <c r="H530" s="41">
        <v>12320</v>
      </c>
      <c r="I530" s="42">
        <v>10190</v>
      </c>
      <c r="J530" s="37" t="s">
        <v>2162</v>
      </c>
      <c r="K530" s="39">
        <v>45488</v>
      </c>
      <c r="L530" s="33" t="s">
        <v>58</v>
      </c>
      <c r="M530" s="41">
        <v>352000</v>
      </c>
      <c r="N530" s="34">
        <f t="shared" si="16"/>
        <v>1630.4</v>
      </c>
      <c r="O530" s="36">
        <f t="shared" si="17"/>
        <v>101.9</v>
      </c>
      <c r="P530" s="35">
        <v>500</v>
      </c>
    </row>
    <row r="531" spans="1:16" x14ac:dyDescent="0.25">
      <c r="A531" s="37" t="s">
        <v>642</v>
      </c>
      <c r="B531" s="37"/>
      <c r="C531" s="40" t="s">
        <v>38</v>
      </c>
      <c r="D531" s="39">
        <v>45854</v>
      </c>
      <c r="E531" s="39">
        <v>46219</v>
      </c>
      <c r="F531" s="37" t="s">
        <v>1443</v>
      </c>
      <c r="G531" s="37" t="s">
        <v>61</v>
      </c>
      <c r="H531" s="41">
        <v>12320</v>
      </c>
      <c r="I531" s="42">
        <v>10190</v>
      </c>
      <c r="J531" s="37" t="s">
        <v>2162</v>
      </c>
      <c r="K531" s="39">
        <v>45488</v>
      </c>
      <c r="L531" s="33" t="s">
        <v>58</v>
      </c>
      <c r="M531" s="41">
        <v>352000</v>
      </c>
      <c r="N531" s="34">
        <f t="shared" si="16"/>
        <v>1630.4</v>
      </c>
      <c r="O531" s="36">
        <f t="shared" si="17"/>
        <v>101.9</v>
      </c>
      <c r="P531" s="35">
        <v>500</v>
      </c>
    </row>
    <row r="532" spans="1:16" x14ac:dyDescent="0.25">
      <c r="A532" s="37" t="s">
        <v>643</v>
      </c>
      <c r="B532" s="37"/>
      <c r="C532" s="40" t="s">
        <v>1071</v>
      </c>
      <c r="D532" s="39">
        <v>45491</v>
      </c>
      <c r="E532" s="39">
        <v>45856</v>
      </c>
      <c r="F532" s="37" t="s">
        <v>1444</v>
      </c>
      <c r="G532" s="37" t="s">
        <v>61</v>
      </c>
      <c r="H532" s="41">
        <v>8800</v>
      </c>
      <c r="I532" s="42">
        <v>7155</v>
      </c>
      <c r="J532" s="37" t="s">
        <v>2091</v>
      </c>
      <c r="K532" s="39">
        <v>45491</v>
      </c>
      <c r="L532" s="33" t="s">
        <v>58</v>
      </c>
      <c r="M532" s="41">
        <v>352000</v>
      </c>
      <c r="N532" s="34">
        <f t="shared" si="16"/>
        <v>1144.8</v>
      </c>
      <c r="O532" s="36">
        <f t="shared" si="17"/>
        <v>71.55</v>
      </c>
      <c r="P532" s="35">
        <v>500</v>
      </c>
    </row>
    <row r="533" spans="1:16" x14ac:dyDescent="0.25">
      <c r="A533" s="37" t="s">
        <v>644</v>
      </c>
      <c r="B533" s="37"/>
      <c r="C533" s="40" t="s">
        <v>35</v>
      </c>
      <c r="D533" s="39">
        <v>45491</v>
      </c>
      <c r="E533" s="39">
        <v>45856</v>
      </c>
      <c r="F533" s="37" t="s">
        <v>1445</v>
      </c>
      <c r="G533" s="37" t="s">
        <v>61</v>
      </c>
      <c r="H533" s="41">
        <v>19145</v>
      </c>
      <c r="I533" s="42">
        <v>16073</v>
      </c>
      <c r="J533" s="37" t="s">
        <v>2013</v>
      </c>
      <c r="K533" s="39">
        <v>45491</v>
      </c>
      <c r="L533" s="33" t="s">
        <v>58</v>
      </c>
      <c r="M533" s="41">
        <v>547000</v>
      </c>
      <c r="N533" s="34">
        <f t="shared" si="16"/>
        <v>2571.6799999999998</v>
      </c>
      <c r="O533" s="36">
        <f t="shared" si="17"/>
        <v>160.72999999999999</v>
      </c>
      <c r="P533" s="35">
        <v>500</v>
      </c>
    </row>
    <row r="534" spans="1:16" x14ac:dyDescent="0.25">
      <c r="A534" s="37" t="s">
        <v>645</v>
      </c>
      <c r="B534" s="37"/>
      <c r="C534" s="40" t="s">
        <v>30</v>
      </c>
      <c r="D534" s="39">
        <v>45491</v>
      </c>
      <c r="E534" s="39">
        <v>45856</v>
      </c>
      <c r="F534" s="37" t="s">
        <v>1446</v>
      </c>
      <c r="G534" s="37" t="s">
        <v>61</v>
      </c>
      <c r="H534" s="41">
        <v>12320</v>
      </c>
      <c r="I534" s="42">
        <v>10190</v>
      </c>
      <c r="J534" s="37" t="s">
        <v>2163</v>
      </c>
      <c r="K534" s="39">
        <v>45491</v>
      </c>
      <c r="L534" s="33" t="s">
        <v>58</v>
      </c>
      <c r="M534" s="41">
        <v>352000</v>
      </c>
      <c r="N534" s="34">
        <f t="shared" si="16"/>
        <v>1630.4</v>
      </c>
      <c r="O534" s="36">
        <f t="shared" si="17"/>
        <v>101.9</v>
      </c>
      <c r="P534" s="35">
        <v>500</v>
      </c>
    </row>
    <row r="535" spans="1:16" x14ac:dyDescent="0.25">
      <c r="A535" s="37" t="s">
        <v>646</v>
      </c>
      <c r="B535" s="37"/>
      <c r="C535" s="40" t="s">
        <v>30</v>
      </c>
      <c r="D535" s="39">
        <v>45857</v>
      </c>
      <c r="E535" s="39">
        <v>46222</v>
      </c>
      <c r="F535" s="37" t="s">
        <v>1446</v>
      </c>
      <c r="G535" s="37" t="s">
        <v>61</v>
      </c>
      <c r="H535" s="41">
        <v>12320</v>
      </c>
      <c r="I535" s="42">
        <v>10190</v>
      </c>
      <c r="J535" s="37" t="s">
        <v>2163</v>
      </c>
      <c r="K535" s="39">
        <v>45491</v>
      </c>
      <c r="L535" s="33" t="s">
        <v>58</v>
      </c>
      <c r="M535" s="41">
        <v>352000</v>
      </c>
      <c r="N535" s="34">
        <f t="shared" si="16"/>
        <v>1630.4</v>
      </c>
      <c r="O535" s="36">
        <f t="shared" si="17"/>
        <v>101.9</v>
      </c>
      <c r="P535" s="35">
        <v>500</v>
      </c>
    </row>
    <row r="536" spans="1:16" x14ac:dyDescent="0.25">
      <c r="A536" s="37" t="s">
        <v>647</v>
      </c>
      <c r="B536" s="37"/>
      <c r="C536" s="40" t="s">
        <v>1073</v>
      </c>
      <c r="D536" s="39">
        <v>45485</v>
      </c>
      <c r="E536" s="39">
        <v>45849</v>
      </c>
      <c r="F536" s="37" t="s">
        <v>1447</v>
      </c>
      <c r="G536" s="37" t="s">
        <v>65</v>
      </c>
      <c r="H536" s="41">
        <v>13370</v>
      </c>
      <c r="I536" s="42">
        <v>11095</v>
      </c>
      <c r="J536" s="37" t="s">
        <v>2165</v>
      </c>
      <c r="K536" s="39">
        <v>45491</v>
      </c>
      <c r="L536" s="33" t="s">
        <v>58</v>
      </c>
      <c r="M536" s="41">
        <v>382000</v>
      </c>
      <c r="N536" s="34">
        <f t="shared" si="16"/>
        <v>1775.2</v>
      </c>
      <c r="O536" s="36">
        <f t="shared" si="17"/>
        <v>110.95</v>
      </c>
      <c r="P536" s="35">
        <v>500</v>
      </c>
    </row>
    <row r="537" spans="1:16" x14ac:dyDescent="0.25">
      <c r="A537" s="37" t="s">
        <v>648</v>
      </c>
      <c r="B537" s="37"/>
      <c r="C537" s="40" t="s">
        <v>32</v>
      </c>
      <c r="D537" s="39">
        <v>45491</v>
      </c>
      <c r="E537" s="39">
        <v>45856</v>
      </c>
      <c r="F537" s="37" t="s">
        <v>1448</v>
      </c>
      <c r="G537" s="37" t="s">
        <v>61</v>
      </c>
      <c r="H537" s="41">
        <v>12320</v>
      </c>
      <c r="I537" s="42">
        <v>10190</v>
      </c>
      <c r="J537" s="37" t="s">
        <v>2166</v>
      </c>
      <c r="K537" s="39">
        <v>45491</v>
      </c>
      <c r="L537" s="33" t="s">
        <v>58</v>
      </c>
      <c r="M537" s="41">
        <v>352000</v>
      </c>
      <c r="N537" s="34">
        <f t="shared" si="16"/>
        <v>1630.4</v>
      </c>
      <c r="O537" s="36">
        <f t="shared" si="17"/>
        <v>101.9</v>
      </c>
      <c r="P537" s="35">
        <v>500</v>
      </c>
    </row>
    <row r="538" spans="1:16" x14ac:dyDescent="0.25">
      <c r="A538" s="37" t="s">
        <v>649</v>
      </c>
      <c r="B538" s="37"/>
      <c r="C538" s="40" t="s">
        <v>32</v>
      </c>
      <c r="D538" s="39">
        <v>45491</v>
      </c>
      <c r="E538" s="39">
        <v>45856</v>
      </c>
      <c r="F538" s="37" t="s">
        <v>95</v>
      </c>
      <c r="G538" s="37" t="s">
        <v>62</v>
      </c>
      <c r="H538" s="41">
        <v>13370</v>
      </c>
      <c r="I538" s="42">
        <v>11095</v>
      </c>
      <c r="J538" s="37" t="s">
        <v>2167</v>
      </c>
      <c r="K538" s="39">
        <v>45491</v>
      </c>
      <c r="L538" s="33" t="s">
        <v>58</v>
      </c>
      <c r="M538" s="41">
        <v>382000</v>
      </c>
      <c r="N538" s="34">
        <f t="shared" si="16"/>
        <v>1775.2</v>
      </c>
      <c r="O538" s="36">
        <f t="shared" si="17"/>
        <v>110.95</v>
      </c>
      <c r="P538" s="35">
        <v>500</v>
      </c>
    </row>
    <row r="539" spans="1:16" x14ac:dyDescent="0.25">
      <c r="A539" s="37" t="s">
        <v>650</v>
      </c>
      <c r="B539" s="37"/>
      <c r="C539" s="40" t="s">
        <v>32</v>
      </c>
      <c r="D539" s="39">
        <v>45857</v>
      </c>
      <c r="E539" s="39">
        <v>46222</v>
      </c>
      <c r="F539" s="37" t="s">
        <v>95</v>
      </c>
      <c r="G539" s="37" t="s">
        <v>62</v>
      </c>
      <c r="H539" s="41">
        <v>13370</v>
      </c>
      <c r="I539" s="42">
        <v>11095</v>
      </c>
      <c r="J539" s="37" t="s">
        <v>2167</v>
      </c>
      <c r="K539" s="39">
        <v>45491</v>
      </c>
      <c r="L539" s="33" t="s">
        <v>58</v>
      </c>
      <c r="M539" s="41">
        <v>382000</v>
      </c>
      <c r="N539" s="34">
        <f t="shared" si="16"/>
        <v>1775.2</v>
      </c>
      <c r="O539" s="36">
        <f t="shared" si="17"/>
        <v>110.95</v>
      </c>
      <c r="P539" s="35">
        <v>500</v>
      </c>
    </row>
    <row r="540" spans="1:16" x14ac:dyDescent="0.25">
      <c r="A540" s="37" t="s">
        <v>651</v>
      </c>
      <c r="B540" s="37"/>
      <c r="C540" s="40" t="s">
        <v>53</v>
      </c>
      <c r="D540" s="39">
        <v>45491</v>
      </c>
      <c r="E540" s="39">
        <v>45856</v>
      </c>
      <c r="F540" s="37" t="s">
        <v>1449</v>
      </c>
      <c r="G540" s="37" t="s">
        <v>61</v>
      </c>
      <c r="H540" s="41">
        <v>8800</v>
      </c>
      <c r="I540" s="42">
        <v>7155</v>
      </c>
      <c r="J540" s="37" t="s">
        <v>2168</v>
      </c>
      <c r="K540" s="39">
        <v>45491</v>
      </c>
      <c r="L540" s="33" t="s">
        <v>58</v>
      </c>
      <c r="M540" s="41">
        <v>352000</v>
      </c>
      <c r="N540" s="34">
        <f t="shared" si="16"/>
        <v>1144.8</v>
      </c>
      <c r="O540" s="36">
        <f t="shared" si="17"/>
        <v>71.55</v>
      </c>
      <c r="P540" s="35">
        <v>500</v>
      </c>
    </row>
    <row r="541" spans="1:16" x14ac:dyDescent="0.25">
      <c r="A541" s="37" t="s">
        <v>652</v>
      </c>
      <c r="B541" s="37"/>
      <c r="C541" s="40" t="s">
        <v>30</v>
      </c>
      <c r="D541" s="39">
        <v>45491</v>
      </c>
      <c r="E541" s="39">
        <v>45856</v>
      </c>
      <c r="F541" s="37" t="s">
        <v>104</v>
      </c>
      <c r="G541" s="37" t="s">
        <v>61</v>
      </c>
      <c r="H541" s="41">
        <v>12320</v>
      </c>
      <c r="I541" s="42">
        <v>10190</v>
      </c>
      <c r="J541" s="37" t="s">
        <v>2164</v>
      </c>
      <c r="K541" s="39">
        <v>45491</v>
      </c>
      <c r="L541" s="33" t="s">
        <v>58</v>
      </c>
      <c r="M541" s="41">
        <v>352000</v>
      </c>
      <c r="N541" s="34">
        <f t="shared" si="16"/>
        <v>1630.4</v>
      </c>
      <c r="O541" s="36">
        <f t="shared" si="17"/>
        <v>101.9</v>
      </c>
      <c r="P541" s="35">
        <v>500</v>
      </c>
    </row>
    <row r="542" spans="1:16" x14ac:dyDescent="0.25">
      <c r="A542" s="37" t="s">
        <v>653</v>
      </c>
      <c r="B542" s="37"/>
      <c r="C542" s="40" t="s">
        <v>30</v>
      </c>
      <c r="D542" s="39">
        <v>45857</v>
      </c>
      <c r="E542" s="39">
        <v>46222</v>
      </c>
      <c r="F542" s="37" t="s">
        <v>104</v>
      </c>
      <c r="G542" s="37" t="s">
        <v>61</v>
      </c>
      <c r="H542" s="41">
        <v>12320</v>
      </c>
      <c r="I542" s="42">
        <v>10190</v>
      </c>
      <c r="J542" s="37" t="s">
        <v>2164</v>
      </c>
      <c r="K542" s="39">
        <v>45491</v>
      </c>
      <c r="L542" s="33" t="s">
        <v>58</v>
      </c>
      <c r="M542" s="41">
        <v>352000</v>
      </c>
      <c r="N542" s="34">
        <f t="shared" si="16"/>
        <v>1630.4</v>
      </c>
      <c r="O542" s="36">
        <f t="shared" si="17"/>
        <v>101.9</v>
      </c>
      <c r="P542" s="35">
        <v>500</v>
      </c>
    </row>
    <row r="543" spans="1:16" x14ac:dyDescent="0.25">
      <c r="A543" s="37" t="s">
        <v>654</v>
      </c>
      <c r="B543" s="37"/>
      <c r="C543" s="40" t="s">
        <v>30</v>
      </c>
      <c r="D543" s="39">
        <v>45491</v>
      </c>
      <c r="E543" s="39">
        <v>45856</v>
      </c>
      <c r="F543" s="37" t="s">
        <v>1450</v>
      </c>
      <c r="G543" s="37" t="s">
        <v>61</v>
      </c>
      <c r="H543" s="41">
        <v>12320</v>
      </c>
      <c r="I543" s="42">
        <v>10190</v>
      </c>
      <c r="J543" s="37" t="s">
        <v>2169</v>
      </c>
      <c r="K543" s="39">
        <v>45491</v>
      </c>
      <c r="L543" s="33" t="s">
        <v>58</v>
      </c>
      <c r="M543" s="41">
        <v>352000</v>
      </c>
      <c r="N543" s="34">
        <f t="shared" si="16"/>
        <v>1630.4</v>
      </c>
      <c r="O543" s="36">
        <f t="shared" si="17"/>
        <v>101.9</v>
      </c>
      <c r="P543" s="35">
        <v>500</v>
      </c>
    </row>
    <row r="544" spans="1:16" x14ac:dyDescent="0.25">
      <c r="A544" s="37" t="s">
        <v>655</v>
      </c>
      <c r="B544" s="37"/>
      <c r="C544" s="40" t="s">
        <v>30</v>
      </c>
      <c r="D544" s="39">
        <v>45857</v>
      </c>
      <c r="E544" s="39">
        <v>46222</v>
      </c>
      <c r="F544" s="37" t="s">
        <v>1450</v>
      </c>
      <c r="G544" s="37" t="s">
        <v>61</v>
      </c>
      <c r="H544" s="41">
        <v>12320</v>
      </c>
      <c r="I544" s="42">
        <v>10190</v>
      </c>
      <c r="J544" s="37" t="s">
        <v>2169</v>
      </c>
      <c r="K544" s="39">
        <v>45491</v>
      </c>
      <c r="L544" s="33" t="s">
        <v>58</v>
      </c>
      <c r="M544" s="41">
        <v>352000</v>
      </c>
      <c r="N544" s="34">
        <f t="shared" si="16"/>
        <v>1630.4</v>
      </c>
      <c r="O544" s="36">
        <f t="shared" si="17"/>
        <v>101.9</v>
      </c>
      <c r="P544" s="35">
        <v>500</v>
      </c>
    </row>
    <row r="545" spans="1:16" x14ac:dyDescent="0.25">
      <c r="A545" s="37" t="s">
        <v>656</v>
      </c>
      <c r="B545" s="37"/>
      <c r="C545" s="40" t="s">
        <v>49</v>
      </c>
      <c r="D545" s="39">
        <v>45491</v>
      </c>
      <c r="E545" s="39">
        <v>45856</v>
      </c>
      <c r="F545" s="37" t="s">
        <v>1451</v>
      </c>
      <c r="G545" s="37" t="s">
        <v>61</v>
      </c>
      <c r="H545" s="41">
        <v>8800</v>
      </c>
      <c r="I545" s="42">
        <v>7155</v>
      </c>
      <c r="J545" s="37" t="s">
        <v>2170</v>
      </c>
      <c r="K545" s="39">
        <v>45491</v>
      </c>
      <c r="L545" s="33" t="s">
        <v>58</v>
      </c>
      <c r="M545" s="41">
        <v>352000</v>
      </c>
      <c r="N545" s="34">
        <f t="shared" si="16"/>
        <v>1144.8</v>
      </c>
      <c r="O545" s="36">
        <f t="shared" si="17"/>
        <v>71.55</v>
      </c>
      <c r="P545" s="35">
        <v>500</v>
      </c>
    </row>
    <row r="546" spans="1:16" x14ac:dyDescent="0.25">
      <c r="A546" s="37" t="s">
        <v>657</v>
      </c>
      <c r="B546" s="37"/>
      <c r="C546" s="40" t="s">
        <v>49</v>
      </c>
      <c r="D546" s="39">
        <v>45491</v>
      </c>
      <c r="E546" s="39">
        <v>45856</v>
      </c>
      <c r="F546" s="37" t="s">
        <v>111</v>
      </c>
      <c r="G546" s="37" t="s">
        <v>61</v>
      </c>
      <c r="H546" s="41">
        <v>8800</v>
      </c>
      <c r="I546" s="42">
        <v>7155</v>
      </c>
      <c r="J546" s="37" t="s">
        <v>2171</v>
      </c>
      <c r="K546" s="39">
        <v>45491</v>
      </c>
      <c r="L546" s="33" t="s">
        <v>58</v>
      </c>
      <c r="M546" s="41">
        <v>352000</v>
      </c>
      <c r="N546" s="34">
        <f t="shared" si="16"/>
        <v>1144.8</v>
      </c>
      <c r="O546" s="36">
        <f t="shared" si="17"/>
        <v>71.55</v>
      </c>
      <c r="P546" s="35">
        <v>500</v>
      </c>
    </row>
    <row r="547" spans="1:16" x14ac:dyDescent="0.25">
      <c r="A547" s="37" t="s">
        <v>658</v>
      </c>
      <c r="B547" s="37"/>
      <c r="C547" s="40" t="s">
        <v>49</v>
      </c>
      <c r="D547" s="39">
        <v>45491</v>
      </c>
      <c r="E547" s="39">
        <v>45856</v>
      </c>
      <c r="F547" s="37" t="s">
        <v>1452</v>
      </c>
      <c r="G547" s="37" t="s">
        <v>61</v>
      </c>
      <c r="H547" s="41">
        <v>8800</v>
      </c>
      <c r="I547" s="42">
        <v>7155</v>
      </c>
      <c r="J547" s="37" t="s">
        <v>2172</v>
      </c>
      <c r="K547" s="39">
        <v>45491</v>
      </c>
      <c r="L547" s="33" t="s">
        <v>58</v>
      </c>
      <c r="M547" s="41">
        <v>352000</v>
      </c>
      <c r="N547" s="34">
        <f t="shared" si="16"/>
        <v>1144.8</v>
      </c>
      <c r="O547" s="36">
        <f t="shared" si="17"/>
        <v>71.55</v>
      </c>
      <c r="P547" s="35">
        <v>500</v>
      </c>
    </row>
    <row r="548" spans="1:16" x14ac:dyDescent="0.25">
      <c r="A548" s="37" t="s">
        <v>659</v>
      </c>
      <c r="B548" s="37"/>
      <c r="C548" s="40" t="s">
        <v>30</v>
      </c>
      <c r="D548" s="39">
        <v>45491</v>
      </c>
      <c r="E548" s="39">
        <v>45856</v>
      </c>
      <c r="F548" s="37" t="s">
        <v>1453</v>
      </c>
      <c r="G548" s="37" t="s">
        <v>62</v>
      </c>
      <c r="H548" s="41">
        <v>13370</v>
      </c>
      <c r="I548" s="42">
        <v>11095</v>
      </c>
      <c r="J548" s="37" t="s">
        <v>2173</v>
      </c>
      <c r="K548" s="39">
        <v>45491</v>
      </c>
      <c r="L548" s="33" t="s">
        <v>58</v>
      </c>
      <c r="M548" s="41">
        <v>382000</v>
      </c>
      <c r="N548" s="34">
        <f t="shared" si="16"/>
        <v>1775.2</v>
      </c>
      <c r="O548" s="36">
        <f t="shared" si="17"/>
        <v>110.95</v>
      </c>
      <c r="P548" s="35">
        <v>500</v>
      </c>
    </row>
    <row r="549" spans="1:16" x14ac:dyDescent="0.25">
      <c r="A549" s="37" t="s">
        <v>660</v>
      </c>
      <c r="B549" s="37"/>
      <c r="C549" s="40" t="s">
        <v>30</v>
      </c>
      <c r="D549" s="39">
        <v>45491</v>
      </c>
      <c r="E549" s="39">
        <v>45856</v>
      </c>
      <c r="F549" s="37" t="s">
        <v>1454</v>
      </c>
      <c r="G549" s="37" t="s">
        <v>61</v>
      </c>
      <c r="H549" s="41">
        <v>12320</v>
      </c>
      <c r="I549" s="42">
        <v>10190</v>
      </c>
      <c r="J549" s="37" t="s">
        <v>2174</v>
      </c>
      <c r="K549" s="39">
        <v>45491</v>
      </c>
      <c r="L549" s="33" t="s">
        <v>58</v>
      </c>
      <c r="M549" s="41">
        <v>352000</v>
      </c>
      <c r="N549" s="34">
        <f t="shared" si="16"/>
        <v>1630.4</v>
      </c>
      <c r="O549" s="36">
        <f t="shared" si="17"/>
        <v>101.9</v>
      </c>
      <c r="P549" s="35">
        <v>500</v>
      </c>
    </row>
    <row r="550" spans="1:16" x14ac:dyDescent="0.25">
      <c r="A550" s="37" t="s">
        <v>661</v>
      </c>
      <c r="B550" s="37"/>
      <c r="C550" s="40" t="s">
        <v>30</v>
      </c>
      <c r="D550" s="39">
        <v>45857</v>
      </c>
      <c r="E550" s="39">
        <v>46222</v>
      </c>
      <c r="F550" s="37" t="s">
        <v>1454</v>
      </c>
      <c r="G550" s="37" t="s">
        <v>61</v>
      </c>
      <c r="H550" s="41">
        <v>12320</v>
      </c>
      <c r="I550" s="42">
        <v>10190</v>
      </c>
      <c r="J550" s="37" t="s">
        <v>2174</v>
      </c>
      <c r="K550" s="39">
        <v>45491</v>
      </c>
      <c r="L550" s="33" t="s">
        <v>58</v>
      </c>
      <c r="M550" s="41">
        <v>352000</v>
      </c>
      <c r="N550" s="34">
        <f t="shared" si="16"/>
        <v>1630.4</v>
      </c>
      <c r="O550" s="36">
        <f t="shared" si="17"/>
        <v>101.9</v>
      </c>
      <c r="P550" s="35">
        <v>500</v>
      </c>
    </row>
    <row r="551" spans="1:16" x14ac:dyDescent="0.25">
      <c r="A551" s="37" t="s">
        <v>662</v>
      </c>
      <c r="B551" s="37"/>
      <c r="C551" s="40" t="s">
        <v>32</v>
      </c>
      <c r="D551" s="39">
        <v>45491</v>
      </c>
      <c r="E551" s="39">
        <v>45856</v>
      </c>
      <c r="F551" s="37" t="s">
        <v>81</v>
      </c>
      <c r="G551" s="37" t="s">
        <v>61</v>
      </c>
      <c r="H551" s="41">
        <v>12320</v>
      </c>
      <c r="I551" s="42">
        <v>10190</v>
      </c>
      <c r="J551" s="37" t="s">
        <v>2175</v>
      </c>
      <c r="K551" s="39">
        <v>45491</v>
      </c>
      <c r="L551" s="33" t="s">
        <v>58</v>
      </c>
      <c r="M551" s="41">
        <v>352000</v>
      </c>
      <c r="N551" s="34">
        <f t="shared" si="16"/>
        <v>1630.4</v>
      </c>
      <c r="O551" s="36">
        <f t="shared" si="17"/>
        <v>101.9</v>
      </c>
      <c r="P551" s="35">
        <v>500</v>
      </c>
    </row>
    <row r="552" spans="1:16" x14ac:dyDescent="0.25">
      <c r="A552" s="37" t="s">
        <v>663</v>
      </c>
      <c r="B552" s="37"/>
      <c r="C552" s="40" t="s">
        <v>32</v>
      </c>
      <c r="D552" s="39">
        <v>45857</v>
      </c>
      <c r="E552" s="39">
        <v>46222</v>
      </c>
      <c r="F552" s="37" t="s">
        <v>81</v>
      </c>
      <c r="G552" s="37" t="s">
        <v>61</v>
      </c>
      <c r="H552" s="41">
        <v>12320</v>
      </c>
      <c r="I552" s="42">
        <v>10190</v>
      </c>
      <c r="J552" s="37" t="s">
        <v>2175</v>
      </c>
      <c r="K552" s="39">
        <v>45491</v>
      </c>
      <c r="L552" s="33" t="s">
        <v>58</v>
      </c>
      <c r="M552" s="41">
        <v>352000</v>
      </c>
      <c r="N552" s="34">
        <f t="shared" si="16"/>
        <v>1630.4</v>
      </c>
      <c r="O552" s="36">
        <f t="shared" si="17"/>
        <v>101.9</v>
      </c>
      <c r="P552" s="35">
        <v>500</v>
      </c>
    </row>
    <row r="553" spans="1:16" x14ac:dyDescent="0.25">
      <c r="A553" s="37" t="s">
        <v>664</v>
      </c>
      <c r="B553" s="37"/>
      <c r="C553" s="40" t="s">
        <v>53</v>
      </c>
      <c r="D553" s="39">
        <v>45491</v>
      </c>
      <c r="E553" s="39">
        <v>45856</v>
      </c>
      <c r="F553" s="37" t="s">
        <v>1455</v>
      </c>
      <c r="G553" s="37" t="s">
        <v>62</v>
      </c>
      <c r="H553" s="41">
        <v>9550</v>
      </c>
      <c r="I553" s="42">
        <v>7802</v>
      </c>
      <c r="J553" s="37" t="s">
        <v>2176</v>
      </c>
      <c r="K553" s="39">
        <v>45491</v>
      </c>
      <c r="L553" s="33" t="s">
        <v>58</v>
      </c>
      <c r="M553" s="41">
        <v>382000</v>
      </c>
      <c r="N553" s="34">
        <f t="shared" si="16"/>
        <v>1248.32</v>
      </c>
      <c r="O553" s="36">
        <f t="shared" si="17"/>
        <v>78.02</v>
      </c>
      <c r="P553" s="35">
        <v>500</v>
      </c>
    </row>
    <row r="554" spans="1:16" x14ac:dyDescent="0.25">
      <c r="A554" s="37" t="s">
        <v>665</v>
      </c>
      <c r="B554" s="37"/>
      <c r="C554" s="40" t="s">
        <v>32</v>
      </c>
      <c r="D554" s="39">
        <v>45491</v>
      </c>
      <c r="E554" s="39">
        <v>45856</v>
      </c>
      <c r="F554" s="37" t="s">
        <v>1456</v>
      </c>
      <c r="G554" s="37" t="s">
        <v>61</v>
      </c>
      <c r="H554" s="41">
        <v>12320</v>
      </c>
      <c r="I554" s="42">
        <v>10190</v>
      </c>
      <c r="J554" s="37" t="s">
        <v>2177</v>
      </c>
      <c r="K554" s="39">
        <v>45491</v>
      </c>
      <c r="L554" s="33" t="s">
        <v>58</v>
      </c>
      <c r="M554" s="41">
        <v>352000</v>
      </c>
      <c r="N554" s="34">
        <f t="shared" si="16"/>
        <v>1630.4</v>
      </c>
      <c r="O554" s="36">
        <f t="shared" si="17"/>
        <v>101.9</v>
      </c>
      <c r="P554" s="35">
        <v>500</v>
      </c>
    </row>
    <row r="555" spans="1:16" x14ac:dyDescent="0.25">
      <c r="A555" s="37" t="s">
        <v>666</v>
      </c>
      <c r="B555" s="37"/>
      <c r="C555" s="40" t="s">
        <v>32</v>
      </c>
      <c r="D555" s="39">
        <v>45491</v>
      </c>
      <c r="E555" s="39">
        <v>45856</v>
      </c>
      <c r="F555" s="37" t="s">
        <v>1457</v>
      </c>
      <c r="G555" s="37" t="s">
        <v>61</v>
      </c>
      <c r="H555" s="41">
        <v>12320</v>
      </c>
      <c r="I555" s="42">
        <v>10190</v>
      </c>
      <c r="J555" s="37" t="s">
        <v>2178</v>
      </c>
      <c r="K555" s="39">
        <v>45491</v>
      </c>
      <c r="L555" s="33" t="s">
        <v>58</v>
      </c>
      <c r="M555" s="41">
        <v>352000</v>
      </c>
      <c r="N555" s="34">
        <f t="shared" si="16"/>
        <v>1630.4</v>
      </c>
      <c r="O555" s="36">
        <f t="shared" si="17"/>
        <v>101.9</v>
      </c>
      <c r="P555" s="35">
        <v>500</v>
      </c>
    </row>
    <row r="556" spans="1:16" x14ac:dyDescent="0.25">
      <c r="A556" s="37" t="s">
        <v>667</v>
      </c>
      <c r="B556" s="37"/>
      <c r="C556" s="40" t="s">
        <v>32</v>
      </c>
      <c r="D556" s="39">
        <v>45857</v>
      </c>
      <c r="E556" s="39">
        <v>46222</v>
      </c>
      <c r="F556" s="37" t="s">
        <v>1457</v>
      </c>
      <c r="G556" s="37" t="s">
        <v>61</v>
      </c>
      <c r="H556" s="41">
        <v>12320</v>
      </c>
      <c r="I556" s="42">
        <v>10190</v>
      </c>
      <c r="J556" s="37" t="s">
        <v>2178</v>
      </c>
      <c r="K556" s="39">
        <v>45491</v>
      </c>
      <c r="L556" s="33" t="s">
        <v>58</v>
      </c>
      <c r="M556" s="41">
        <v>352000</v>
      </c>
      <c r="N556" s="34">
        <f t="shared" si="16"/>
        <v>1630.4</v>
      </c>
      <c r="O556" s="36">
        <f t="shared" si="17"/>
        <v>101.9</v>
      </c>
      <c r="P556" s="35">
        <v>500</v>
      </c>
    </row>
    <row r="557" spans="1:16" x14ac:dyDescent="0.25">
      <c r="A557" s="37" t="s">
        <v>668</v>
      </c>
      <c r="B557" s="37"/>
      <c r="C557" s="40" t="s">
        <v>32</v>
      </c>
      <c r="D557" s="39">
        <v>45491</v>
      </c>
      <c r="E557" s="39">
        <v>45856</v>
      </c>
      <c r="F557" s="37" t="s">
        <v>1458</v>
      </c>
      <c r="G557" s="37" t="s">
        <v>62</v>
      </c>
      <c r="H557" s="41">
        <v>13370</v>
      </c>
      <c r="I557" s="42">
        <v>11095</v>
      </c>
      <c r="J557" s="37" t="s">
        <v>2179</v>
      </c>
      <c r="K557" s="39">
        <v>45491</v>
      </c>
      <c r="L557" s="33" t="s">
        <v>58</v>
      </c>
      <c r="M557" s="41">
        <v>382000</v>
      </c>
      <c r="N557" s="34">
        <f t="shared" si="16"/>
        <v>1775.2</v>
      </c>
      <c r="O557" s="36">
        <f t="shared" si="17"/>
        <v>110.95</v>
      </c>
      <c r="P557" s="35">
        <v>500</v>
      </c>
    </row>
    <row r="558" spans="1:16" x14ac:dyDescent="0.25">
      <c r="A558" s="37" t="s">
        <v>669</v>
      </c>
      <c r="B558" s="37"/>
      <c r="C558" s="40" t="s">
        <v>32</v>
      </c>
      <c r="D558" s="39">
        <v>45857</v>
      </c>
      <c r="E558" s="39">
        <v>46222</v>
      </c>
      <c r="F558" s="37" t="s">
        <v>1458</v>
      </c>
      <c r="G558" s="37" t="s">
        <v>62</v>
      </c>
      <c r="H558" s="41">
        <v>13370</v>
      </c>
      <c r="I558" s="42">
        <v>11095</v>
      </c>
      <c r="J558" s="37" t="s">
        <v>2179</v>
      </c>
      <c r="K558" s="39">
        <v>45491</v>
      </c>
      <c r="L558" s="33" t="s">
        <v>58</v>
      </c>
      <c r="M558" s="41">
        <v>382000</v>
      </c>
      <c r="N558" s="34">
        <f t="shared" si="16"/>
        <v>1775.2</v>
      </c>
      <c r="O558" s="36">
        <f t="shared" si="17"/>
        <v>110.95</v>
      </c>
      <c r="P558" s="35">
        <v>500</v>
      </c>
    </row>
    <row r="559" spans="1:16" x14ac:dyDescent="0.25">
      <c r="A559" s="37" t="s">
        <v>670</v>
      </c>
      <c r="B559" s="37"/>
      <c r="C559" s="40" t="s">
        <v>37</v>
      </c>
      <c r="D559" s="39">
        <v>45491</v>
      </c>
      <c r="E559" s="39">
        <v>45856</v>
      </c>
      <c r="F559" s="37" t="s">
        <v>57</v>
      </c>
      <c r="G559" s="37" t="s">
        <v>62</v>
      </c>
      <c r="H559" s="41">
        <v>9550</v>
      </c>
      <c r="I559" s="42">
        <v>7802</v>
      </c>
      <c r="J559" s="37" t="s">
        <v>2180</v>
      </c>
      <c r="K559" s="39">
        <v>45491</v>
      </c>
      <c r="L559" s="33" t="s">
        <v>58</v>
      </c>
      <c r="M559" s="41">
        <v>382000</v>
      </c>
      <c r="N559" s="34">
        <f t="shared" si="16"/>
        <v>1248.32</v>
      </c>
      <c r="O559" s="36">
        <f t="shared" si="17"/>
        <v>78.02</v>
      </c>
      <c r="P559" s="35">
        <v>500</v>
      </c>
    </row>
    <row r="560" spans="1:16" x14ac:dyDescent="0.25">
      <c r="A560" s="37" t="s">
        <v>671</v>
      </c>
      <c r="B560" s="37"/>
      <c r="C560" s="40" t="s">
        <v>32</v>
      </c>
      <c r="D560" s="39">
        <v>45491</v>
      </c>
      <c r="E560" s="39">
        <v>45856</v>
      </c>
      <c r="F560" s="37" t="s">
        <v>1458</v>
      </c>
      <c r="G560" s="37" t="s">
        <v>62</v>
      </c>
      <c r="H560" s="41">
        <v>13370</v>
      </c>
      <c r="I560" s="42">
        <v>11095</v>
      </c>
      <c r="J560" s="37" t="s">
        <v>2181</v>
      </c>
      <c r="K560" s="39">
        <v>45491</v>
      </c>
      <c r="L560" s="33" t="s">
        <v>58</v>
      </c>
      <c r="M560" s="41">
        <v>382000</v>
      </c>
      <c r="N560" s="34">
        <f t="shared" si="16"/>
        <v>1775.2</v>
      </c>
      <c r="O560" s="36">
        <f t="shared" si="17"/>
        <v>110.95</v>
      </c>
      <c r="P560" s="35">
        <v>500</v>
      </c>
    </row>
    <row r="561" spans="1:16" x14ac:dyDescent="0.25">
      <c r="A561" s="37" t="s">
        <v>672</v>
      </c>
      <c r="B561" s="37"/>
      <c r="C561" s="40" t="s">
        <v>32</v>
      </c>
      <c r="D561" s="39">
        <v>45857</v>
      </c>
      <c r="E561" s="39">
        <v>46222</v>
      </c>
      <c r="F561" s="37" t="s">
        <v>1458</v>
      </c>
      <c r="G561" s="37" t="s">
        <v>62</v>
      </c>
      <c r="H561" s="41">
        <v>13370</v>
      </c>
      <c r="I561" s="42">
        <v>11095</v>
      </c>
      <c r="J561" s="37" t="s">
        <v>2181</v>
      </c>
      <c r="K561" s="39">
        <v>45491</v>
      </c>
      <c r="L561" s="33" t="s">
        <v>58</v>
      </c>
      <c r="M561" s="41">
        <v>382000</v>
      </c>
      <c r="N561" s="34">
        <f t="shared" si="16"/>
        <v>1775.2</v>
      </c>
      <c r="O561" s="36">
        <f t="shared" si="17"/>
        <v>110.95</v>
      </c>
      <c r="P561" s="35">
        <v>500</v>
      </c>
    </row>
    <row r="562" spans="1:16" x14ac:dyDescent="0.25">
      <c r="A562" s="37" t="s">
        <v>673</v>
      </c>
      <c r="B562" s="37"/>
      <c r="C562" s="40" t="s">
        <v>32</v>
      </c>
      <c r="D562" s="39">
        <v>45491</v>
      </c>
      <c r="E562" s="39">
        <v>45856</v>
      </c>
      <c r="F562" s="37" t="s">
        <v>1458</v>
      </c>
      <c r="G562" s="37" t="s">
        <v>62</v>
      </c>
      <c r="H562" s="41">
        <v>13370</v>
      </c>
      <c r="I562" s="42">
        <v>11095</v>
      </c>
      <c r="J562" s="37" t="s">
        <v>2182</v>
      </c>
      <c r="K562" s="39">
        <v>45491</v>
      </c>
      <c r="L562" s="33" t="s">
        <v>58</v>
      </c>
      <c r="M562" s="41">
        <v>382000</v>
      </c>
      <c r="N562" s="34">
        <f t="shared" si="16"/>
        <v>1775.2</v>
      </c>
      <c r="O562" s="36">
        <f t="shared" si="17"/>
        <v>110.95</v>
      </c>
      <c r="P562" s="35">
        <v>500</v>
      </c>
    </row>
    <row r="563" spans="1:16" x14ac:dyDescent="0.25">
      <c r="A563" s="37" t="s">
        <v>674</v>
      </c>
      <c r="B563" s="37"/>
      <c r="C563" s="40" t="s">
        <v>32</v>
      </c>
      <c r="D563" s="39">
        <v>45857</v>
      </c>
      <c r="E563" s="39">
        <v>46222</v>
      </c>
      <c r="F563" s="37" t="s">
        <v>1458</v>
      </c>
      <c r="G563" s="37" t="s">
        <v>62</v>
      </c>
      <c r="H563" s="41">
        <v>13370</v>
      </c>
      <c r="I563" s="42">
        <v>11095</v>
      </c>
      <c r="J563" s="37" t="s">
        <v>2182</v>
      </c>
      <c r="K563" s="39">
        <v>45491</v>
      </c>
      <c r="L563" s="33" t="s">
        <v>58</v>
      </c>
      <c r="M563" s="41">
        <v>382000</v>
      </c>
      <c r="N563" s="34">
        <f t="shared" si="16"/>
        <v>1775.2</v>
      </c>
      <c r="O563" s="36">
        <f t="shared" si="17"/>
        <v>110.95</v>
      </c>
      <c r="P563" s="35">
        <v>500</v>
      </c>
    </row>
    <row r="564" spans="1:16" x14ac:dyDescent="0.25">
      <c r="A564" s="37" t="s">
        <v>675</v>
      </c>
      <c r="B564" s="37"/>
      <c r="C564" s="40" t="s">
        <v>50</v>
      </c>
      <c r="D564" s="39">
        <v>45492</v>
      </c>
      <c r="E564" s="39">
        <v>45857</v>
      </c>
      <c r="F564" s="37" t="s">
        <v>1459</v>
      </c>
      <c r="G564" s="37" t="s">
        <v>62</v>
      </c>
      <c r="H564" s="41">
        <v>9550</v>
      </c>
      <c r="I564" s="42">
        <v>7802</v>
      </c>
      <c r="J564" s="37" t="s">
        <v>2183</v>
      </c>
      <c r="K564" s="39">
        <v>45492</v>
      </c>
      <c r="L564" s="33" t="s">
        <v>58</v>
      </c>
      <c r="M564" s="41">
        <v>382001</v>
      </c>
      <c r="N564" s="34">
        <f t="shared" si="16"/>
        <v>1248.32</v>
      </c>
      <c r="O564" s="36">
        <f t="shared" si="17"/>
        <v>78.02</v>
      </c>
      <c r="P564" s="35">
        <v>500</v>
      </c>
    </row>
    <row r="565" spans="1:16" x14ac:dyDescent="0.25">
      <c r="A565" s="37" t="s">
        <v>676</v>
      </c>
      <c r="B565" s="37"/>
      <c r="C565" s="40" t="s">
        <v>66</v>
      </c>
      <c r="D565" s="39">
        <v>45492</v>
      </c>
      <c r="E565" s="39">
        <v>45857</v>
      </c>
      <c r="F565" s="37" t="s">
        <v>1460</v>
      </c>
      <c r="G565" s="37" t="s">
        <v>62</v>
      </c>
      <c r="H565" s="41">
        <v>9550</v>
      </c>
      <c r="I565" s="42">
        <v>7802</v>
      </c>
      <c r="J565" s="37" t="s">
        <v>2184</v>
      </c>
      <c r="K565" s="39">
        <v>45492</v>
      </c>
      <c r="L565" s="33" t="s">
        <v>58</v>
      </c>
      <c r="M565" s="41">
        <v>382001</v>
      </c>
      <c r="N565" s="34">
        <f t="shared" si="16"/>
        <v>1248.32</v>
      </c>
      <c r="O565" s="36">
        <f t="shared" si="17"/>
        <v>78.02</v>
      </c>
      <c r="P565" s="35">
        <v>500</v>
      </c>
    </row>
    <row r="566" spans="1:16" x14ac:dyDescent="0.25">
      <c r="A566" s="37" t="s">
        <v>677</v>
      </c>
      <c r="B566" s="37"/>
      <c r="C566" s="40" t="s">
        <v>66</v>
      </c>
      <c r="D566" s="39">
        <v>45492</v>
      </c>
      <c r="E566" s="39">
        <v>45857</v>
      </c>
      <c r="F566" s="37" t="s">
        <v>1461</v>
      </c>
      <c r="G566" s="37" t="s">
        <v>61</v>
      </c>
      <c r="H566" s="41">
        <v>8800</v>
      </c>
      <c r="I566" s="42">
        <v>7155</v>
      </c>
      <c r="J566" s="37" t="s">
        <v>2185</v>
      </c>
      <c r="K566" s="39">
        <v>45492</v>
      </c>
      <c r="L566" s="33" t="s">
        <v>58</v>
      </c>
      <c r="M566" s="41">
        <v>352001</v>
      </c>
      <c r="N566" s="34">
        <f t="shared" si="16"/>
        <v>1144.8</v>
      </c>
      <c r="O566" s="36">
        <f t="shared" si="17"/>
        <v>71.55</v>
      </c>
      <c r="P566" s="35">
        <v>500</v>
      </c>
    </row>
    <row r="567" spans="1:16" x14ac:dyDescent="0.25">
      <c r="A567" s="37" t="s">
        <v>678</v>
      </c>
      <c r="B567" s="37"/>
      <c r="C567" s="40" t="s">
        <v>66</v>
      </c>
      <c r="D567" s="39">
        <v>45492</v>
      </c>
      <c r="E567" s="39">
        <v>45857</v>
      </c>
      <c r="F567" s="37" t="s">
        <v>1462</v>
      </c>
      <c r="G567" s="37" t="s">
        <v>61</v>
      </c>
      <c r="H567" s="41">
        <v>8800</v>
      </c>
      <c r="I567" s="42">
        <v>7155</v>
      </c>
      <c r="J567" s="37" t="s">
        <v>2186</v>
      </c>
      <c r="K567" s="39">
        <v>45492</v>
      </c>
      <c r="L567" s="33" t="s">
        <v>58</v>
      </c>
      <c r="M567" s="41">
        <v>352001</v>
      </c>
      <c r="N567" s="34">
        <f t="shared" si="16"/>
        <v>1144.8</v>
      </c>
      <c r="O567" s="36">
        <f t="shared" si="17"/>
        <v>71.55</v>
      </c>
      <c r="P567" s="35">
        <v>500</v>
      </c>
    </row>
    <row r="568" spans="1:16" x14ac:dyDescent="0.25">
      <c r="A568" s="37" t="s">
        <v>679</v>
      </c>
      <c r="B568" s="37"/>
      <c r="C568" s="40" t="s">
        <v>32</v>
      </c>
      <c r="D568" s="39">
        <v>45492</v>
      </c>
      <c r="E568" s="39">
        <v>45857</v>
      </c>
      <c r="F568" s="37" t="s">
        <v>1463</v>
      </c>
      <c r="G568" s="37" t="s">
        <v>62</v>
      </c>
      <c r="H568" s="41">
        <v>13370</v>
      </c>
      <c r="I568" s="42">
        <v>11095</v>
      </c>
      <c r="J568" s="37" t="s">
        <v>2187</v>
      </c>
      <c r="K568" s="39">
        <v>45492</v>
      </c>
      <c r="L568" s="33" t="s">
        <v>58</v>
      </c>
      <c r="M568" s="41">
        <v>382000</v>
      </c>
      <c r="N568" s="34">
        <f t="shared" si="16"/>
        <v>1775.2</v>
      </c>
      <c r="O568" s="36">
        <f t="shared" si="17"/>
        <v>110.95</v>
      </c>
      <c r="P568" s="35">
        <v>500</v>
      </c>
    </row>
    <row r="569" spans="1:16" x14ac:dyDescent="0.25">
      <c r="A569" s="37" t="s">
        <v>680</v>
      </c>
      <c r="B569" s="37"/>
      <c r="C569" s="40" t="s">
        <v>32</v>
      </c>
      <c r="D569" s="39">
        <v>45858</v>
      </c>
      <c r="E569" s="39">
        <v>46223</v>
      </c>
      <c r="F569" s="37" t="s">
        <v>1463</v>
      </c>
      <c r="G569" s="37" t="s">
        <v>62</v>
      </c>
      <c r="H569" s="41">
        <v>13370</v>
      </c>
      <c r="I569" s="42">
        <v>11095</v>
      </c>
      <c r="J569" s="37" t="s">
        <v>2187</v>
      </c>
      <c r="K569" s="39">
        <v>45492</v>
      </c>
      <c r="L569" s="33" t="s">
        <v>58</v>
      </c>
      <c r="M569" s="41">
        <v>382000</v>
      </c>
      <c r="N569" s="34">
        <f t="shared" si="16"/>
        <v>1775.2</v>
      </c>
      <c r="O569" s="36">
        <f t="shared" si="17"/>
        <v>110.95</v>
      </c>
      <c r="P569" s="35">
        <v>500</v>
      </c>
    </row>
    <row r="570" spans="1:16" x14ac:dyDescent="0.25">
      <c r="A570" s="37" t="s">
        <v>681</v>
      </c>
      <c r="B570" s="37"/>
      <c r="C570" s="40" t="s">
        <v>31</v>
      </c>
      <c r="D570" s="39">
        <v>45492</v>
      </c>
      <c r="E570" s="39">
        <v>45857</v>
      </c>
      <c r="F570" s="37" t="s">
        <v>68</v>
      </c>
      <c r="G570" s="37" t="s">
        <v>61</v>
      </c>
      <c r="H570" s="41">
        <v>12320</v>
      </c>
      <c r="I570" s="42">
        <v>10190</v>
      </c>
      <c r="J570" s="37" t="s">
        <v>2188</v>
      </c>
      <c r="K570" s="39">
        <v>45492</v>
      </c>
      <c r="L570" s="33" t="s">
        <v>58</v>
      </c>
      <c r="M570" s="41">
        <v>352000</v>
      </c>
      <c r="N570" s="34">
        <f t="shared" si="16"/>
        <v>1630.4</v>
      </c>
      <c r="O570" s="36">
        <f t="shared" si="17"/>
        <v>101.9</v>
      </c>
      <c r="P570" s="35">
        <v>500</v>
      </c>
    </row>
    <row r="571" spans="1:16" x14ac:dyDescent="0.25">
      <c r="A571" s="37" t="s">
        <v>682</v>
      </c>
      <c r="B571" s="37"/>
      <c r="C571" s="40" t="s">
        <v>31</v>
      </c>
      <c r="D571" s="39">
        <v>45858</v>
      </c>
      <c r="E571" s="39">
        <v>46223</v>
      </c>
      <c r="F571" s="37" t="s">
        <v>68</v>
      </c>
      <c r="G571" s="37" t="s">
        <v>61</v>
      </c>
      <c r="H571" s="41">
        <v>12320</v>
      </c>
      <c r="I571" s="42">
        <v>10190</v>
      </c>
      <c r="J571" s="37" t="s">
        <v>2188</v>
      </c>
      <c r="K571" s="39">
        <v>45492</v>
      </c>
      <c r="L571" s="33" t="s">
        <v>58</v>
      </c>
      <c r="M571" s="41">
        <v>352000</v>
      </c>
      <c r="N571" s="34">
        <f t="shared" si="16"/>
        <v>1630.4</v>
      </c>
      <c r="O571" s="36">
        <f t="shared" si="17"/>
        <v>101.9</v>
      </c>
      <c r="P571" s="35">
        <v>500</v>
      </c>
    </row>
    <row r="572" spans="1:16" x14ac:dyDescent="0.25">
      <c r="A572" s="37" t="s">
        <v>683</v>
      </c>
      <c r="B572" s="37"/>
      <c r="C572" s="40" t="s">
        <v>30</v>
      </c>
      <c r="D572" s="39">
        <v>45492</v>
      </c>
      <c r="E572" s="39">
        <v>45857</v>
      </c>
      <c r="F572" s="37" t="s">
        <v>1464</v>
      </c>
      <c r="G572" s="37" t="s">
        <v>61</v>
      </c>
      <c r="H572" s="41">
        <v>12320</v>
      </c>
      <c r="I572" s="42">
        <v>10190</v>
      </c>
      <c r="J572" s="37" t="s">
        <v>2190</v>
      </c>
      <c r="K572" s="39">
        <v>45492</v>
      </c>
      <c r="L572" s="33" t="s">
        <v>58</v>
      </c>
      <c r="M572" s="41">
        <v>352000</v>
      </c>
      <c r="N572" s="34">
        <f t="shared" si="16"/>
        <v>1630.4</v>
      </c>
      <c r="O572" s="36">
        <f t="shared" si="17"/>
        <v>101.9</v>
      </c>
      <c r="P572" s="35">
        <v>500</v>
      </c>
    </row>
    <row r="573" spans="1:16" x14ac:dyDescent="0.25">
      <c r="A573" s="37" t="s">
        <v>683</v>
      </c>
      <c r="B573" s="37"/>
      <c r="C573" s="40" t="s">
        <v>32</v>
      </c>
      <c r="D573" s="39">
        <v>45492</v>
      </c>
      <c r="E573" s="39">
        <v>45857</v>
      </c>
      <c r="F573" s="37" t="s">
        <v>1465</v>
      </c>
      <c r="G573" s="37" t="s">
        <v>61</v>
      </c>
      <c r="H573" s="41">
        <v>19145</v>
      </c>
      <c r="I573" s="42">
        <v>16073</v>
      </c>
      <c r="J573" s="37" t="s">
        <v>2191</v>
      </c>
      <c r="K573" s="39">
        <v>45492</v>
      </c>
      <c r="L573" s="33" t="s">
        <v>58</v>
      </c>
      <c r="M573" s="41">
        <v>547000</v>
      </c>
      <c r="N573" s="34">
        <f t="shared" si="16"/>
        <v>2571.6799999999998</v>
      </c>
      <c r="O573" s="36">
        <f t="shared" si="17"/>
        <v>160.72999999999999</v>
      </c>
      <c r="P573" s="35">
        <v>500</v>
      </c>
    </row>
    <row r="574" spans="1:16" x14ac:dyDescent="0.25">
      <c r="A574" s="37" t="s">
        <v>684</v>
      </c>
      <c r="B574" s="37"/>
      <c r="C574" s="40" t="s">
        <v>30</v>
      </c>
      <c r="D574" s="39">
        <v>45858</v>
      </c>
      <c r="E574" s="39">
        <v>46223</v>
      </c>
      <c r="F574" s="37" t="s">
        <v>1464</v>
      </c>
      <c r="G574" s="37" t="s">
        <v>61</v>
      </c>
      <c r="H574" s="41">
        <v>12320</v>
      </c>
      <c r="I574" s="42">
        <v>10190</v>
      </c>
      <c r="J574" s="37" t="s">
        <v>2190</v>
      </c>
      <c r="K574" s="39">
        <v>45492</v>
      </c>
      <c r="L574" s="33" t="s">
        <v>58</v>
      </c>
      <c r="M574" s="41">
        <v>352000</v>
      </c>
      <c r="N574" s="34">
        <f t="shared" si="16"/>
        <v>1630.4</v>
      </c>
      <c r="O574" s="36">
        <f t="shared" si="17"/>
        <v>101.9</v>
      </c>
      <c r="P574" s="35">
        <v>500</v>
      </c>
    </row>
    <row r="575" spans="1:16" x14ac:dyDescent="0.25">
      <c r="A575" s="37" t="s">
        <v>684</v>
      </c>
      <c r="B575" s="37"/>
      <c r="C575" s="40" t="s">
        <v>32</v>
      </c>
      <c r="D575" s="39">
        <v>45858</v>
      </c>
      <c r="E575" s="39">
        <v>46223</v>
      </c>
      <c r="F575" s="37" t="s">
        <v>1465</v>
      </c>
      <c r="G575" s="37" t="s">
        <v>61</v>
      </c>
      <c r="H575" s="41">
        <v>19145</v>
      </c>
      <c r="I575" s="42">
        <v>16073</v>
      </c>
      <c r="J575" s="37" t="s">
        <v>2191</v>
      </c>
      <c r="K575" s="39">
        <v>45492</v>
      </c>
      <c r="L575" s="33" t="s">
        <v>58</v>
      </c>
      <c r="M575" s="41">
        <v>547000</v>
      </c>
      <c r="N575" s="34">
        <f t="shared" si="16"/>
        <v>2571.6799999999998</v>
      </c>
      <c r="O575" s="36">
        <f t="shared" si="17"/>
        <v>160.72999999999999</v>
      </c>
      <c r="P575" s="35">
        <v>500</v>
      </c>
    </row>
    <row r="576" spans="1:16" x14ac:dyDescent="0.25">
      <c r="A576" s="37" t="s">
        <v>685</v>
      </c>
      <c r="B576" s="37"/>
      <c r="C576" s="40" t="s">
        <v>32</v>
      </c>
      <c r="D576" s="39">
        <v>45492</v>
      </c>
      <c r="E576" s="39">
        <v>45857</v>
      </c>
      <c r="F576" s="37" t="s">
        <v>79</v>
      </c>
      <c r="G576" s="37" t="s">
        <v>61</v>
      </c>
      <c r="H576" s="41">
        <v>12320</v>
      </c>
      <c r="I576" s="42">
        <v>10190</v>
      </c>
      <c r="J576" s="37" t="s">
        <v>2193</v>
      </c>
      <c r="K576" s="39">
        <v>45492</v>
      </c>
      <c r="L576" s="33" t="s">
        <v>58</v>
      </c>
      <c r="M576" s="41">
        <v>352000</v>
      </c>
      <c r="N576" s="34">
        <f t="shared" si="16"/>
        <v>1630.4</v>
      </c>
      <c r="O576" s="36">
        <f t="shared" si="17"/>
        <v>101.9</v>
      </c>
      <c r="P576" s="35">
        <v>500</v>
      </c>
    </row>
    <row r="577" spans="1:16" x14ac:dyDescent="0.25">
      <c r="A577" s="37" t="s">
        <v>686</v>
      </c>
      <c r="B577" s="37"/>
      <c r="C577" s="40" t="s">
        <v>32</v>
      </c>
      <c r="D577" s="39">
        <v>45858</v>
      </c>
      <c r="E577" s="39">
        <v>46223</v>
      </c>
      <c r="F577" s="37" t="s">
        <v>79</v>
      </c>
      <c r="G577" s="37" t="s">
        <v>61</v>
      </c>
      <c r="H577" s="41">
        <v>12320</v>
      </c>
      <c r="I577" s="42">
        <v>10190</v>
      </c>
      <c r="J577" s="37" t="s">
        <v>2193</v>
      </c>
      <c r="K577" s="39">
        <v>45492</v>
      </c>
      <c r="L577" s="33" t="s">
        <v>58</v>
      </c>
      <c r="M577" s="41">
        <v>352000</v>
      </c>
      <c r="N577" s="34">
        <f t="shared" si="16"/>
        <v>1630.4</v>
      </c>
      <c r="O577" s="36">
        <f t="shared" si="17"/>
        <v>101.9</v>
      </c>
      <c r="P577" s="35">
        <v>500</v>
      </c>
    </row>
    <row r="578" spans="1:16" x14ac:dyDescent="0.25">
      <c r="A578" s="37" t="s">
        <v>687</v>
      </c>
      <c r="B578" s="37"/>
      <c r="C578" s="40" t="s">
        <v>54</v>
      </c>
      <c r="D578" s="39">
        <v>45492</v>
      </c>
      <c r="E578" s="39">
        <v>45857</v>
      </c>
      <c r="F578" s="37" t="s">
        <v>1466</v>
      </c>
      <c r="G578" s="37" t="s">
        <v>64</v>
      </c>
      <c r="H578" s="41">
        <v>12475</v>
      </c>
      <c r="I578" s="42">
        <v>10323</v>
      </c>
      <c r="J578" s="37" t="s">
        <v>2194</v>
      </c>
      <c r="K578" s="39">
        <v>45492</v>
      </c>
      <c r="L578" s="33" t="s">
        <v>58</v>
      </c>
      <c r="M578" s="41">
        <v>499000</v>
      </c>
      <c r="N578" s="34">
        <f t="shared" ref="N578:N640" si="18">I578*16/100</f>
        <v>1651.68</v>
      </c>
      <c r="O578" s="36">
        <f t="shared" ref="O578:O640" si="19">I578*1/100</f>
        <v>103.23</v>
      </c>
      <c r="P578" s="35">
        <v>500</v>
      </c>
    </row>
    <row r="579" spans="1:16" x14ac:dyDescent="0.25">
      <c r="A579" s="37" t="s">
        <v>688</v>
      </c>
      <c r="B579" s="37"/>
      <c r="C579" s="40" t="s">
        <v>30</v>
      </c>
      <c r="D579" s="39">
        <v>45492</v>
      </c>
      <c r="E579" s="39">
        <v>45857</v>
      </c>
      <c r="F579" s="37" t="s">
        <v>1467</v>
      </c>
      <c r="G579" s="37" t="s">
        <v>61</v>
      </c>
      <c r="H579" s="41">
        <v>12320</v>
      </c>
      <c r="I579" s="42">
        <v>10190</v>
      </c>
      <c r="J579" s="37" t="s">
        <v>2195</v>
      </c>
      <c r="K579" s="39">
        <v>45492</v>
      </c>
      <c r="L579" s="33" t="s">
        <v>58</v>
      </c>
      <c r="M579" s="41">
        <v>352000</v>
      </c>
      <c r="N579" s="34">
        <f t="shared" si="18"/>
        <v>1630.4</v>
      </c>
      <c r="O579" s="36">
        <f t="shared" si="19"/>
        <v>101.9</v>
      </c>
      <c r="P579" s="35">
        <v>500</v>
      </c>
    </row>
    <row r="580" spans="1:16" x14ac:dyDescent="0.25">
      <c r="A580" s="37" t="s">
        <v>689</v>
      </c>
      <c r="B580" s="37"/>
      <c r="C580" s="40" t="s">
        <v>30</v>
      </c>
      <c r="D580" s="39">
        <v>45858</v>
      </c>
      <c r="E580" s="39">
        <v>46223</v>
      </c>
      <c r="F580" s="37" t="s">
        <v>1467</v>
      </c>
      <c r="G580" s="37" t="s">
        <v>61</v>
      </c>
      <c r="H580" s="41">
        <v>12320</v>
      </c>
      <c r="I580" s="42">
        <v>10190</v>
      </c>
      <c r="J580" s="37" t="s">
        <v>2195</v>
      </c>
      <c r="K580" s="39">
        <v>45492</v>
      </c>
      <c r="L580" s="33" t="s">
        <v>58</v>
      </c>
      <c r="M580" s="41">
        <v>352000</v>
      </c>
      <c r="N580" s="34">
        <f t="shared" si="18"/>
        <v>1630.4</v>
      </c>
      <c r="O580" s="36">
        <f t="shared" si="19"/>
        <v>101.9</v>
      </c>
      <c r="P580" s="35">
        <v>500</v>
      </c>
    </row>
    <row r="581" spans="1:16" x14ac:dyDescent="0.25">
      <c r="A581" s="37" t="s">
        <v>690</v>
      </c>
      <c r="B581" s="37"/>
      <c r="C581" s="40" t="s">
        <v>32</v>
      </c>
      <c r="D581" s="39">
        <v>45492</v>
      </c>
      <c r="E581" s="39">
        <v>45857</v>
      </c>
      <c r="F581" s="37" t="s">
        <v>1468</v>
      </c>
      <c r="G581" s="37" t="s">
        <v>65</v>
      </c>
      <c r="H581" s="41">
        <v>13370</v>
      </c>
      <c r="I581" s="42">
        <v>11095</v>
      </c>
      <c r="J581" s="37" t="s">
        <v>2196</v>
      </c>
      <c r="K581" s="39">
        <v>45492</v>
      </c>
      <c r="L581" s="33" t="s">
        <v>58</v>
      </c>
      <c r="M581" s="41">
        <v>382000</v>
      </c>
      <c r="N581" s="34">
        <f t="shared" si="18"/>
        <v>1775.2</v>
      </c>
      <c r="O581" s="36">
        <f t="shared" si="19"/>
        <v>110.95</v>
      </c>
      <c r="P581" s="35">
        <v>500</v>
      </c>
    </row>
    <row r="582" spans="1:16" x14ac:dyDescent="0.25">
      <c r="A582" s="37" t="s">
        <v>691</v>
      </c>
      <c r="B582" s="37"/>
      <c r="C582" s="40" t="s">
        <v>32</v>
      </c>
      <c r="D582" s="39">
        <v>45858</v>
      </c>
      <c r="E582" s="39">
        <v>46223</v>
      </c>
      <c r="F582" s="37" t="s">
        <v>1468</v>
      </c>
      <c r="G582" s="37" t="s">
        <v>65</v>
      </c>
      <c r="H582" s="41">
        <v>13370</v>
      </c>
      <c r="I582" s="42">
        <v>11095</v>
      </c>
      <c r="J582" s="37" t="s">
        <v>2196</v>
      </c>
      <c r="K582" s="39">
        <v>45492</v>
      </c>
      <c r="L582" s="33" t="s">
        <v>58</v>
      </c>
      <c r="M582" s="41">
        <v>382000</v>
      </c>
      <c r="N582" s="34">
        <f t="shared" si="18"/>
        <v>1775.2</v>
      </c>
      <c r="O582" s="36">
        <f t="shared" si="19"/>
        <v>110.95</v>
      </c>
      <c r="P582" s="35">
        <v>500</v>
      </c>
    </row>
    <row r="583" spans="1:16" x14ac:dyDescent="0.25">
      <c r="A583" s="37" t="s">
        <v>692</v>
      </c>
      <c r="B583" s="37"/>
      <c r="C583" s="40" t="s">
        <v>36</v>
      </c>
      <c r="D583" s="39">
        <v>45492</v>
      </c>
      <c r="E583" s="39">
        <v>45857</v>
      </c>
      <c r="F583" s="37" t="s">
        <v>1469</v>
      </c>
      <c r="G583" s="37" t="s">
        <v>62</v>
      </c>
      <c r="H583" s="41">
        <v>13370</v>
      </c>
      <c r="I583" s="42">
        <v>11095</v>
      </c>
      <c r="J583" s="37" t="s">
        <v>2197</v>
      </c>
      <c r="K583" s="39">
        <v>45492</v>
      </c>
      <c r="L583" s="33" t="s">
        <v>58</v>
      </c>
      <c r="M583" s="41">
        <v>382000</v>
      </c>
      <c r="N583" s="34">
        <f t="shared" si="18"/>
        <v>1775.2</v>
      </c>
      <c r="O583" s="36">
        <f t="shared" si="19"/>
        <v>110.95</v>
      </c>
      <c r="P583" s="35">
        <v>500</v>
      </c>
    </row>
    <row r="584" spans="1:16" x14ac:dyDescent="0.25">
      <c r="A584" s="37" t="s">
        <v>693</v>
      </c>
      <c r="B584" s="37"/>
      <c r="C584" s="40" t="s">
        <v>32</v>
      </c>
      <c r="D584" s="39">
        <v>45492</v>
      </c>
      <c r="E584" s="39">
        <v>45857</v>
      </c>
      <c r="F584" s="37" t="s">
        <v>1470</v>
      </c>
      <c r="G584" s="37" t="s">
        <v>61</v>
      </c>
      <c r="H584" s="41">
        <v>12320</v>
      </c>
      <c r="I584" s="42">
        <v>10190</v>
      </c>
      <c r="J584" s="37" t="s">
        <v>2198</v>
      </c>
      <c r="K584" s="39">
        <v>45492</v>
      </c>
      <c r="L584" s="33" t="s">
        <v>58</v>
      </c>
      <c r="M584" s="41">
        <v>352000</v>
      </c>
      <c r="N584" s="34">
        <f t="shared" si="18"/>
        <v>1630.4</v>
      </c>
      <c r="O584" s="36">
        <f t="shared" si="19"/>
        <v>101.9</v>
      </c>
      <c r="P584" s="35">
        <v>500</v>
      </c>
    </row>
    <row r="585" spans="1:16" x14ac:dyDescent="0.25">
      <c r="A585" s="37" t="s">
        <v>694</v>
      </c>
      <c r="B585" s="37"/>
      <c r="C585" s="40" t="s">
        <v>32</v>
      </c>
      <c r="D585" s="39">
        <v>45858</v>
      </c>
      <c r="E585" s="39">
        <v>46223</v>
      </c>
      <c r="F585" s="37" t="s">
        <v>1470</v>
      </c>
      <c r="G585" s="37" t="s">
        <v>61</v>
      </c>
      <c r="H585" s="41">
        <v>12320</v>
      </c>
      <c r="I585" s="42">
        <v>10190</v>
      </c>
      <c r="J585" s="37" t="s">
        <v>2198</v>
      </c>
      <c r="K585" s="39">
        <v>45492</v>
      </c>
      <c r="L585" s="33" t="s">
        <v>58</v>
      </c>
      <c r="M585" s="41">
        <v>352000</v>
      </c>
      <c r="N585" s="34">
        <f t="shared" si="18"/>
        <v>1630.4</v>
      </c>
      <c r="O585" s="36">
        <f t="shared" si="19"/>
        <v>101.9</v>
      </c>
      <c r="P585" s="35">
        <v>500</v>
      </c>
    </row>
    <row r="586" spans="1:16" x14ac:dyDescent="0.25">
      <c r="A586" s="37" t="s">
        <v>695</v>
      </c>
      <c r="B586" s="37"/>
      <c r="C586" s="40" t="s">
        <v>51</v>
      </c>
      <c r="D586" s="39">
        <v>45492</v>
      </c>
      <c r="E586" s="39">
        <v>45857</v>
      </c>
      <c r="F586" s="37" t="s">
        <v>1471</v>
      </c>
      <c r="G586" s="37" t="s">
        <v>64</v>
      </c>
      <c r="H586" s="41">
        <v>12475</v>
      </c>
      <c r="I586" s="42">
        <v>10323</v>
      </c>
      <c r="J586" s="37" t="s">
        <v>2199</v>
      </c>
      <c r="K586" s="39">
        <v>45492</v>
      </c>
      <c r="L586" s="33" t="s">
        <v>58</v>
      </c>
      <c r="M586" s="41">
        <v>499000</v>
      </c>
      <c r="N586" s="34">
        <f t="shared" si="18"/>
        <v>1651.68</v>
      </c>
      <c r="O586" s="36">
        <f t="shared" si="19"/>
        <v>103.23</v>
      </c>
      <c r="P586" s="35">
        <v>500</v>
      </c>
    </row>
    <row r="587" spans="1:16" x14ac:dyDescent="0.25">
      <c r="A587" s="37" t="s">
        <v>696</v>
      </c>
      <c r="B587" s="37"/>
      <c r="C587" s="40" t="s">
        <v>51</v>
      </c>
      <c r="D587" s="39">
        <v>45492</v>
      </c>
      <c r="E587" s="39">
        <v>45857</v>
      </c>
      <c r="F587" s="37" t="s">
        <v>1472</v>
      </c>
      <c r="G587" s="37" t="s">
        <v>61</v>
      </c>
      <c r="H587" s="41">
        <v>8800</v>
      </c>
      <c r="I587" s="42">
        <v>7155</v>
      </c>
      <c r="J587" s="37" t="s">
        <v>2200</v>
      </c>
      <c r="K587" s="39">
        <v>45492</v>
      </c>
      <c r="L587" s="33" t="s">
        <v>58</v>
      </c>
      <c r="M587" s="41">
        <v>352000</v>
      </c>
      <c r="N587" s="34">
        <f t="shared" si="18"/>
        <v>1144.8</v>
      </c>
      <c r="O587" s="36">
        <f t="shared" si="19"/>
        <v>71.55</v>
      </c>
      <c r="P587" s="35">
        <v>500</v>
      </c>
    </row>
    <row r="588" spans="1:16" x14ac:dyDescent="0.25">
      <c r="A588" s="37" t="s">
        <v>697</v>
      </c>
      <c r="B588" s="37"/>
      <c r="C588" s="40" t="s">
        <v>35</v>
      </c>
      <c r="D588" s="39">
        <v>45492</v>
      </c>
      <c r="E588" s="39">
        <v>45857</v>
      </c>
      <c r="F588" s="37" t="s">
        <v>1473</v>
      </c>
      <c r="G588" s="37" t="s">
        <v>61</v>
      </c>
      <c r="H588" s="41">
        <v>12320</v>
      </c>
      <c r="I588" s="42">
        <v>10190</v>
      </c>
      <c r="J588" s="37" t="s">
        <v>2147</v>
      </c>
      <c r="K588" s="39">
        <v>45492</v>
      </c>
      <c r="L588" s="33" t="s">
        <v>58</v>
      </c>
      <c r="M588" s="41">
        <v>352000</v>
      </c>
      <c r="N588" s="34">
        <f t="shared" si="18"/>
        <v>1630.4</v>
      </c>
      <c r="O588" s="36">
        <f t="shared" si="19"/>
        <v>101.9</v>
      </c>
      <c r="P588" s="35">
        <v>500</v>
      </c>
    </row>
    <row r="589" spans="1:16" x14ac:dyDescent="0.25">
      <c r="A589" s="37" t="s">
        <v>698</v>
      </c>
      <c r="B589" s="37"/>
      <c r="C589" s="40" t="s">
        <v>35</v>
      </c>
      <c r="D589" s="39">
        <v>45858</v>
      </c>
      <c r="E589" s="39">
        <v>46223</v>
      </c>
      <c r="F589" s="37" t="s">
        <v>1473</v>
      </c>
      <c r="G589" s="37" t="s">
        <v>61</v>
      </c>
      <c r="H589" s="41">
        <v>12320</v>
      </c>
      <c r="I589" s="42">
        <v>10190</v>
      </c>
      <c r="J589" s="37" t="s">
        <v>2147</v>
      </c>
      <c r="K589" s="39">
        <v>45492</v>
      </c>
      <c r="L589" s="33" t="s">
        <v>58</v>
      </c>
      <c r="M589" s="41">
        <v>352000</v>
      </c>
      <c r="N589" s="34">
        <f t="shared" si="18"/>
        <v>1630.4</v>
      </c>
      <c r="O589" s="36">
        <f t="shared" si="19"/>
        <v>101.9</v>
      </c>
      <c r="P589" s="35">
        <v>500</v>
      </c>
    </row>
    <row r="590" spans="1:16" x14ac:dyDescent="0.25">
      <c r="A590" s="37" t="s">
        <v>699</v>
      </c>
      <c r="B590" s="37"/>
      <c r="C590" s="40" t="s">
        <v>51</v>
      </c>
      <c r="D590" s="39">
        <v>45492</v>
      </c>
      <c r="E590" s="39">
        <v>45857</v>
      </c>
      <c r="F590" s="37" t="s">
        <v>1474</v>
      </c>
      <c r="G590" s="37" t="s">
        <v>61</v>
      </c>
      <c r="H590" s="41">
        <v>8800</v>
      </c>
      <c r="I590" s="42">
        <v>7155</v>
      </c>
      <c r="J590" s="37" t="s">
        <v>2201</v>
      </c>
      <c r="K590" s="39">
        <v>45492</v>
      </c>
      <c r="L590" s="33" t="s">
        <v>58</v>
      </c>
      <c r="M590" s="41">
        <v>352000</v>
      </c>
      <c r="N590" s="34">
        <f t="shared" si="18"/>
        <v>1144.8</v>
      </c>
      <c r="O590" s="36">
        <f t="shared" si="19"/>
        <v>71.55</v>
      </c>
      <c r="P590" s="35">
        <v>500</v>
      </c>
    </row>
    <row r="591" spans="1:16" x14ac:dyDescent="0.25">
      <c r="A591" s="37" t="s">
        <v>700</v>
      </c>
      <c r="B591" s="37"/>
      <c r="C591" s="40" t="s">
        <v>51</v>
      </c>
      <c r="D591" s="39">
        <v>45492</v>
      </c>
      <c r="E591" s="39">
        <v>45857</v>
      </c>
      <c r="F591" s="37" t="s">
        <v>1106</v>
      </c>
      <c r="G591" s="37" t="s">
        <v>61</v>
      </c>
      <c r="H591" s="41">
        <v>8800</v>
      </c>
      <c r="I591" s="42">
        <v>7155</v>
      </c>
      <c r="J591" s="37" t="s">
        <v>2203</v>
      </c>
      <c r="K591" s="39">
        <v>45492</v>
      </c>
      <c r="L591" s="33" t="s">
        <v>58</v>
      </c>
      <c r="M591" s="41">
        <v>352000</v>
      </c>
      <c r="N591" s="34">
        <f t="shared" si="18"/>
        <v>1144.8</v>
      </c>
      <c r="O591" s="36">
        <f t="shared" si="19"/>
        <v>71.55</v>
      </c>
      <c r="P591" s="35">
        <v>500</v>
      </c>
    </row>
    <row r="592" spans="1:16" x14ac:dyDescent="0.25">
      <c r="A592" s="37" t="s">
        <v>701</v>
      </c>
      <c r="B592" s="37"/>
      <c r="C592" s="40" t="s">
        <v>51</v>
      </c>
      <c r="D592" s="39">
        <v>45492</v>
      </c>
      <c r="E592" s="39">
        <v>45857</v>
      </c>
      <c r="F592" s="37" t="s">
        <v>1475</v>
      </c>
      <c r="G592" s="37" t="s">
        <v>61</v>
      </c>
      <c r="H592" s="41">
        <v>8800</v>
      </c>
      <c r="I592" s="42">
        <v>7155</v>
      </c>
      <c r="J592" s="37" t="s">
        <v>2204</v>
      </c>
      <c r="K592" s="39">
        <v>45492</v>
      </c>
      <c r="L592" s="33" t="s">
        <v>58</v>
      </c>
      <c r="M592" s="41">
        <v>352000</v>
      </c>
      <c r="N592" s="34">
        <f t="shared" si="18"/>
        <v>1144.8</v>
      </c>
      <c r="O592" s="36">
        <f t="shared" si="19"/>
        <v>71.55</v>
      </c>
      <c r="P592" s="35">
        <v>500</v>
      </c>
    </row>
    <row r="593" spans="1:16" x14ac:dyDescent="0.25">
      <c r="A593" s="37" t="s">
        <v>702</v>
      </c>
      <c r="B593" s="37"/>
      <c r="C593" s="40" t="s">
        <v>51</v>
      </c>
      <c r="D593" s="39">
        <v>45492</v>
      </c>
      <c r="E593" s="39">
        <v>45857</v>
      </c>
      <c r="F593" s="37" t="s">
        <v>1325</v>
      </c>
      <c r="G593" s="37" t="s">
        <v>61</v>
      </c>
      <c r="H593" s="41">
        <v>8800</v>
      </c>
      <c r="I593" s="42">
        <v>7155</v>
      </c>
      <c r="J593" s="37" t="s">
        <v>2205</v>
      </c>
      <c r="K593" s="39">
        <v>45492</v>
      </c>
      <c r="L593" s="33" t="s">
        <v>58</v>
      </c>
      <c r="M593" s="41">
        <v>352000</v>
      </c>
      <c r="N593" s="34">
        <f t="shared" si="18"/>
        <v>1144.8</v>
      </c>
      <c r="O593" s="36">
        <f t="shared" si="19"/>
        <v>71.55</v>
      </c>
      <c r="P593" s="35">
        <v>500</v>
      </c>
    </row>
    <row r="594" spans="1:16" x14ac:dyDescent="0.25">
      <c r="A594" s="37" t="s">
        <v>703</v>
      </c>
      <c r="B594" s="37"/>
      <c r="C594" s="40" t="s">
        <v>51</v>
      </c>
      <c r="D594" s="39">
        <v>45492</v>
      </c>
      <c r="E594" s="39">
        <v>45857</v>
      </c>
      <c r="F594" s="37" t="s">
        <v>85</v>
      </c>
      <c r="G594" s="37" t="s">
        <v>61</v>
      </c>
      <c r="H594" s="41">
        <v>8800</v>
      </c>
      <c r="I594" s="42">
        <v>7155</v>
      </c>
      <c r="J594" s="37" t="s">
        <v>2206</v>
      </c>
      <c r="K594" s="39">
        <v>45492</v>
      </c>
      <c r="L594" s="33" t="s">
        <v>58</v>
      </c>
      <c r="M594" s="41">
        <v>352000</v>
      </c>
      <c r="N594" s="34">
        <f t="shared" si="18"/>
        <v>1144.8</v>
      </c>
      <c r="O594" s="36">
        <f t="shared" si="19"/>
        <v>71.55</v>
      </c>
      <c r="P594" s="35">
        <v>500</v>
      </c>
    </row>
    <row r="595" spans="1:16" x14ac:dyDescent="0.25">
      <c r="A595" s="37" t="s">
        <v>704</v>
      </c>
      <c r="B595" s="37"/>
      <c r="C595" s="40" t="s">
        <v>51</v>
      </c>
      <c r="D595" s="39">
        <v>45492</v>
      </c>
      <c r="E595" s="39">
        <v>45857</v>
      </c>
      <c r="F595" s="37" t="s">
        <v>1476</v>
      </c>
      <c r="G595" s="37" t="s">
        <v>61</v>
      </c>
      <c r="H595" s="41">
        <v>8800</v>
      </c>
      <c r="I595" s="42">
        <v>7155</v>
      </c>
      <c r="J595" s="37" t="s">
        <v>2207</v>
      </c>
      <c r="K595" s="39">
        <v>45492</v>
      </c>
      <c r="L595" s="33" t="s">
        <v>58</v>
      </c>
      <c r="M595" s="41">
        <v>352000</v>
      </c>
      <c r="N595" s="34">
        <f t="shared" si="18"/>
        <v>1144.8</v>
      </c>
      <c r="O595" s="36">
        <f t="shared" si="19"/>
        <v>71.55</v>
      </c>
      <c r="P595" s="35">
        <v>500</v>
      </c>
    </row>
    <row r="596" spans="1:16" x14ac:dyDescent="0.25">
      <c r="A596" s="37" t="s">
        <v>705</v>
      </c>
      <c r="B596" s="37"/>
      <c r="C596" s="40" t="s">
        <v>66</v>
      </c>
      <c r="D596" s="39">
        <v>45492</v>
      </c>
      <c r="E596" s="39">
        <v>45857</v>
      </c>
      <c r="F596" s="37" t="s">
        <v>1477</v>
      </c>
      <c r="G596" s="37" t="s">
        <v>62</v>
      </c>
      <c r="H596" s="41">
        <v>9550</v>
      </c>
      <c r="I596" s="42">
        <v>7802</v>
      </c>
      <c r="J596" s="37" t="s">
        <v>2208</v>
      </c>
      <c r="K596" s="39">
        <v>45492</v>
      </c>
      <c r="L596" s="33" t="s">
        <v>58</v>
      </c>
      <c r="M596" s="41">
        <v>382001</v>
      </c>
      <c r="N596" s="34">
        <f t="shared" si="18"/>
        <v>1248.32</v>
      </c>
      <c r="O596" s="36">
        <f t="shared" si="19"/>
        <v>78.02</v>
      </c>
      <c r="P596" s="35">
        <v>500</v>
      </c>
    </row>
    <row r="597" spans="1:16" x14ac:dyDescent="0.25">
      <c r="A597" s="37" t="s">
        <v>706</v>
      </c>
      <c r="B597" s="37"/>
      <c r="C597" s="40" t="s">
        <v>37</v>
      </c>
      <c r="D597" s="39">
        <v>45492</v>
      </c>
      <c r="E597" s="39">
        <v>45857</v>
      </c>
      <c r="F597" s="37" t="s">
        <v>1478</v>
      </c>
      <c r="G597" s="37" t="s">
        <v>61</v>
      </c>
      <c r="H597" s="41">
        <v>8800</v>
      </c>
      <c r="I597" s="42">
        <v>7155</v>
      </c>
      <c r="J597" s="37" t="s">
        <v>2209</v>
      </c>
      <c r="K597" s="39">
        <v>45492</v>
      </c>
      <c r="L597" s="33" t="s">
        <v>58</v>
      </c>
      <c r="M597" s="41">
        <v>352000</v>
      </c>
      <c r="N597" s="34">
        <f t="shared" si="18"/>
        <v>1144.8</v>
      </c>
      <c r="O597" s="36">
        <f t="shared" si="19"/>
        <v>71.55</v>
      </c>
      <c r="P597" s="35">
        <v>500</v>
      </c>
    </row>
    <row r="598" spans="1:16" x14ac:dyDescent="0.25">
      <c r="A598" s="37" t="s">
        <v>707</v>
      </c>
      <c r="B598" s="37"/>
      <c r="C598" s="40" t="s">
        <v>51</v>
      </c>
      <c r="D598" s="39">
        <v>45492</v>
      </c>
      <c r="E598" s="39">
        <v>45857</v>
      </c>
      <c r="F598" s="37" t="s">
        <v>1479</v>
      </c>
      <c r="G598" s="37" t="s">
        <v>61</v>
      </c>
      <c r="H598" s="41">
        <v>8800</v>
      </c>
      <c r="I598" s="42">
        <v>7155</v>
      </c>
      <c r="J598" s="37" t="s">
        <v>2210</v>
      </c>
      <c r="K598" s="39">
        <v>45492</v>
      </c>
      <c r="L598" s="33" t="s">
        <v>58</v>
      </c>
      <c r="M598" s="41">
        <v>352000</v>
      </c>
      <c r="N598" s="34">
        <f t="shared" si="18"/>
        <v>1144.8</v>
      </c>
      <c r="O598" s="36">
        <f t="shared" si="19"/>
        <v>71.55</v>
      </c>
      <c r="P598" s="35">
        <v>500</v>
      </c>
    </row>
    <row r="599" spans="1:16" x14ac:dyDescent="0.25">
      <c r="A599" s="37" t="s">
        <v>708</v>
      </c>
      <c r="B599" s="37"/>
      <c r="C599" s="40" t="s">
        <v>51</v>
      </c>
      <c r="D599" s="39">
        <v>45492</v>
      </c>
      <c r="E599" s="39">
        <v>45857</v>
      </c>
      <c r="F599" s="37" t="s">
        <v>1480</v>
      </c>
      <c r="G599" s="37" t="s">
        <v>61</v>
      </c>
      <c r="H599" s="41">
        <v>8800</v>
      </c>
      <c r="I599" s="42">
        <v>7155</v>
      </c>
      <c r="J599" s="37" t="s">
        <v>2211</v>
      </c>
      <c r="K599" s="39">
        <v>45492</v>
      </c>
      <c r="L599" s="33" t="s">
        <v>58</v>
      </c>
      <c r="M599" s="41">
        <v>352000</v>
      </c>
      <c r="N599" s="34">
        <f t="shared" si="18"/>
        <v>1144.8</v>
      </c>
      <c r="O599" s="36">
        <f t="shared" si="19"/>
        <v>71.55</v>
      </c>
      <c r="P599" s="35">
        <v>500</v>
      </c>
    </row>
    <row r="600" spans="1:16" x14ac:dyDescent="0.25">
      <c r="A600" s="37" t="s">
        <v>709</v>
      </c>
      <c r="B600" s="37"/>
      <c r="C600" s="40" t="s">
        <v>31</v>
      </c>
      <c r="D600" s="39">
        <v>45492</v>
      </c>
      <c r="E600" s="39">
        <v>45857</v>
      </c>
      <c r="F600" s="37" t="s">
        <v>79</v>
      </c>
      <c r="G600" s="37" t="s">
        <v>61</v>
      </c>
      <c r="H600" s="41">
        <v>12320</v>
      </c>
      <c r="I600" s="42">
        <v>10190</v>
      </c>
      <c r="J600" s="37" t="s">
        <v>2213</v>
      </c>
      <c r="K600" s="39">
        <v>45492</v>
      </c>
      <c r="L600" s="33" t="s">
        <v>58</v>
      </c>
      <c r="M600" s="41">
        <v>352000</v>
      </c>
      <c r="N600" s="34">
        <f t="shared" si="18"/>
        <v>1630.4</v>
      </c>
      <c r="O600" s="36">
        <f t="shared" si="19"/>
        <v>101.9</v>
      </c>
      <c r="P600" s="35">
        <v>500</v>
      </c>
    </row>
    <row r="601" spans="1:16" x14ac:dyDescent="0.25">
      <c r="A601" s="37" t="s">
        <v>710</v>
      </c>
      <c r="B601" s="37"/>
      <c r="C601" s="40" t="s">
        <v>31</v>
      </c>
      <c r="D601" s="39">
        <v>45858</v>
      </c>
      <c r="E601" s="39">
        <v>46223</v>
      </c>
      <c r="F601" s="37" t="s">
        <v>79</v>
      </c>
      <c r="G601" s="37" t="s">
        <v>61</v>
      </c>
      <c r="H601" s="41">
        <v>12320</v>
      </c>
      <c r="I601" s="42">
        <v>10190</v>
      </c>
      <c r="J601" s="37" t="s">
        <v>2213</v>
      </c>
      <c r="K601" s="39">
        <v>45492</v>
      </c>
      <c r="L601" s="33" t="s">
        <v>58</v>
      </c>
      <c r="M601" s="41">
        <v>352000</v>
      </c>
      <c r="N601" s="34">
        <f t="shared" si="18"/>
        <v>1630.4</v>
      </c>
      <c r="O601" s="36">
        <f t="shared" si="19"/>
        <v>101.9</v>
      </c>
      <c r="P601" s="35">
        <v>500</v>
      </c>
    </row>
    <row r="602" spans="1:16" x14ac:dyDescent="0.25">
      <c r="A602" s="37" t="s">
        <v>711</v>
      </c>
      <c r="B602" s="37"/>
      <c r="C602" s="40" t="s">
        <v>31</v>
      </c>
      <c r="D602" s="39">
        <v>45492</v>
      </c>
      <c r="E602" s="39">
        <v>45857</v>
      </c>
      <c r="F602" s="37" t="s">
        <v>1192</v>
      </c>
      <c r="G602" s="37" t="s">
        <v>61</v>
      </c>
      <c r="H602" s="41">
        <v>12320</v>
      </c>
      <c r="I602" s="42">
        <v>10190</v>
      </c>
      <c r="J602" s="37" t="s">
        <v>2038</v>
      </c>
      <c r="K602" s="39">
        <v>45492</v>
      </c>
      <c r="L602" s="33" t="s">
        <v>58</v>
      </c>
      <c r="M602" s="41">
        <v>352000</v>
      </c>
      <c r="N602" s="34">
        <f t="shared" si="18"/>
        <v>1630.4</v>
      </c>
      <c r="O602" s="36">
        <f t="shared" si="19"/>
        <v>101.9</v>
      </c>
      <c r="P602" s="35">
        <v>500</v>
      </c>
    </row>
    <row r="603" spans="1:16" x14ac:dyDescent="0.25">
      <c r="A603" s="37" t="s">
        <v>712</v>
      </c>
      <c r="B603" s="37"/>
      <c r="C603" s="40" t="s">
        <v>32</v>
      </c>
      <c r="D603" s="39">
        <v>45492</v>
      </c>
      <c r="E603" s="39">
        <v>45857</v>
      </c>
      <c r="F603" s="37" t="s">
        <v>1481</v>
      </c>
      <c r="G603" s="37" t="s">
        <v>61</v>
      </c>
      <c r="H603" s="41">
        <v>12320</v>
      </c>
      <c r="I603" s="42">
        <v>10190</v>
      </c>
      <c r="J603" s="37" t="s">
        <v>2215</v>
      </c>
      <c r="K603" s="39">
        <v>45492</v>
      </c>
      <c r="L603" s="33" t="s">
        <v>58</v>
      </c>
      <c r="M603" s="41">
        <v>352000</v>
      </c>
      <c r="N603" s="34">
        <f t="shared" si="18"/>
        <v>1630.4</v>
      </c>
      <c r="O603" s="36">
        <f t="shared" si="19"/>
        <v>101.9</v>
      </c>
      <c r="P603" s="35">
        <v>500</v>
      </c>
    </row>
    <row r="604" spans="1:16" x14ac:dyDescent="0.25">
      <c r="A604" s="37" t="s">
        <v>713</v>
      </c>
      <c r="B604" s="37"/>
      <c r="C604" s="40" t="s">
        <v>32</v>
      </c>
      <c r="D604" s="39">
        <v>45858</v>
      </c>
      <c r="E604" s="39">
        <v>46223</v>
      </c>
      <c r="F604" s="37" t="s">
        <v>1481</v>
      </c>
      <c r="G604" s="37" t="s">
        <v>61</v>
      </c>
      <c r="H604" s="41">
        <v>12320</v>
      </c>
      <c r="I604" s="42">
        <v>10190</v>
      </c>
      <c r="J604" s="37" t="s">
        <v>2215</v>
      </c>
      <c r="K604" s="39">
        <v>45492</v>
      </c>
      <c r="L604" s="33" t="s">
        <v>58</v>
      </c>
      <c r="M604" s="41">
        <v>352000</v>
      </c>
      <c r="N604" s="34">
        <f t="shared" si="18"/>
        <v>1630.4</v>
      </c>
      <c r="O604" s="36">
        <f t="shared" si="19"/>
        <v>101.9</v>
      </c>
      <c r="P604" s="35">
        <v>500</v>
      </c>
    </row>
    <row r="605" spans="1:16" x14ac:dyDescent="0.25">
      <c r="A605" s="37" t="s">
        <v>714</v>
      </c>
      <c r="B605" s="37"/>
      <c r="C605" s="40" t="s">
        <v>32</v>
      </c>
      <c r="D605" s="39">
        <v>45492</v>
      </c>
      <c r="E605" s="39">
        <v>45857</v>
      </c>
      <c r="F605" s="37" t="s">
        <v>1482</v>
      </c>
      <c r="G605" s="37" t="s">
        <v>62</v>
      </c>
      <c r="H605" s="41">
        <v>13370</v>
      </c>
      <c r="I605" s="42">
        <v>11095</v>
      </c>
      <c r="J605" s="37" t="s">
        <v>2216</v>
      </c>
      <c r="K605" s="39">
        <v>45492</v>
      </c>
      <c r="L605" s="33" t="s">
        <v>58</v>
      </c>
      <c r="M605" s="41">
        <v>382000</v>
      </c>
      <c r="N605" s="34">
        <f t="shared" si="18"/>
        <v>1775.2</v>
      </c>
      <c r="O605" s="36">
        <f t="shared" si="19"/>
        <v>110.95</v>
      </c>
      <c r="P605" s="35">
        <v>500</v>
      </c>
    </row>
    <row r="606" spans="1:16" x14ac:dyDescent="0.25">
      <c r="A606" s="37" t="s">
        <v>715</v>
      </c>
      <c r="B606" s="37"/>
      <c r="C606" s="40" t="s">
        <v>32</v>
      </c>
      <c r="D606" s="39">
        <v>45858</v>
      </c>
      <c r="E606" s="39">
        <v>46223</v>
      </c>
      <c r="F606" s="37" t="s">
        <v>1482</v>
      </c>
      <c r="G606" s="37" t="s">
        <v>62</v>
      </c>
      <c r="H606" s="41">
        <v>13370</v>
      </c>
      <c r="I606" s="42">
        <v>11095</v>
      </c>
      <c r="J606" s="37" t="s">
        <v>2216</v>
      </c>
      <c r="K606" s="39">
        <v>45492</v>
      </c>
      <c r="L606" s="33" t="s">
        <v>58</v>
      </c>
      <c r="M606" s="41">
        <v>382000</v>
      </c>
      <c r="N606" s="34">
        <f t="shared" si="18"/>
        <v>1775.2</v>
      </c>
      <c r="O606" s="36">
        <f t="shared" si="19"/>
        <v>110.95</v>
      </c>
      <c r="P606" s="35">
        <v>500</v>
      </c>
    </row>
    <row r="607" spans="1:16" x14ac:dyDescent="0.25">
      <c r="A607" s="37" t="s">
        <v>716</v>
      </c>
      <c r="B607" s="37"/>
      <c r="C607" s="40" t="s">
        <v>32</v>
      </c>
      <c r="D607" s="39">
        <v>45492</v>
      </c>
      <c r="E607" s="39">
        <v>45857</v>
      </c>
      <c r="F607" s="37" t="s">
        <v>1483</v>
      </c>
      <c r="G607" s="37" t="s">
        <v>61</v>
      </c>
      <c r="H607" s="41">
        <v>12320</v>
      </c>
      <c r="I607" s="42">
        <v>10190</v>
      </c>
      <c r="J607" s="37" t="s">
        <v>2217</v>
      </c>
      <c r="K607" s="39">
        <v>45492</v>
      </c>
      <c r="L607" s="33" t="s">
        <v>58</v>
      </c>
      <c r="M607" s="41">
        <v>352000</v>
      </c>
      <c r="N607" s="34">
        <f t="shared" si="18"/>
        <v>1630.4</v>
      </c>
      <c r="O607" s="36">
        <f t="shared" si="19"/>
        <v>101.9</v>
      </c>
      <c r="P607" s="35">
        <v>500</v>
      </c>
    </row>
    <row r="608" spans="1:16" x14ac:dyDescent="0.25">
      <c r="A608" s="37" t="s">
        <v>717</v>
      </c>
      <c r="B608" s="37"/>
      <c r="C608" s="40" t="s">
        <v>36</v>
      </c>
      <c r="D608" s="39">
        <v>45492</v>
      </c>
      <c r="E608" s="39">
        <v>45857</v>
      </c>
      <c r="F608" s="37" t="s">
        <v>1484</v>
      </c>
      <c r="G608" s="37" t="s">
        <v>62</v>
      </c>
      <c r="H608" s="41">
        <v>13370</v>
      </c>
      <c r="I608" s="42">
        <v>11095</v>
      </c>
      <c r="J608" s="37" t="s">
        <v>2218</v>
      </c>
      <c r="K608" s="39">
        <v>45492</v>
      </c>
      <c r="L608" s="33" t="s">
        <v>58</v>
      </c>
      <c r="M608" s="41">
        <v>382000</v>
      </c>
      <c r="N608" s="34">
        <f t="shared" si="18"/>
        <v>1775.2</v>
      </c>
      <c r="O608" s="36">
        <f t="shared" si="19"/>
        <v>110.95</v>
      </c>
      <c r="P608" s="35">
        <v>500</v>
      </c>
    </row>
    <row r="609" spans="1:16" x14ac:dyDescent="0.25">
      <c r="A609" s="37" t="s">
        <v>718</v>
      </c>
      <c r="B609" s="37"/>
      <c r="C609" s="40" t="s">
        <v>36</v>
      </c>
      <c r="D609" s="39">
        <v>45492</v>
      </c>
      <c r="E609" s="39">
        <v>45857</v>
      </c>
      <c r="F609" s="37" t="s">
        <v>1199</v>
      </c>
      <c r="G609" s="37" t="s">
        <v>65</v>
      </c>
      <c r="H609" s="41">
        <v>13370</v>
      </c>
      <c r="I609" s="42">
        <v>11095</v>
      </c>
      <c r="J609" s="37" t="s">
        <v>2219</v>
      </c>
      <c r="K609" s="39">
        <v>45492</v>
      </c>
      <c r="L609" s="33" t="s">
        <v>58</v>
      </c>
      <c r="M609" s="41">
        <v>382000</v>
      </c>
      <c r="N609" s="34">
        <f t="shared" si="18"/>
        <v>1775.2</v>
      </c>
      <c r="O609" s="36">
        <f t="shared" si="19"/>
        <v>110.95</v>
      </c>
      <c r="P609" s="35">
        <v>500</v>
      </c>
    </row>
    <row r="610" spans="1:16" x14ac:dyDescent="0.25">
      <c r="A610" s="37" t="s">
        <v>719</v>
      </c>
      <c r="B610" s="37"/>
      <c r="C610" s="40" t="s">
        <v>32</v>
      </c>
      <c r="D610" s="39">
        <v>45493</v>
      </c>
      <c r="E610" s="39">
        <v>45858</v>
      </c>
      <c r="F610" s="37" t="s">
        <v>1485</v>
      </c>
      <c r="G610" s="37" t="s">
        <v>62</v>
      </c>
      <c r="H610" s="41">
        <v>13370</v>
      </c>
      <c r="I610" s="42">
        <v>11095</v>
      </c>
      <c r="J610" s="37" t="s">
        <v>2220</v>
      </c>
      <c r="K610" s="39">
        <v>45493</v>
      </c>
      <c r="L610" s="33" t="s">
        <v>58</v>
      </c>
      <c r="M610" s="41">
        <v>382000</v>
      </c>
      <c r="N610" s="34">
        <f t="shared" si="18"/>
        <v>1775.2</v>
      </c>
      <c r="O610" s="36">
        <f t="shared" si="19"/>
        <v>110.95</v>
      </c>
      <c r="P610" s="35">
        <v>500</v>
      </c>
    </row>
    <row r="611" spans="1:16" x14ac:dyDescent="0.25">
      <c r="A611" s="37" t="s">
        <v>720</v>
      </c>
      <c r="B611" s="37"/>
      <c r="C611" s="40" t="s">
        <v>32</v>
      </c>
      <c r="D611" s="39">
        <v>45859</v>
      </c>
      <c r="E611" s="39">
        <v>46224</v>
      </c>
      <c r="F611" s="37" t="s">
        <v>1485</v>
      </c>
      <c r="G611" s="37" t="s">
        <v>62</v>
      </c>
      <c r="H611" s="41">
        <v>13370</v>
      </c>
      <c r="I611" s="42">
        <v>11095</v>
      </c>
      <c r="J611" s="37" t="s">
        <v>2220</v>
      </c>
      <c r="K611" s="39">
        <v>45493</v>
      </c>
      <c r="L611" s="33" t="s">
        <v>58</v>
      </c>
      <c r="M611" s="41">
        <v>382000</v>
      </c>
      <c r="N611" s="34">
        <f t="shared" si="18"/>
        <v>1775.2</v>
      </c>
      <c r="O611" s="36">
        <f t="shared" si="19"/>
        <v>110.95</v>
      </c>
      <c r="P611" s="35">
        <v>500</v>
      </c>
    </row>
    <row r="612" spans="1:16" x14ac:dyDescent="0.25">
      <c r="A612" s="37" t="s">
        <v>721</v>
      </c>
      <c r="B612" s="37"/>
      <c r="C612" s="40" t="s">
        <v>31</v>
      </c>
      <c r="D612" s="39">
        <v>45493</v>
      </c>
      <c r="E612" s="39">
        <v>45858</v>
      </c>
      <c r="F612" s="37" t="s">
        <v>1486</v>
      </c>
      <c r="G612" s="37" t="s">
        <v>61</v>
      </c>
      <c r="H612" s="41">
        <v>12320</v>
      </c>
      <c r="I612" s="42">
        <v>10190</v>
      </c>
      <c r="J612" s="37" t="s">
        <v>2221</v>
      </c>
      <c r="K612" s="39">
        <v>45493</v>
      </c>
      <c r="L612" s="33" t="s">
        <v>58</v>
      </c>
      <c r="M612" s="41">
        <v>352000</v>
      </c>
      <c r="N612" s="34">
        <f t="shared" si="18"/>
        <v>1630.4</v>
      </c>
      <c r="O612" s="36">
        <f t="shared" si="19"/>
        <v>101.9</v>
      </c>
      <c r="P612" s="35">
        <v>500</v>
      </c>
    </row>
    <row r="613" spans="1:16" x14ac:dyDescent="0.25">
      <c r="A613" s="37" t="s">
        <v>722</v>
      </c>
      <c r="B613" s="37"/>
      <c r="C613" s="40" t="s">
        <v>31</v>
      </c>
      <c r="D613" s="39">
        <v>45859</v>
      </c>
      <c r="E613" s="39">
        <v>46224</v>
      </c>
      <c r="F613" s="37" t="s">
        <v>1486</v>
      </c>
      <c r="G613" s="37" t="s">
        <v>61</v>
      </c>
      <c r="H613" s="41">
        <v>12320</v>
      </c>
      <c r="I613" s="42">
        <v>10190</v>
      </c>
      <c r="J613" s="37" t="s">
        <v>2221</v>
      </c>
      <c r="K613" s="39">
        <v>45493</v>
      </c>
      <c r="L613" s="33" t="s">
        <v>58</v>
      </c>
      <c r="M613" s="41">
        <v>352000</v>
      </c>
      <c r="N613" s="34">
        <f t="shared" si="18"/>
        <v>1630.4</v>
      </c>
      <c r="O613" s="36">
        <f t="shared" si="19"/>
        <v>101.9</v>
      </c>
      <c r="P613" s="35">
        <v>500</v>
      </c>
    </row>
    <row r="614" spans="1:16" x14ac:dyDescent="0.25">
      <c r="A614" s="37" t="s">
        <v>723</v>
      </c>
      <c r="B614" s="37"/>
      <c r="C614" s="40" t="s">
        <v>53</v>
      </c>
      <c r="D614" s="39">
        <v>45493</v>
      </c>
      <c r="E614" s="39">
        <v>45858</v>
      </c>
      <c r="F614" s="37" t="s">
        <v>1487</v>
      </c>
      <c r="G614" s="37" t="s">
        <v>61</v>
      </c>
      <c r="H614" s="41">
        <v>8800</v>
      </c>
      <c r="I614" s="42">
        <v>7155</v>
      </c>
      <c r="J614" s="37" t="s">
        <v>2222</v>
      </c>
      <c r="K614" s="39">
        <v>45493</v>
      </c>
      <c r="L614" s="33" t="s">
        <v>58</v>
      </c>
      <c r="M614" s="41">
        <v>352000</v>
      </c>
      <c r="N614" s="34">
        <f t="shared" si="18"/>
        <v>1144.8</v>
      </c>
      <c r="O614" s="36">
        <f t="shared" si="19"/>
        <v>71.55</v>
      </c>
      <c r="P614" s="35">
        <v>500</v>
      </c>
    </row>
    <row r="615" spans="1:16" x14ac:dyDescent="0.25">
      <c r="A615" s="37" t="s">
        <v>724</v>
      </c>
      <c r="B615" s="37"/>
      <c r="C615" s="40" t="s">
        <v>53</v>
      </c>
      <c r="D615" s="39">
        <v>45493</v>
      </c>
      <c r="E615" s="39">
        <v>45858</v>
      </c>
      <c r="F615" s="37" t="s">
        <v>1488</v>
      </c>
      <c r="G615" s="37" t="s">
        <v>62</v>
      </c>
      <c r="H615" s="41">
        <v>9550</v>
      </c>
      <c r="I615" s="42">
        <v>7802</v>
      </c>
      <c r="J615" s="37" t="s">
        <v>2223</v>
      </c>
      <c r="K615" s="39">
        <v>45493</v>
      </c>
      <c r="L615" s="33" t="s">
        <v>58</v>
      </c>
      <c r="M615" s="41">
        <v>382000</v>
      </c>
      <c r="N615" s="34">
        <f t="shared" si="18"/>
        <v>1248.32</v>
      </c>
      <c r="O615" s="36">
        <f t="shared" si="19"/>
        <v>78.02</v>
      </c>
      <c r="P615" s="35">
        <v>500</v>
      </c>
    </row>
    <row r="616" spans="1:16" x14ac:dyDescent="0.25">
      <c r="A616" s="37" t="s">
        <v>725</v>
      </c>
      <c r="B616" s="37"/>
      <c r="C616" s="40" t="s">
        <v>30</v>
      </c>
      <c r="D616" s="39">
        <v>45859</v>
      </c>
      <c r="E616" s="39">
        <v>46224</v>
      </c>
      <c r="F616" s="37" t="s">
        <v>1489</v>
      </c>
      <c r="G616" s="37" t="s">
        <v>61</v>
      </c>
      <c r="H616" s="41">
        <v>12320</v>
      </c>
      <c r="I616" s="42">
        <v>10190</v>
      </c>
      <c r="J616" s="37" t="s">
        <v>2224</v>
      </c>
      <c r="K616" s="39">
        <v>45493</v>
      </c>
      <c r="L616" s="33" t="s">
        <v>58</v>
      </c>
      <c r="M616" s="41">
        <v>352000</v>
      </c>
      <c r="N616" s="34">
        <f t="shared" si="18"/>
        <v>1630.4</v>
      </c>
      <c r="O616" s="36">
        <f t="shared" si="19"/>
        <v>101.9</v>
      </c>
      <c r="P616" s="35">
        <v>500</v>
      </c>
    </row>
    <row r="617" spans="1:16" x14ac:dyDescent="0.25">
      <c r="A617" s="37" t="s">
        <v>726</v>
      </c>
      <c r="B617" s="37"/>
      <c r="C617" s="40" t="s">
        <v>30</v>
      </c>
      <c r="D617" s="39">
        <v>45493</v>
      </c>
      <c r="E617" s="39">
        <v>45858</v>
      </c>
      <c r="F617" s="37" t="s">
        <v>1489</v>
      </c>
      <c r="G617" s="37" t="s">
        <v>61</v>
      </c>
      <c r="H617" s="41">
        <v>12320</v>
      </c>
      <c r="I617" s="42">
        <v>10190</v>
      </c>
      <c r="J617" s="37" t="s">
        <v>2224</v>
      </c>
      <c r="K617" s="39">
        <v>45493</v>
      </c>
      <c r="L617" s="33" t="s">
        <v>58</v>
      </c>
      <c r="M617" s="41">
        <v>352000</v>
      </c>
      <c r="N617" s="34">
        <f t="shared" si="18"/>
        <v>1630.4</v>
      </c>
      <c r="O617" s="36">
        <f t="shared" si="19"/>
        <v>101.9</v>
      </c>
      <c r="P617" s="35">
        <v>500</v>
      </c>
    </row>
    <row r="618" spans="1:16" x14ac:dyDescent="0.25">
      <c r="A618" s="37" t="s">
        <v>727</v>
      </c>
      <c r="B618" s="37"/>
      <c r="C618" s="40" t="s">
        <v>51</v>
      </c>
      <c r="D618" s="39">
        <v>45493</v>
      </c>
      <c r="E618" s="39">
        <v>45858</v>
      </c>
      <c r="F618" s="37" t="s">
        <v>1490</v>
      </c>
      <c r="G618" s="37" t="s">
        <v>61</v>
      </c>
      <c r="H618" s="41">
        <v>8800</v>
      </c>
      <c r="I618" s="42">
        <v>7155</v>
      </c>
      <c r="J618" s="37" t="s">
        <v>2212</v>
      </c>
      <c r="K618" s="39">
        <v>45493</v>
      </c>
      <c r="L618" s="33" t="s">
        <v>58</v>
      </c>
      <c r="M618" s="41">
        <v>352000</v>
      </c>
      <c r="N618" s="34">
        <f t="shared" si="18"/>
        <v>1144.8</v>
      </c>
      <c r="O618" s="36">
        <f t="shared" si="19"/>
        <v>71.55</v>
      </c>
      <c r="P618" s="35">
        <v>500</v>
      </c>
    </row>
    <row r="619" spans="1:16" x14ac:dyDescent="0.25">
      <c r="A619" s="37" t="s">
        <v>728</v>
      </c>
      <c r="B619" s="37"/>
      <c r="C619" s="40" t="s">
        <v>51</v>
      </c>
      <c r="D619" s="39">
        <v>45493</v>
      </c>
      <c r="E619" s="39">
        <v>45858</v>
      </c>
      <c r="F619" s="37" t="s">
        <v>93</v>
      </c>
      <c r="G619" s="37" t="s">
        <v>61</v>
      </c>
      <c r="H619" s="41">
        <v>8800</v>
      </c>
      <c r="I619" s="42">
        <v>7155</v>
      </c>
      <c r="J619" s="37" t="s">
        <v>2225</v>
      </c>
      <c r="K619" s="39">
        <v>45493</v>
      </c>
      <c r="L619" s="33" t="s">
        <v>58</v>
      </c>
      <c r="M619" s="41">
        <v>352000</v>
      </c>
      <c r="N619" s="34">
        <f t="shared" si="18"/>
        <v>1144.8</v>
      </c>
      <c r="O619" s="36">
        <f t="shared" si="19"/>
        <v>71.55</v>
      </c>
      <c r="P619" s="35">
        <v>500</v>
      </c>
    </row>
    <row r="620" spans="1:16" x14ac:dyDescent="0.25">
      <c r="A620" s="37" t="s">
        <v>729</v>
      </c>
      <c r="B620" s="37"/>
      <c r="C620" s="40" t="s">
        <v>51</v>
      </c>
      <c r="D620" s="39">
        <v>45493</v>
      </c>
      <c r="E620" s="39">
        <v>45858</v>
      </c>
      <c r="F620" s="37" t="s">
        <v>1491</v>
      </c>
      <c r="G620" s="37" t="s">
        <v>61</v>
      </c>
      <c r="H620" s="41">
        <v>8800</v>
      </c>
      <c r="I620" s="42">
        <v>7155</v>
      </c>
      <c r="J620" s="37" t="s">
        <v>2202</v>
      </c>
      <c r="K620" s="39">
        <v>45493</v>
      </c>
      <c r="L620" s="33" t="s">
        <v>58</v>
      </c>
      <c r="M620" s="41">
        <v>352000</v>
      </c>
      <c r="N620" s="34">
        <f t="shared" si="18"/>
        <v>1144.8</v>
      </c>
      <c r="O620" s="36">
        <f t="shared" si="19"/>
        <v>71.55</v>
      </c>
      <c r="P620" s="35">
        <v>500</v>
      </c>
    </row>
    <row r="621" spans="1:16" x14ac:dyDescent="0.25">
      <c r="A621" s="37" t="s">
        <v>730</v>
      </c>
      <c r="B621" s="37"/>
      <c r="C621" s="40" t="s">
        <v>51</v>
      </c>
      <c r="D621" s="39">
        <v>45493</v>
      </c>
      <c r="E621" s="39">
        <v>45858</v>
      </c>
      <c r="F621" s="37" t="s">
        <v>1492</v>
      </c>
      <c r="G621" s="37" t="s">
        <v>61</v>
      </c>
      <c r="H621" s="41">
        <v>8800</v>
      </c>
      <c r="I621" s="42">
        <v>7155</v>
      </c>
      <c r="J621" s="37" t="s">
        <v>2227</v>
      </c>
      <c r="K621" s="39">
        <v>45493</v>
      </c>
      <c r="L621" s="33" t="s">
        <v>58</v>
      </c>
      <c r="M621" s="41">
        <v>352000</v>
      </c>
      <c r="N621" s="34">
        <f t="shared" si="18"/>
        <v>1144.8</v>
      </c>
      <c r="O621" s="36">
        <f t="shared" si="19"/>
        <v>71.55</v>
      </c>
      <c r="P621" s="35">
        <v>500</v>
      </c>
    </row>
    <row r="622" spans="1:16" x14ac:dyDescent="0.25">
      <c r="A622" s="37" t="s">
        <v>731</v>
      </c>
      <c r="B622" s="37"/>
      <c r="C622" s="40" t="s">
        <v>51</v>
      </c>
      <c r="D622" s="39">
        <v>45493</v>
      </c>
      <c r="E622" s="39">
        <v>45858</v>
      </c>
      <c r="F622" s="37" t="s">
        <v>60</v>
      </c>
      <c r="G622" s="37" t="s">
        <v>61</v>
      </c>
      <c r="H622" s="41">
        <v>8800</v>
      </c>
      <c r="I622" s="42">
        <v>7155</v>
      </c>
      <c r="J622" s="37" t="s">
        <v>2228</v>
      </c>
      <c r="K622" s="39">
        <v>45493</v>
      </c>
      <c r="L622" s="33" t="s">
        <v>58</v>
      </c>
      <c r="M622" s="41">
        <v>352000</v>
      </c>
      <c r="N622" s="34">
        <f t="shared" si="18"/>
        <v>1144.8</v>
      </c>
      <c r="O622" s="36">
        <f t="shared" si="19"/>
        <v>71.55</v>
      </c>
      <c r="P622" s="35">
        <v>500</v>
      </c>
    </row>
    <row r="623" spans="1:16" x14ac:dyDescent="0.25">
      <c r="A623" s="37" t="s">
        <v>732</v>
      </c>
      <c r="B623" s="37"/>
      <c r="C623" s="40" t="s">
        <v>51</v>
      </c>
      <c r="D623" s="39">
        <v>45493</v>
      </c>
      <c r="E623" s="39">
        <v>45858</v>
      </c>
      <c r="F623" s="37" t="s">
        <v>1493</v>
      </c>
      <c r="G623" s="37" t="s">
        <v>61</v>
      </c>
      <c r="H623" s="41">
        <v>8800</v>
      </c>
      <c r="I623" s="42">
        <v>7155</v>
      </c>
      <c r="J623" s="37" t="s">
        <v>2229</v>
      </c>
      <c r="K623" s="39">
        <v>45493</v>
      </c>
      <c r="L623" s="33" t="s">
        <v>58</v>
      </c>
      <c r="M623" s="41">
        <v>352000</v>
      </c>
      <c r="N623" s="34">
        <f t="shared" si="18"/>
        <v>1144.8</v>
      </c>
      <c r="O623" s="36">
        <f t="shared" si="19"/>
        <v>71.55</v>
      </c>
      <c r="P623" s="35">
        <v>500</v>
      </c>
    </row>
    <row r="624" spans="1:16" x14ac:dyDescent="0.25">
      <c r="A624" s="37" t="s">
        <v>733</v>
      </c>
      <c r="B624" s="37"/>
      <c r="C624" s="40" t="s">
        <v>51</v>
      </c>
      <c r="D624" s="39">
        <v>45493</v>
      </c>
      <c r="E624" s="39">
        <v>45858</v>
      </c>
      <c r="F624" s="37" t="s">
        <v>1494</v>
      </c>
      <c r="G624" s="37" t="s">
        <v>61</v>
      </c>
      <c r="H624" s="41">
        <v>8800</v>
      </c>
      <c r="I624" s="42">
        <v>7155</v>
      </c>
      <c r="J624" s="37" t="s">
        <v>1752</v>
      </c>
      <c r="K624" s="39">
        <v>45493</v>
      </c>
      <c r="L624" s="33" t="s">
        <v>58</v>
      </c>
      <c r="M624" s="41">
        <v>352000</v>
      </c>
      <c r="N624" s="34">
        <f t="shared" si="18"/>
        <v>1144.8</v>
      </c>
      <c r="O624" s="36">
        <f t="shared" si="19"/>
        <v>71.55</v>
      </c>
      <c r="P624" s="35">
        <v>500</v>
      </c>
    </row>
    <row r="625" spans="1:16" x14ac:dyDescent="0.25">
      <c r="A625" s="37" t="s">
        <v>734</v>
      </c>
      <c r="B625" s="37"/>
      <c r="C625" s="40" t="s">
        <v>71</v>
      </c>
      <c r="D625" s="39">
        <v>45493</v>
      </c>
      <c r="E625" s="39">
        <v>45858</v>
      </c>
      <c r="F625" s="37" t="s">
        <v>1495</v>
      </c>
      <c r="G625" s="37" t="s">
        <v>63</v>
      </c>
      <c r="H625" s="41">
        <v>13675</v>
      </c>
      <c r="I625" s="42">
        <v>11358</v>
      </c>
      <c r="J625" s="37" t="s">
        <v>2230</v>
      </c>
      <c r="K625" s="39">
        <v>45493</v>
      </c>
      <c r="L625" s="33" t="s">
        <v>58</v>
      </c>
      <c r="M625" s="41">
        <v>547000</v>
      </c>
      <c r="N625" s="34">
        <f t="shared" si="18"/>
        <v>1817.28</v>
      </c>
      <c r="O625" s="36">
        <f t="shared" si="19"/>
        <v>113.58</v>
      </c>
      <c r="P625" s="35">
        <v>500</v>
      </c>
    </row>
    <row r="626" spans="1:16" x14ac:dyDescent="0.25">
      <c r="A626" s="37" t="s">
        <v>735</v>
      </c>
      <c r="B626" s="37"/>
      <c r="C626" s="40" t="s">
        <v>33</v>
      </c>
      <c r="D626" s="39">
        <v>45493</v>
      </c>
      <c r="E626" s="39">
        <v>45858</v>
      </c>
      <c r="F626" s="37" t="s">
        <v>1496</v>
      </c>
      <c r="G626" s="37" t="s">
        <v>64</v>
      </c>
      <c r="H626" s="41">
        <v>17465</v>
      </c>
      <c r="I626" s="42">
        <v>14625</v>
      </c>
      <c r="J626" s="37" t="s">
        <v>2231</v>
      </c>
      <c r="K626" s="39">
        <v>45493</v>
      </c>
      <c r="L626" s="33" t="s">
        <v>58</v>
      </c>
      <c r="M626" s="41">
        <v>499000</v>
      </c>
      <c r="N626" s="34">
        <f t="shared" si="18"/>
        <v>2340</v>
      </c>
      <c r="O626" s="36">
        <f t="shared" si="19"/>
        <v>146.25</v>
      </c>
      <c r="P626" s="35">
        <v>500</v>
      </c>
    </row>
    <row r="627" spans="1:16" x14ac:dyDescent="0.25">
      <c r="A627" s="37" t="s">
        <v>736</v>
      </c>
      <c r="B627" s="37"/>
      <c r="C627" s="40" t="s">
        <v>33</v>
      </c>
      <c r="D627" s="39">
        <v>45859</v>
      </c>
      <c r="E627" s="39">
        <v>46224</v>
      </c>
      <c r="F627" s="37" t="s">
        <v>1496</v>
      </c>
      <c r="G627" s="37" t="s">
        <v>64</v>
      </c>
      <c r="H627" s="41">
        <v>17465</v>
      </c>
      <c r="I627" s="42">
        <v>14625</v>
      </c>
      <c r="J627" s="37" t="s">
        <v>2231</v>
      </c>
      <c r="K627" s="39">
        <v>45493</v>
      </c>
      <c r="L627" s="33" t="s">
        <v>58</v>
      </c>
      <c r="M627" s="41">
        <v>499000</v>
      </c>
      <c r="N627" s="34">
        <f t="shared" si="18"/>
        <v>2340</v>
      </c>
      <c r="O627" s="36">
        <f t="shared" si="19"/>
        <v>146.25</v>
      </c>
      <c r="P627" s="35">
        <v>500</v>
      </c>
    </row>
    <row r="628" spans="1:16" x14ac:dyDescent="0.25">
      <c r="A628" s="37" t="s">
        <v>737</v>
      </c>
      <c r="B628" s="37"/>
      <c r="C628" s="40" t="s">
        <v>51</v>
      </c>
      <c r="D628" s="39">
        <v>45493</v>
      </c>
      <c r="E628" s="39">
        <v>45858</v>
      </c>
      <c r="F628" s="37" t="s">
        <v>69</v>
      </c>
      <c r="G628" s="37" t="s">
        <v>61</v>
      </c>
      <c r="H628" s="41">
        <v>8800</v>
      </c>
      <c r="I628" s="42">
        <v>7155</v>
      </c>
      <c r="J628" s="37" t="s">
        <v>2232</v>
      </c>
      <c r="K628" s="39">
        <v>45493</v>
      </c>
      <c r="L628" s="33" t="s">
        <v>58</v>
      </c>
      <c r="M628" s="41">
        <v>352000</v>
      </c>
      <c r="N628" s="34">
        <f t="shared" si="18"/>
        <v>1144.8</v>
      </c>
      <c r="O628" s="36">
        <f t="shared" si="19"/>
        <v>71.55</v>
      </c>
      <c r="P628" s="35">
        <v>500</v>
      </c>
    </row>
    <row r="629" spans="1:16" x14ac:dyDescent="0.25">
      <c r="A629" s="37" t="s">
        <v>738</v>
      </c>
      <c r="B629" s="37"/>
      <c r="C629" s="40" t="s">
        <v>51</v>
      </c>
      <c r="D629" s="39">
        <v>45493</v>
      </c>
      <c r="E629" s="39">
        <v>45858</v>
      </c>
      <c r="F629" s="37" t="s">
        <v>1497</v>
      </c>
      <c r="G629" s="37" t="s">
        <v>64</v>
      </c>
      <c r="H629" s="41">
        <v>12475</v>
      </c>
      <c r="I629" s="42">
        <v>10323</v>
      </c>
      <c r="J629" s="37" t="s">
        <v>2233</v>
      </c>
      <c r="K629" s="39">
        <v>45493</v>
      </c>
      <c r="L629" s="33" t="s">
        <v>58</v>
      </c>
      <c r="M629" s="41">
        <v>499000</v>
      </c>
      <c r="N629" s="34">
        <f t="shared" si="18"/>
        <v>1651.68</v>
      </c>
      <c r="O629" s="36">
        <f t="shared" si="19"/>
        <v>103.23</v>
      </c>
      <c r="P629" s="35">
        <v>500</v>
      </c>
    </row>
    <row r="630" spans="1:16" x14ac:dyDescent="0.25">
      <c r="A630" s="37" t="s">
        <v>739</v>
      </c>
      <c r="B630" s="37"/>
      <c r="C630" s="40" t="s">
        <v>71</v>
      </c>
      <c r="D630" s="39">
        <v>45493</v>
      </c>
      <c r="E630" s="39">
        <v>45858</v>
      </c>
      <c r="F630" s="37" t="s">
        <v>1498</v>
      </c>
      <c r="G630" s="37" t="s">
        <v>63</v>
      </c>
      <c r="H630" s="41">
        <v>13675</v>
      </c>
      <c r="I630" s="42">
        <v>11358</v>
      </c>
      <c r="J630" s="37" t="s">
        <v>2234</v>
      </c>
      <c r="K630" s="39">
        <v>45493</v>
      </c>
      <c r="L630" s="33" t="s">
        <v>58</v>
      </c>
      <c r="M630" s="41">
        <v>547000</v>
      </c>
      <c r="N630" s="34">
        <f t="shared" si="18"/>
        <v>1817.28</v>
      </c>
      <c r="O630" s="36">
        <f t="shared" si="19"/>
        <v>113.58</v>
      </c>
      <c r="P630" s="35">
        <v>500</v>
      </c>
    </row>
    <row r="631" spans="1:16" x14ac:dyDescent="0.25">
      <c r="A631" s="37" t="s">
        <v>740</v>
      </c>
      <c r="B631" s="37"/>
      <c r="C631" s="40" t="s">
        <v>71</v>
      </c>
      <c r="D631" s="39">
        <v>45493</v>
      </c>
      <c r="E631" s="39">
        <v>45858</v>
      </c>
      <c r="F631" s="37" t="s">
        <v>1499</v>
      </c>
      <c r="G631" s="37" t="s">
        <v>62</v>
      </c>
      <c r="H631" s="41">
        <v>9550</v>
      </c>
      <c r="I631" s="42">
        <v>7802</v>
      </c>
      <c r="J631" s="37" t="s">
        <v>2235</v>
      </c>
      <c r="K631" s="39">
        <v>45493</v>
      </c>
      <c r="L631" s="33" t="s">
        <v>58</v>
      </c>
      <c r="M631" s="41">
        <v>382000</v>
      </c>
      <c r="N631" s="34">
        <f t="shared" si="18"/>
        <v>1248.32</v>
      </c>
      <c r="O631" s="36">
        <f t="shared" si="19"/>
        <v>78.02</v>
      </c>
      <c r="P631" s="35">
        <v>500</v>
      </c>
    </row>
    <row r="632" spans="1:16" x14ac:dyDescent="0.25">
      <c r="A632" s="37" t="s">
        <v>741</v>
      </c>
      <c r="B632" s="37"/>
      <c r="C632" s="40" t="s">
        <v>71</v>
      </c>
      <c r="D632" s="39">
        <v>45493</v>
      </c>
      <c r="E632" s="39">
        <v>45858</v>
      </c>
      <c r="F632" s="37" t="s">
        <v>1500</v>
      </c>
      <c r="G632" s="37" t="s">
        <v>61</v>
      </c>
      <c r="H632" s="41">
        <v>8800</v>
      </c>
      <c r="I632" s="42">
        <v>7155</v>
      </c>
      <c r="J632" s="37" t="s">
        <v>2236</v>
      </c>
      <c r="K632" s="39">
        <v>45493</v>
      </c>
      <c r="L632" s="33" t="s">
        <v>58</v>
      </c>
      <c r="M632" s="41">
        <v>352000</v>
      </c>
      <c r="N632" s="34">
        <f t="shared" si="18"/>
        <v>1144.8</v>
      </c>
      <c r="O632" s="36">
        <f t="shared" si="19"/>
        <v>71.55</v>
      </c>
      <c r="P632" s="35">
        <v>500</v>
      </c>
    </row>
    <row r="633" spans="1:16" x14ac:dyDescent="0.25">
      <c r="A633" s="37" t="s">
        <v>742</v>
      </c>
      <c r="B633" s="37"/>
      <c r="C633" s="40" t="s">
        <v>51</v>
      </c>
      <c r="D633" s="39">
        <v>45493</v>
      </c>
      <c r="E633" s="39">
        <v>45858</v>
      </c>
      <c r="F633" s="37" t="s">
        <v>1501</v>
      </c>
      <c r="G633" s="37" t="s">
        <v>61</v>
      </c>
      <c r="H633" s="41">
        <v>8800</v>
      </c>
      <c r="I633" s="42">
        <v>7155</v>
      </c>
      <c r="J633" s="37" t="s">
        <v>2237</v>
      </c>
      <c r="K633" s="39">
        <v>45493</v>
      </c>
      <c r="L633" s="33" t="s">
        <v>58</v>
      </c>
      <c r="M633" s="41">
        <v>352000</v>
      </c>
      <c r="N633" s="34">
        <f t="shared" si="18"/>
        <v>1144.8</v>
      </c>
      <c r="O633" s="36">
        <f t="shared" si="19"/>
        <v>71.55</v>
      </c>
      <c r="P633" s="35">
        <v>500</v>
      </c>
    </row>
    <row r="634" spans="1:16" x14ac:dyDescent="0.25">
      <c r="A634" s="37" t="s">
        <v>743</v>
      </c>
      <c r="B634" s="37"/>
      <c r="C634" s="40" t="s">
        <v>71</v>
      </c>
      <c r="D634" s="39">
        <v>45493</v>
      </c>
      <c r="E634" s="39">
        <v>45858</v>
      </c>
      <c r="F634" s="37" t="s">
        <v>1502</v>
      </c>
      <c r="G634" s="37" t="s">
        <v>62</v>
      </c>
      <c r="H634" s="41">
        <v>9550</v>
      </c>
      <c r="I634" s="42">
        <v>7802</v>
      </c>
      <c r="J634" s="37" t="s">
        <v>2238</v>
      </c>
      <c r="K634" s="39">
        <v>45493</v>
      </c>
      <c r="L634" s="33" t="s">
        <v>58</v>
      </c>
      <c r="M634" s="41">
        <v>382000</v>
      </c>
      <c r="N634" s="34">
        <f t="shared" si="18"/>
        <v>1248.32</v>
      </c>
      <c r="O634" s="36">
        <f t="shared" si="19"/>
        <v>78.02</v>
      </c>
      <c r="P634" s="35">
        <v>500</v>
      </c>
    </row>
    <row r="635" spans="1:16" x14ac:dyDescent="0.25">
      <c r="A635" s="37" t="s">
        <v>744</v>
      </c>
      <c r="B635" s="37"/>
      <c r="C635" s="40" t="s">
        <v>33</v>
      </c>
      <c r="D635" s="39">
        <v>45493</v>
      </c>
      <c r="E635" s="39">
        <v>45858</v>
      </c>
      <c r="F635" s="37" t="s">
        <v>1503</v>
      </c>
      <c r="G635" s="37" t="s">
        <v>62</v>
      </c>
      <c r="H635" s="41">
        <v>13370</v>
      </c>
      <c r="I635" s="42">
        <v>11095</v>
      </c>
      <c r="J635" s="37" t="s">
        <v>2239</v>
      </c>
      <c r="K635" s="39">
        <v>45493</v>
      </c>
      <c r="L635" s="33" t="s">
        <v>58</v>
      </c>
      <c r="M635" s="41">
        <v>382000</v>
      </c>
      <c r="N635" s="34">
        <f t="shared" si="18"/>
        <v>1775.2</v>
      </c>
      <c r="O635" s="36">
        <f t="shared" si="19"/>
        <v>110.95</v>
      </c>
      <c r="P635" s="35">
        <v>500</v>
      </c>
    </row>
    <row r="636" spans="1:16" x14ac:dyDescent="0.25">
      <c r="A636" s="37" t="s">
        <v>745</v>
      </c>
      <c r="B636" s="37"/>
      <c r="C636" s="40" t="s">
        <v>33</v>
      </c>
      <c r="D636" s="39">
        <v>45859</v>
      </c>
      <c r="E636" s="39">
        <v>46224</v>
      </c>
      <c r="F636" s="37" t="s">
        <v>1503</v>
      </c>
      <c r="G636" s="37" t="s">
        <v>62</v>
      </c>
      <c r="H636" s="41">
        <v>13370</v>
      </c>
      <c r="I636" s="42">
        <v>11095</v>
      </c>
      <c r="J636" s="37" t="s">
        <v>2239</v>
      </c>
      <c r="K636" s="39">
        <v>45493</v>
      </c>
      <c r="L636" s="33" t="s">
        <v>58</v>
      </c>
      <c r="M636" s="41">
        <v>382000</v>
      </c>
      <c r="N636" s="34">
        <f t="shared" si="18"/>
        <v>1775.2</v>
      </c>
      <c r="O636" s="36">
        <f t="shared" si="19"/>
        <v>110.95</v>
      </c>
      <c r="P636" s="35">
        <v>500</v>
      </c>
    </row>
    <row r="637" spans="1:16" x14ac:dyDescent="0.25">
      <c r="A637" s="37" t="s">
        <v>746</v>
      </c>
      <c r="B637" s="37"/>
      <c r="C637" s="40" t="s">
        <v>51</v>
      </c>
      <c r="D637" s="39">
        <v>45493</v>
      </c>
      <c r="E637" s="39">
        <v>45858</v>
      </c>
      <c r="F637" s="37" t="s">
        <v>1504</v>
      </c>
      <c r="G637" s="37" t="s">
        <v>63</v>
      </c>
      <c r="H637" s="41">
        <v>13675</v>
      </c>
      <c r="I637" s="42">
        <v>11358</v>
      </c>
      <c r="J637" s="37" t="s">
        <v>2240</v>
      </c>
      <c r="K637" s="39">
        <v>45493</v>
      </c>
      <c r="L637" s="33" t="s">
        <v>58</v>
      </c>
      <c r="M637" s="41">
        <v>547000</v>
      </c>
      <c r="N637" s="34">
        <f t="shared" si="18"/>
        <v>1817.28</v>
      </c>
      <c r="O637" s="36">
        <f t="shared" si="19"/>
        <v>113.58</v>
      </c>
      <c r="P637" s="35">
        <v>500</v>
      </c>
    </row>
    <row r="638" spans="1:16" x14ac:dyDescent="0.25">
      <c r="A638" s="37" t="s">
        <v>747</v>
      </c>
      <c r="B638" s="37"/>
      <c r="C638" s="40" t="s">
        <v>35</v>
      </c>
      <c r="D638" s="39">
        <v>45493</v>
      </c>
      <c r="E638" s="39">
        <v>45858</v>
      </c>
      <c r="F638" s="37" t="s">
        <v>1505</v>
      </c>
      <c r="G638" s="37" t="s">
        <v>61</v>
      </c>
      <c r="H638" s="41">
        <v>12320</v>
      </c>
      <c r="I638" s="42">
        <v>10190</v>
      </c>
      <c r="J638" s="37" t="s">
        <v>2241</v>
      </c>
      <c r="K638" s="39">
        <v>45493</v>
      </c>
      <c r="L638" s="33" t="s">
        <v>58</v>
      </c>
      <c r="M638" s="41">
        <v>352000</v>
      </c>
      <c r="N638" s="34">
        <f t="shared" si="18"/>
        <v>1630.4</v>
      </c>
      <c r="O638" s="36">
        <f t="shared" si="19"/>
        <v>101.9</v>
      </c>
      <c r="P638" s="35">
        <v>500</v>
      </c>
    </row>
    <row r="639" spans="1:16" x14ac:dyDescent="0.25">
      <c r="A639" s="37" t="s">
        <v>748</v>
      </c>
      <c r="B639" s="37"/>
      <c r="C639" s="40" t="s">
        <v>31</v>
      </c>
      <c r="D639" s="39">
        <v>45495</v>
      </c>
      <c r="E639" s="39">
        <v>45860</v>
      </c>
      <c r="F639" s="37" t="s">
        <v>1506</v>
      </c>
      <c r="G639" s="37" t="s">
        <v>64</v>
      </c>
      <c r="H639" s="41">
        <v>17465</v>
      </c>
      <c r="I639" s="42">
        <v>14625</v>
      </c>
      <c r="J639" s="37" t="s">
        <v>2242</v>
      </c>
      <c r="K639" s="39">
        <v>45495</v>
      </c>
      <c r="L639" s="33" t="s">
        <v>58</v>
      </c>
      <c r="M639" s="41">
        <v>499000</v>
      </c>
      <c r="N639" s="34">
        <f t="shared" si="18"/>
        <v>2340</v>
      </c>
      <c r="O639" s="36">
        <f t="shared" si="19"/>
        <v>146.25</v>
      </c>
      <c r="P639" s="35">
        <v>500</v>
      </c>
    </row>
    <row r="640" spans="1:16" x14ac:dyDescent="0.25">
      <c r="A640" s="37" t="s">
        <v>749</v>
      </c>
      <c r="B640" s="37"/>
      <c r="C640" s="40" t="s">
        <v>31</v>
      </c>
      <c r="D640" s="39">
        <v>45861</v>
      </c>
      <c r="E640" s="39">
        <v>46226</v>
      </c>
      <c r="F640" s="37" t="s">
        <v>1506</v>
      </c>
      <c r="G640" s="37" t="s">
        <v>64</v>
      </c>
      <c r="H640" s="41">
        <v>17465</v>
      </c>
      <c r="I640" s="42">
        <v>14625</v>
      </c>
      <c r="J640" s="37" t="s">
        <v>2242</v>
      </c>
      <c r="K640" s="39">
        <v>45495</v>
      </c>
      <c r="L640" s="33" t="s">
        <v>58</v>
      </c>
      <c r="M640" s="41">
        <v>499000</v>
      </c>
      <c r="N640" s="34">
        <f t="shared" si="18"/>
        <v>2340</v>
      </c>
      <c r="O640" s="36">
        <f t="shared" si="19"/>
        <v>146.25</v>
      </c>
      <c r="P640" s="35">
        <v>500</v>
      </c>
    </row>
    <row r="641" spans="1:16" x14ac:dyDescent="0.25">
      <c r="A641" s="37" t="s">
        <v>750</v>
      </c>
      <c r="B641" s="37"/>
      <c r="C641" s="40" t="s">
        <v>30</v>
      </c>
      <c r="D641" s="39">
        <v>45495</v>
      </c>
      <c r="E641" s="39">
        <v>45860</v>
      </c>
      <c r="F641" s="37" t="s">
        <v>1507</v>
      </c>
      <c r="G641" s="37" t="s">
        <v>62</v>
      </c>
      <c r="H641" s="41">
        <v>13370</v>
      </c>
      <c r="I641" s="42">
        <v>11095</v>
      </c>
      <c r="J641" s="37" t="s">
        <v>2243</v>
      </c>
      <c r="K641" s="39">
        <v>45495</v>
      </c>
      <c r="L641" s="33" t="s">
        <v>58</v>
      </c>
      <c r="M641" s="41">
        <v>382000</v>
      </c>
      <c r="N641" s="34">
        <f t="shared" ref="N641:N704" si="20">I641*16/100</f>
        <v>1775.2</v>
      </c>
      <c r="O641" s="36">
        <f t="shared" ref="O641:O704" si="21">I641*1/100</f>
        <v>110.95</v>
      </c>
      <c r="P641" s="35">
        <v>500</v>
      </c>
    </row>
    <row r="642" spans="1:16" x14ac:dyDescent="0.25">
      <c r="A642" s="37" t="s">
        <v>751</v>
      </c>
      <c r="B642" s="37"/>
      <c r="C642" s="40" t="s">
        <v>30</v>
      </c>
      <c r="D642" s="39">
        <v>45861</v>
      </c>
      <c r="E642" s="39">
        <v>46226</v>
      </c>
      <c r="F642" s="37" t="s">
        <v>1507</v>
      </c>
      <c r="G642" s="37" t="s">
        <v>62</v>
      </c>
      <c r="H642" s="41">
        <v>13370</v>
      </c>
      <c r="I642" s="42">
        <v>11095</v>
      </c>
      <c r="J642" s="37" t="s">
        <v>2243</v>
      </c>
      <c r="K642" s="39">
        <v>45495</v>
      </c>
      <c r="L642" s="33" t="s">
        <v>58</v>
      </c>
      <c r="M642" s="41">
        <v>382000</v>
      </c>
      <c r="N642" s="34">
        <f t="shared" si="20"/>
        <v>1775.2</v>
      </c>
      <c r="O642" s="36">
        <f t="shared" si="21"/>
        <v>110.95</v>
      </c>
      <c r="P642" s="35">
        <v>500</v>
      </c>
    </row>
    <row r="643" spans="1:16" x14ac:dyDescent="0.25">
      <c r="A643" s="37" t="s">
        <v>752</v>
      </c>
      <c r="B643" s="37"/>
      <c r="C643" s="40" t="s">
        <v>34</v>
      </c>
      <c r="D643" s="39">
        <v>45495</v>
      </c>
      <c r="E643" s="39">
        <v>45860</v>
      </c>
      <c r="F643" s="37" t="s">
        <v>1508</v>
      </c>
      <c r="G643" s="37" t="s">
        <v>61</v>
      </c>
      <c r="H643" s="41">
        <v>8800</v>
      </c>
      <c r="I643" s="42">
        <v>7155</v>
      </c>
      <c r="J643" s="37" t="s">
        <v>2244</v>
      </c>
      <c r="K643" s="39">
        <v>45495</v>
      </c>
      <c r="L643" s="33" t="s">
        <v>58</v>
      </c>
      <c r="M643" s="41">
        <v>352000</v>
      </c>
      <c r="N643" s="34">
        <f t="shared" si="20"/>
        <v>1144.8</v>
      </c>
      <c r="O643" s="36">
        <f t="shared" si="21"/>
        <v>71.55</v>
      </c>
      <c r="P643" s="35">
        <v>500</v>
      </c>
    </row>
    <row r="644" spans="1:16" x14ac:dyDescent="0.25">
      <c r="A644" s="37" t="s">
        <v>753</v>
      </c>
      <c r="B644" s="37"/>
      <c r="C644" s="40" t="s">
        <v>34</v>
      </c>
      <c r="D644" s="39">
        <v>45495</v>
      </c>
      <c r="E644" s="39">
        <v>45860</v>
      </c>
      <c r="F644" s="37" t="s">
        <v>1509</v>
      </c>
      <c r="G644" s="37" t="s">
        <v>61</v>
      </c>
      <c r="H644" s="41">
        <v>8800</v>
      </c>
      <c r="I644" s="42">
        <v>7155</v>
      </c>
      <c r="J644" s="37" t="s">
        <v>2245</v>
      </c>
      <c r="K644" s="39">
        <v>45495</v>
      </c>
      <c r="L644" s="33" t="s">
        <v>58</v>
      </c>
      <c r="M644" s="41">
        <v>352000</v>
      </c>
      <c r="N644" s="34">
        <f t="shared" si="20"/>
        <v>1144.8</v>
      </c>
      <c r="O644" s="36">
        <f t="shared" si="21"/>
        <v>71.55</v>
      </c>
      <c r="P644" s="35">
        <v>500</v>
      </c>
    </row>
    <row r="645" spans="1:16" x14ac:dyDescent="0.25">
      <c r="A645" s="37" t="s">
        <v>754</v>
      </c>
      <c r="B645" s="37"/>
      <c r="C645" s="40" t="s">
        <v>53</v>
      </c>
      <c r="D645" s="39">
        <v>45495</v>
      </c>
      <c r="E645" s="39">
        <v>45860</v>
      </c>
      <c r="F645" s="37" t="s">
        <v>1510</v>
      </c>
      <c r="G645" s="37" t="s">
        <v>61</v>
      </c>
      <c r="H645" s="41">
        <v>8800</v>
      </c>
      <c r="I645" s="42">
        <v>7155</v>
      </c>
      <c r="J645" s="37" t="s">
        <v>2246</v>
      </c>
      <c r="K645" s="39">
        <v>45495</v>
      </c>
      <c r="L645" s="33" t="s">
        <v>58</v>
      </c>
      <c r="M645" s="41">
        <v>352000</v>
      </c>
      <c r="N645" s="34">
        <f t="shared" si="20"/>
        <v>1144.8</v>
      </c>
      <c r="O645" s="36">
        <f t="shared" si="21"/>
        <v>71.55</v>
      </c>
      <c r="P645" s="35">
        <v>500</v>
      </c>
    </row>
    <row r="646" spans="1:16" x14ac:dyDescent="0.25">
      <c r="A646" s="37" t="s">
        <v>755</v>
      </c>
      <c r="B646" s="37"/>
      <c r="C646" s="40" t="s">
        <v>34</v>
      </c>
      <c r="D646" s="39">
        <v>45495</v>
      </c>
      <c r="E646" s="39">
        <v>45860</v>
      </c>
      <c r="F646" s="37" t="s">
        <v>97</v>
      </c>
      <c r="G646" s="37" t="s">
        <v>61</v>
      </c>
      <c r="H646" s="41">
        <v>8800</v>
      </c>
      <c r="I646" s="42">
        <v>7155</v>
      </c>
      <c r="J646" s="37" t="s">
        <v>2247</v>
      </c>
      <c r="K646" s="39">
        <v>45495</v>
      </c>
      <c r="L646" s="33" t="s">
        <v>58</v>
      </c>
      <c r="M646" s="41">
        <v>352000</v>
      </c>
      <c r="N646" s="34">
        <f t="shared" si="20"/>
        <v>1144.8</v>
      </c>
      <c r="O646" s="36">
        <f t="shared" si="21"/>
        <v>71.55</v>
      </c>
      <c r="P646" s="35">
        <v>500</v>
      </c>
    </row>
    <row r="647" spans="1:16" x14ac:dyDescent="0.25">
      <c r="A647" s="37" t="s">
        <v>756</v>
      </c>
      <c r="B647" s="37"/>
      <c r="C647" s="40" t="s">
        <v>53</v>
      </c>
      <c r="D647" s="39">
        <v>45495</v>
      </c>
      <c r="E647" s="39">
        <v>45860</v>
      </c>
      <c r="F647" s="37" t="s">
        <v>1511</v>
      </c>
      <c r="G647" s="37" t="s">
        <v>61</v>
      </c>
      <c r="H647" s="41">
        <v>8800</v>
      </c>
      <c r="I647" s="42">
        <v>7155</v>
      </c>
      <c r="J647" s="37" t="s">
        <v>2248</v>
      </c>
      <c r="K647" s="39">
        <v>45495</v>
      </c>
      <c r="L647" s="33" t="s">
        <v>58</v>
      </c>
      <c r="M647" s="41">
        <v>352000</v>
      </c>
      <c r="N647" s="34">
        <f t="shared" si="20"/>
        <v>1144.8</v>
      </c>
      <c r="O647" s="36">
        <f t="shared" si="21"/>
        <v>71.55</v>
      </c>
      <c r="P647" s="35">
        <v>500</v>
      </c>
    </row>
    <row r="648" spans="1:16" x14ac:dyDescent="0.25">
      <c r="A648" s="37" t="s">
        <v>757</v>
      </c>
      <c r="B648" s="37"/>
      <c r="C648" s="40" t="s">
        <v>74</v>
      </c>
      <c r="D648" s="39">
        <v>45495</v>
      </c>
      <c r="E648" s="39">
        <v>45860</v>
      </c>
      <c r="F648" s="37" t="s">
        <v>1512</v>
      </c>
      <c r="G648" s="37" t="s">
        <v>61</v>
      </c>
      <c r="H648" s="41">
        <v>8800</v>
      </c>
      <c r="I648" s="42">
        <v>7155</v>
      </c>
      <c r="J648" s="37" t="s">
        <v>2249</v>
      </c>
      <c r="K648" s="39">
        <v>45495</v>
      </c>
      <c r="L648" s="33" t="s">
        <v>58</v>
      </c>
      <c r="M648" s="41">
        <v>352001</v>
      </c>
      <c r="N648" s="34">
        <f t="shared" si="20"/>
        <v>1144.8</v>
      </c>
      <c r="O648" s="36">
        <f t="shared" si="21"/>
        <v>71.55</v>
      </c>
      <c r="P648" s="35">
        <v>500</v>
      </c>
    </row>
    <row r="649" spans="1:16" x14ac:dyDescent="0.25">
      <c r="A649" s="37" t="s">
        <v>758</v>
      </c>
      <c r="B649" s="37"/>
      <c r="C649" s="40" t="s">
        <v>34</v>
      </c>
      <c r="D649" s="39">
        <v>45495</v>
      </c>
      <c r="E649" s="39">
        <v>45860</v>
      </c>
      <c r="F649" s="37" t="s">
        <v>1513</v>
      </c>
      <c r="G649" s="37" t="s">
        <v>61</v>
      </c>
      <c r="H649" s="41">
        <v>8800</v>
      </c>
      <c r="I649" s="42">
        <v>7155</v>
      </c>
      <c r="J649" s="37" t="s">
        <v>2250</v>
      </c>
      <c r="K649" s="39">
        <v>45495</v>
      </c>
      <c r="L649" s="33" t="s">
        <v>58</v>
      </c>
      <c r="M649" s="41">
        <v>352000</v>
      </c>
      <c r="N649" s="34">
        <f t="shared" si="20"/>
        <v>1144.8</v>
      </c>
      <c r="O649" s="36">
        <f t="shared" si="21"/>
        <v>71.55</v>
      </c>
      <c r="P649" s="35">
        <v>500</v>
      </c>
    </row>
    <row r="650" spans="1:16" x14ac:dyDescent="0.25">
      <c r="A650" s="37" t="s">
        <v>759</v>
      </c>
      <c r="B650" s="37"/>
      <c r="C650" s="40" t="s">
        <v>34</v>
      </c>
      <c r="D650" s="39">
        <v>45495</v>
      </c>
      <c r="E650" s="39">
        <v>45860</v>
      </c>
      <c r="F650" s="37" t="s">
        <v>1514</v>
      </c>
      <c r="G650" s="37" t="s">
        <v>65</v>
      </c>
      <c r="H650" s="41">
        <v>9550</v>
      </c>
      <c r="I650" s="42">
        <v>7802</v>
      </c>
      <c r="J650" s="37" t="s">
        <v>2251</v>
      </c>
      <c r="K650" s="39">
        <v>45495</v>
      </c>
      <c r="L650" s="33" t="s">
        <v>58</v>
      </c>
      <c r="M650" s="41">
        <v>382000</v>
      </c>
      <c r="N650" s="34">
        <f t="shared" si="20"/>
        <v>1248.32</v>
      </c>
      <c r="O650" s="36">
        <f t="shared" si="21"/>
        <v>78.02</v>
      </c>
      <c r="P650" s="35">
        <v>500</v>
      </c>
    </row>
    <row r="651" spans="1:16" x14ac:dyDescent="0.25">
      <c r="A651" s="37" t="s">
        <v>760</v>
      </c>
      <c r="B651" s="37"/>
      <c r="C651" s="40" t="s">
        <v>32</v>
      </c>
      <c r="D651" s="39">
        <v>45495</v>
      </c>
      <c r="E651" s="39">
        <v>45860</v>
      </c>
      <c r="F651" s="37" t="s">
        <v>1515</v>
      </c>
      <c r="G651" s="37" t="s">
        <v>62</v>
      </c>
      <c r="H651" s="41">
        <v>13370</v>
      </c>
      <c r="I651" s="42">
        <v>11095</v>
      </c>
      <c r="J651" s="37" t="s">
        <v>2252</v>
      </c>
      <c r="K651" s="39">
        <v>45495</v>
      </c>
      <c r="L651" s="33" t="s">
        <v>58</v>
      </c>
      <c r="M651" s="41">
        <v>382000</v>
      </c>
      <c r="N651" s="34">
        <f t="shared" si="20"/>
        <v>1775.2</v>
      </c>
      <c r="O651" s="36">
        <f t="shared" si="21"/>
        <v>110.95</v>
      </c>
      <c r="P651" s="35">
        <v>500</v>
      </c>
    </row>
    <row r="652" spans="1:16" x14ac:dyDescent="0.25">
      <c r="A652" s="37" t="s">
        <v>761</v>
      </c>
      <c r="B652" s="37"/>
      <c r="C652" s="40" t="s">
        <v>34</v>
      </c>
      <c r="D652" s="39">
        <v>45495</v>
      </c>
      <c r="E652" s="39">
        <v>45860</v>
      </c>
      <c r="F652" s="37" t="s">
        <v>1516</v>
      </c>
      <c r="G652" s="37" t="s">
        <v>61</v>
      </c>
      <c r="H652" s="41">
        <v>8800</v>
      </c>
      <c r="I652" s="42">
        <v>7155</v>
      </c>
      <c r="J652" s="37" t="s">
        <v>2253</v>
      </c>
      <c r="K652" s="39">
        <v>45495</v>
      </c>
      <c r="L652" s="33" t="s">
        <v>58</v>
      </c>
      <c r="M652" s="41">
        <v>352000</v>
      </c>
      <c r="N652" s="34">
        <f t="shared" si="20"/>
        <v>1144.8</v>
      </c>
      <c r="O652" s="36">
        <f t="shared" si="21"/>
        <v>71.55</v>
      </c>
      <c r="P652" s="35">
        <v>500</v>
      </c>
    </row>
    <row r="653" spans="1:16" x14ac:dyDescent="0.25">
      <c r="A653" s="37" t="s">
        <v>762</v>
      </c>
      <c r="B653" s="37"/>
      <c r="C653" s="40" t="s">
        <v>34</v>
      </c>
      <c r="D653" s="39">
        <v>45495</v>
      </c>
      <c r="E653" s="39">
        <v>45860</v>
      </c>
      <c r="F653" s="37" t="s">
        <v>1517</v>
      </c>
      <c r="G653" s="37" t="s">
        <v>61</v>
      </c>
      <c r="H653" s="41">
        <v>8800</v>
      </c>
      <c r="I653" s="42">
        <v>7155</v>
      </c>
      <c r="J653" s="37" t="s">
        <v>2254</v>
      </c>
      <c r="K653" s="39">
        <v>45495</v>
      </c>
      <c r="L653" s="33" t="s">
        <v>58</v>
      </c>
      <c r="M653" s="41">
        <v>352000</v>
      </c>
      <c r="N653" s="34">
        <f t="shared" si="20"/>
        <v>1144.8</v>
      </c>
      <c r="O653" s="36">
        <f t="shared" si="21"/>
        <v>71.55</v>
      </c>
      <c r="P653" s="35">
        <v>500</v>
      </c>
    </row>
    <row r="654" spans="1:16" x14ac:dyDescent="0.25">
      <c r="A654" s="37" t="s">
        <v>763</v>
      </c>
      <c r="B654" s="37"/>
      <c r="C654" s="40" t="s">
        <v>34</v>
      </c>
      <c r="D654" s="39">
        <v>45495</v>
      </c>
      <c r="E654" s="39">
        <v>45860</v>
      </c>
      <c r="F654" s="37" t="s">
        <v>1518</v>
      </c>
      <c r="G654" s="37" t="s">
        <v>61</v>
      </c>
      <c r="H654" s="41">
        <v>8800</v>
      </c>
      <c r="I654" s="42">
        <v>7155</v>
      </c>
      <c r="J654" s="37" t="s">
        <v>2255</v>
      </c>
      <c r="K654" s="39">
        <v>45495</v>
      </c>
      <c r="L654" s="33" t="s">
        <v>58</v>
      </c>
      <c r="M654" s="41">
        <v>352000</v>
      </c>
      <c r="N654" s="34">
        <f t="shared" si="20"/>
        <v>1144.8</v>
      </c>
      <c r="O654" s="36">
        <f t="shared" si="21"/>
        <v>71.55</v>
      </c>
      <c r="P654" s="35">
        <v>500</v>
      </c>
    </row>
    <row r="655" spans="1:16" x14ac:dyDescent="0.25">
      <c r="A655" s="37" t="s">
        <v>764</v>
      </c>
      <c r="B655" s="37"/>
      <c r="C655" s="40" t="s">
        <v>32</v>
      </c>
      <c r="D655" s="39">
        <v>45495</v>
      </c>
      <c r="E655" s="39">
        <v>45860</v>
      </c>
      <c r="F655" s="37" t="s">
        <v>1519</v>
      </c>
      <c r="G655" s="37" t="s">
        <v>61</v>
      </c>
      <c r="H655" s="41">
        <v>12320</v>
      </c>
      <c r="I655" s="42">
        <v>10190</v>
      </c>
      <c r="J655" s="37" t="s">
        <v>2256</v>
      </c>
      <c r="K655" s="39">
        <v>45495</v>
      </c>
      <c r="L655" s="33" t="s">
        <v>58</v>
      </c>
      <c r="M655" s="41">
        <v>352000</v>
      </c>
      <c r="N655" s="34">
        <f t="shared" si="20"/>
        <v>1630.4</v>
      </c>
      <c r="O655" s="36">
        <f t="shared" si="21"/>
        <v>101.9</v>
      </c>
      <c r="P655" s="35">
        <v>500</v>
      </c>
    </row>
    <row r="656" spans="1:16" x14ac:dyDescent="0.25">
      <c r="A656" s="37" t="s">
        <v>765</v>
      </c>
      <c r="B656" s="37"/>
      <c r="C656" s="40" t="s">
        <v>32</v>
      </c>
      <c r="D656" s="39">
        <v>45861</v>
      </c>
      <c r="E656" s="39">
        <v>46226</v>
      </c>
      <c r="F656" s="37" t="s">
        <v>1519</v>
      </c>
      <c r="G656" s="37" t="s">
        <v>61</v>
      </c>
      <c r="H656" s="41">
        <v>12320</v>
      </c>
      <c r="I656" s="42">
        <v>10190</v>
      </c>
      <c r="J656" s="37" t="s">
        <v>2256</v>
      </c>
      <c r="K656" s="39">
        <v>45495</v>
      </c>
      <c r="L656" s="33" t="s">
        <v>58</v>
      </c>
      <c r="M656" s="41">
        <v>352000</v>
      </c>
      <c r="N656" s="34">
        <f t="shared" si="20"/>
        <v>1630.4</v>
      </c>
      <c r="O656" s="36">
        <f t="shared" si="21"/>
        <v>101.9</v>
      </c>
      <c r="P656" s="35">
        <v>500</v>
      </c>
    </row>
    <row r="657" spans="1:16" x14ac:dyDescent="0.25">
      <c r="A657" s="37" t="s">
        <v>766</v>
      </c>
      <c r="B657" s="37"/>
      <c r="C657" s="40" t="s">
        <v>32</v>
      </c>
      <c r="D657" s="39">
        <v>45495</v>
      </c>
      <c r="E657" s="39">
        <v>45860</v>
      </c>
      <c r="F657" s="37" t="s">
        <v>1520</v>
      </c>
      <c r="G657" s="37" t="s">
        <v>61</v>
      </c>
      <c r="H657" s="41">
        <v>12320</v>
      </c>
      <c r="I657" s="42">
        <v>10190</v>
      </c>
      <c r="J657" s="37" t="s">
        <v>2257</v>
      </c>
      <c r="K657" s="39">
        <v>45495</v>
      </c>
      <c r="L657" s="33" t="s">
        <v>58</v>
      </c>
      <c r="M657" s="41">
        <v>352000</v>
      </c>
      <c r="N657" s="34">
        <f t="shared" si="20"/>
        <v>1630.4</v>
      </c>
      <c r="O657" s="36">
        <f t="shared" si="21"/>
        <v>101.9</v>
      </c>
      <c r="P657" s="35">
        <v>500</v>
      </c>
    </row>
    <row r="658" spans="1:16" x14ac:dyDescent="0.25">
      <c r="A658" s="37" t="s">
        <v>767</v>
      </c>
      <c r="B658" s="37"/>
      <c r="C658" s="40" t="s">
        <v>32</v>
      </c>
      <c r="D658" s="39">
        <v>45861</v>
      </c>
      <c r="E658" s="39">
        <v>46226</v>
      </c>
      <c r="F658" s="37" t="s">
        <v>1520</v>
      </c>
      <c r="G658" s="37" t="s">
        <v>61</v>
      </c>
      <c r="H658" s="41">
        <v>12320</v>
      </c>
      <c r="I658" s="42">
        <v>10190</v>
      </c>
      <c r="J658" s="37" t="s">
        <v>2257</v>
      </c>
      <c r="K658" s="39">
        <v>45495</v>
      </c>
      <c r="L658" s="33" t="s">
        <v>58</v>
      </c>
      <c r="M658" s="41">
        <v>352000</v>
      </c>
      <c r="N658" s="34">
        <f t="shared" si="20"/>
        <v>1630.4</v>
      </c>
      <c r="O658" s="36">
        <f t="shared" si="21"/>
        <v>101.9</v>
      </c>
      <c r="P658" s="35">
        <v>500</v>
      </c>
    </row>
    <row r="659" spans="1:16" x14ac:dyDescent="0.25">
      <c r="A659" s="37" t="s">
        <v>768</v>
      </c>
      <c r="B659" s="37"/>
      <c r="C659" s="40" t="s">
        <v>30</v>
      </c>
      <c r="D659" s="39">
        <v>45495</v>
      </c>
      <c r="E659" s="39">
        <v>45860</v>
      </c>
      <c r="F659" s="37" t="s">
        <v>1521</v>
      </c>
      <c r="G659" s="37" t="s">
        <v>61</v>
      </c>
      <c r="H659" s="41">
        <v>12320</v>
      </c>
      <c r="I659" s="42">
        <v>10190</v>
      </c>
      <c r="J659" s="37" t="s">
        <v>2258</v>
      </c>
      <c r="K659" s="39">
        <v>45495</v>
      </c>
      <c r="L659" s="33" t="s">
        <v>58</v>
      </c>
      <c r="M659" s="41">
        <v>352000</v>
      </c>
      <c r="N659" s="34">
        <f t="shared" si="20"/>
        <v>1630.4</v>
      </c>
      <c r="O659" s="36">
        <f t="shared" si="21"/>
        <v>101.9</v>
      </c>
      <c r="P659" s="35">
        <v>500</v>
      </c>
    </row>
    <row r="660" spans="1:16" x14ac:dyDescent="0.25">
      <c r="A660" s="37" t="s">
        <v>769</v>
      </c>
      <c r="B660" s="37"/>
      <c r="C660" s="40" t="s">
        <v>30</v>
      </c>
      <c r="D660" s="39">
        <v>45861</v>
      </c>
      <c r="E660" s="39">
        <v>46226</v>
      </c>
      <c r="F660" s="37" t="s">
        <v>1521</v>
      </c>
      <c r="G660" s="37" t="s">
        <v>61</v>
      </c>
      <c r="H660" s="41">
        <v>12320</v>
      </c>
      <c r="I660" s="42">
        <v>10190</v>
      </c>
      <c r="J660" s="37" t="s">
        <v>2258</v>
      </c>
      <c r="K660" s="39">
        <v>45495</v>
      </c>
      <c r="L660" s="33" t="s">
        <v>58</v>
      </c>
      <c r="M660" s="41">
        <v>352000</v>
      </c>
      <c r="N660" s="34">
        <f t="shared" si="20"/>
        <v>1630.4</v>
      </c>
      <c r="O660" s="36">
        <f t="shared" si="21"/>
        <v>101.9</v>
      </c>
      <c r="P660" s="35">
        <v>500</v>
      </c>
    </row>
    <row r="661" spans="1:16" x14ac:dyDescent="0.25">
      <c r="A661" s="37" t="s">
        <v>770</v>
      </c>
      <c r="B661" s="37"/>
      <c r="C661" s="40" t="s">
        <v>74</v>
      </c>
      <c r="D661" s="39">
        <v>45495</v>
      </c>
      <c r="E661" s="39">
        <v>45860</v>
      </c>
      <c r="F661" s="37" t="s">
        <v>1522</v>
      </c>
      <c r="G661" s="37" t="s">
        <v>63</v>
      </c>
      <c r="H661" s="41">
        <v>13675</v>
      </c>
      <c r="I661" s="42">
        <v>11358</v>
      </c>
      <c r="J661" s="37" t="s">
        <v>2259</v>
      </c>
      <c r="K661" s="39">
        <v>45495</v>
      </c>
      <c r="L661" s="33" t="s">
        <v>58</v>
      </c>
      <c r="M661" s="41">
        <v>547001</v>
      </c>
      <c r="N661" s="34">
        <f t="shared" si="20"/>
        <v>1817.28</v>
      </c>
      <c r="O661" s="36">
        <f t="shared" si="21"/>
        <v>113.58</v>
      </c>
      <c r="P661" s="35">
        <v>500</v>
      </c>
    </row>
    <row r="662" spans="1:16" x14ac:dyDescent="0.25">
      <c r="A662" s="37" t="s">
        <v>771</v>
      </c>
      <c r="B662" s="37"/>
      <c r="C662" s="40" t="s">
        <v>32</v>
      </c>
      <c r="D662" s="39">
        <v>45495</v>
      </c>
      <c r="E662" s="39">
        <v>45860</v>
      </c>
      <c r="F662" s="37" t="s">
        <v>1523</v>
      </c>
      <c r="G662" s="37" t="s">
        <v>62</v>
      </c>
      <c r="H662" s="41">
        <v>12320</v>
      </c>
      <c r="I662" s="42">
        <v>10190</v>
      </c>
      <c r="J662" s="37" t="s">
        <v>2260</v>
      </c>
      <c r="K662" s="39">
        <v>45495</v>
      </c>
      <c r="L662" s="33" t="s">
        <v>58</v>
      </c>
      <c r="M662" s="41">
        <v>352000</v>
      </c>
      <c r="N662" s="34">
        <f t="shared" si="20"/>
        <v>1630.4</v>
      </c>
      <c r="O662" s="36">
        <f t="shared" si="21"/>
        <v>101.9</v>
      </c>
      <c r="P662" s="35">
        <v>500</v>
      </c>
    </row>
    <row r="663" spans="1:16" x14ac:dyDescent="0.25">
      <c r="A663" s="37" t="s">
        <v>772</v>
      </c>
      <c r="B663" s="37"/>
      <c r="C663" s="40" t="s">
        <v>32</v>
      </c>
      <c r="D663" s="39">
        <v>45861</v>
      </c>
      <c r="E663" s="39">
        <v>46226</v>
      </c>
      <c r="F663" s="37" t="s">
        <v>1523</v>
      </c>
      <c r="G663" s="37" t="s">
        <v>62</v>
      </c>
      <c r="H663" s="41">
        <v>12320</v>
      </c>
      <c r="I663" s="42">
        <v>10190</v>
      </c>
      <c r="J663" s="37" t="s">
        <v>2260</v>
      </c>
      <c r="K663" s="39">
        <v>45495</v>
      </c>
      <c r="L663" s="33" t="s">
        <v>58</v>
      </c>
      <c r="M663" s="41">
        <v>352000</v>
      </c>
      <c r="N663" s="34">
        <f t="shared" si="20"/>
        <v>1630.4</v>
      </c>
      <c r="O663" s="36">
        <f t="shared" si="21"/>
        <v>101.9</v>
      </c>
      <c r="P663" s="35">
        <v>500</v>
      </c>
    </row>
    <row r="664" spans="1:16" x14ac:dyDescent="0.25">
      <c r="A664" s="37" t="s">
        <v>773</v>
      </c>
      <c r="B664" s="37"/>
      <c r="C664" s="40" t="s">
        <v>30</v>
      </c>
      <c r="D664" s="39">
        <v>45495</v>
      </c>
      <c r="E664" s="39">
        <v>45860</v>
      </c>
      <c r="F664" s="37" t="s">
        <v>1524</v>
      </c>
      <c r="G664" s="37" t="s">
        <v>61</v>
      </c>
      <c r="H664" s="41">
        <v>12320</v>
      </c>
      <c r="I664" s="42">
        <v>10190</v>
      </c>
      <c r="J664" s="37" t="s">
        <v>2214</v>
      </c>
      <c r="K664" s="39">
        <v>45495</v>
      </c>
      <c r="L664" s="33" t="s">
        <v>58</v>
      </c>
      <c r="M664" s="41">
        <v>352000</v>
      </c>
      <c r="N664" s="34">
        <f t="shared" si="20"/>
        <v>1630.4</v>
      </c>
      <c r="O664" s="36">
        <f t="shared" si="21"/>
        <v>101.9</v>
      </c>
      <c r="P664" s="35">
        <v>500</v>
      </c>
    </row>
    <row r="665" spans="1:16" x14ac:dyDescent="0.25">
      <c r="A665" s="37" t="s">
        <v>774</v>
      </c>
      <c r="B665" s="37"/>
      <c r="C665" s="40" t="s">
        <v>30</v>
      </c>
      <c r="D665" s="39">
        <v>45861</v>
      </c>
      <c r="E665" s="39">
        <v>46226</v>
      </c>
      <c r="F665" s="37" t="s">
        <v>1524</v>
      </c>
      <c r="G665" s="37" t="s">
        <v>61</v>
      </c>
      <c r="H665" s="41">
        <v>12320</v>
      </c>
      <c r="I665" s="42">
        <v>10190</v>
      </c>
      <c r="J665" s="37" t="s">
        <v>2214</v>
      </c>
      <c r="K665" s="39">
        <v>45495</v>
      </c>
      <c r="L665" s="33" t="s">
        <v>58</v>
      </c>
      <c r="M665" s="41">
        <v>352000</v>
      </c>
      <c r="N665" s="34">
        <f t="shared" si="20"/>
        <v>1630.4</v>
      </c>
      <c r="O665" s="36">
        <f t="shared" si="21"/>
        <v>101.9</v>
      </c>
      <c r="P665" s="35">
        <v>500</v>
      </c>
    </row>
    <row r="666" spans="1:16" x14ac:dyDescent="0.25">
      <c r="A666" s="37" t="s">
        <v>775</v>
      </c>
      <c r="B666" s="37"/>
      <c r="C666" s="40" t="s">
        <v>34</v>
      </c>
      <c r="D666" s="39">
        <v>45495</v>
      </c>
      <c r="E666" s="39">
        <v>45860</v>
      </c>
      <c r="F666" s="37" t="s">
        <v>1525</v>
      </c>
      <c r="G666" s="37" t="s">
        <v>64</v>
      </c>
      <c r="H666" s="41">
        <v>12475</v>
      </c>
      <c r="I666" s="42">
        <v>10323</v>
      </c>
      <c r="J666" s="37" t="s">
        <v>2262</v>
      </c>
      <c r="K666" s="39">
        <v>45495</v>
      </c>
      <c r="L666" s="33" t="s">
        <v>58</v>
      </c>
      <c r="M666" s="41">
        <v>499000</v>
      </c>
      <c r="N666" s="34">
        <f t="shared" si="20"/>
        <v>1651.68</v>
      </c>
      <c r="O666" s="36">
        <f t="shared" si="21"/>
        <v>103.23</v>
      </c>
      <c r="P666" s="35">
        <v>500</v>
      </c>
    </row>
    <row r="667" spans="1:16" x14ac:dyDescent="0.25">
      <c r="A667" s="37" t="s">
        <v>776</v>
      </c>
      <c r="B667" s="37"/>
      <c r="C667" s="40" t="s">
        <v>32</v>
      </c>
      <c r="D667" s="39">
        <v>45495</v>
      </c>
      <c r="E667" s="39">
        <v>45860</v>
      </c>
      <c r="F667" s="37" t="s">
        <v>1526</v>
      </c>
      <c r="G667" s="37" t="s">
        <v>63</v>
      </c>
      <c r="H667" s="41">
        <v>19145</v>
      </c>
      <c r="I667" s="42">
        <v>16073</v>
      </c>
      <c r="J667" s="37" t="s">
        <v>2263</v>
      </c>
      <c r="K667" s="39">
        <v>45495</v>
      </c>
      <c r="L667" s="33" t="s">
        <v>58</v>
      </c>
      <c r="M667" s="41">
        <v>547000</v>
      </c>
      <c r="N667" s="34">
        <f t="shared" si="20"/>
        <v>2571.6799999999998</v>
      </c>
      <c r="O667" s="36">
        <f t="shared" si="21"/>
        <v>160.72999999999999</v>
      </c>
      <c r="P667" s="35">
        <v>500</v>
      </c>
    </row>
    <row r="668" spans="1:16" x14ac:dyDescent="0.25">
      <c r="A668" s="37" t="s">
        <v>777</v>
      </c>
      <c r="B668" s="37"/>
      <c r="C668" s="40" t="s">
        <v>32</v>
      </c>
      <c r="D668" s="39">
        <v>45861</v>
      </c>
      <c r="E668" s="39">
        <v>46226</v>
      </c>
      <c r="F668" s="37" t="s">
        <v>1526</v>
      </c>
      <c r="G668" s="37" t="s">
        <v>63</v>
      </c>
      <c r="H668" s="41">
        <v>19145</v>
      </c>
      <c r="I668" s="42">
        <v>16073</v>
      </c>
      <c r="J668" s="37" t="s">
        <v>2263</v>
      </c>
      <c r="K668" s="39">
        <v>45495</v>
      </c>
      <c r="L668" s="33" t="s">
        <v>58</v>
      </c>
      <c r="M668" s="41">
        <v>547000</v>
      </c>
      <c r="N668" s="34">
        <f t="shared" si="20"/>
        <v>2571.6799999999998</v>
      </c>
      <c r="O668" s="36">
        <f t="shared" si="21"/>
        <v>160.72999999999999</v>
      </c>
      <c r="P668" s="35">
        <v>500</v>
      </c>
    </row>
    <row r="669" spans="1:16" x14ac:dyDescent="0.25">
      <c r="A669" s="37" t="s">
        <v>778</v>
      </c>
      <c r="B669" s="37"/>
      <c r="C669" s="40" t="s">
        <v>34</v>
      </c>
      <c r="D669" s="39">
        <v>45495</v>
      </c>
      <c r="E669" s="39">
        <v>45860</v>
      </c>
      <c r="F669" s="37" t="s">
        <v>1527</v>
      </c>
      <c r="G669" s="37" t="s">
        <v>61</v>
      </c>
      <c r="H669" s="41">
        <v>8800</v>
      </c>
      <c r="I669" s="42">
        <v>7155</v>
      </c>
      <c r="J669" s="37" t="s">
        <v>2226</v>
      </c>
      <c r="K669" s="39">
        <v>45495</v>
      </c>
      <c r="L669" s="33" t="s">
        <v>58</v>
      </c>
      <c r="M669" s="41">
        <v>352000</v>
      </c>
      <c r="N669" s="34">
        <f t="shared" si="20"/>
        <v>1144.8</v>
      </c>
      <c r="O669" s="36">
        <f t="shared" si="21"/>
        <v>71.55</v>
      </c>
      <c r="P669" s="35">
        <v>500</v>
      </c>
    </row>
    <row r="670" spans="1:16" x14ac:dyDescent="0.25">
      <c r="A670" s="37" t="s">
        <v>779</v>
      </c>
      <c r="B670" s="37"/>
      <c r="C670" s="40" t="s">
        <v>34</v>
      </c>
      <c r="D670" s="39">
        <v>45495</v>
      </c>
      <c r="E670" s="39">
        <v>45860</v>
      </c>
      <c r="F670" s="37" t="s">
        <v>1528</v>
      </c>
      <c r="G670" s="37" t="s">
        <v>61</v>
      </c>
      <c r="H670" s="41">
        <v>8800</v>
      </c>
      <c r="I670" s="42">
        <v>7155</v>
      </c>
      <c r="J670" s="37" t="s">
        <v>2264</v>
      </c>
      <c r="K670" s="39">
        <v>45495</v>
      </c>
      <c r="L670" s="33" t="s">
        <v>58</v>
      </c>
      <c r="M670" s="41">
        <v>352000</v>
      </c>
      <c r="N670" s="34">
        <f t="shared" si="20"/>
        <v>1144.8</v>
      </c>
      <c r="O670" s="36">
        <f t="shared" si="21"/>
        <v>71.55</v>
      </c>
      <c r="P670" s="35">
        <v>500</v>
      </c>
    </row>
    <row r="671" spans="1:16" x14ac:dyDescent="0.25">
      <c r="A671" s="37" t="s">
        <v>780</v>
      </c>
      <c r="B671" s="37"/>
      <c r="C671" s="40" t="s">
        <v>32</v>
      </c>
      <c r="D671" s="39">
        <v>45495</v>
      </c>
      <c r="E671" s="39">
        <v>45860</v>
      </c>
      <c r="F671" s="37" t="s">
        <v>1529</v>
      </c>
      <c r="G671" s="37" t="s">
        <v>62</v>
      </c>
      <c r="H671" s="41">
        <v>13370</v>
      </c>
      <c r="I671" s="42">
        <v>11095</v>
      </c>
      <c r="J671" s="37" t="s">
        <v>2265</v>
      </c>
      <c r="K671" s="39">
        <v>45495</v>
      </c>
      <c r="L671" s="33" t="s">
        <v>58</v>
      </c>
      <c r="M671" s="41">
        <v>382000</v>
      </c>
      <c r="N671" s="34">
        <f t="shared" si="20"/>
        <v>1775.2</v>
      </c>
      <c r="O671" s="36">
        <f t="shared" si="21"/>
        <v>110.95</v>
      </c>
      <c r="P671" s="35">
        <v>500</v>
      </c>
    </row>
    <row r="672" spans="1:16" x14ac:dyDescent="0.25">
      <c r="A672" s="37" t="s">
        <v>781</v>
      </c>
      <c r="B672" s="37"/>
      <c r="C672" s="40" t="s">
        <v>32</v>
      </c>
      <c r="D672" s="39">
        <v>45861</v>
      </c>
      <c r="E672" s="39">
        <v>46226</v>
      </c>
      <c r="F672" s="37" t="s">
        <v>1529</v>
      </c>
      <c r="G672" s="37" t="s">
        <v>62</v>
      </c>
      <c r="H672" s="41">
        <v>13370</v>
      </c>
      <c r="I672" s="42">
        <v>11095</v>
      </c>
      <c r="J672" s="37" t="s">
        <v>2265</v>
      </c>
      <c r="K672" s="39">
        <v>45495</v>
      </c>
      <c r="L672" s="33" t="s">
        <v>58</v>
      </c>
      <c r="M672" s="41">
        <v>382000</v>
      </c>
      <c r="N672" s="34">
        <f t="shared" si="20"/>
        <v>1775.2</v>
      </c>
      <c r="O672" s="36">
        <f t="shared" si="21"/>
        <v>110.95</v>
      </c>
      <c r="P672" s="35">
        <v>500</v>
      </c>
    </row>
    <row r="673" spans="1:16" x14ac:dyDescent="0.25">
      <c r="A673" s="37" t="s">
        <v>782</v>
      </c>
      <c r="B673" s="37"/>
      <c r="C673" s="40" t="s">
        <v>34</v>
      </c>
      <c r="D673" s="39">
        <v>45495</v>
      </c>
      <c r="E673" s="39">
        <v>45860</v>
      </c>
      <c r="F673" s="37" t="s">
        <v>91</v>
      </c>
      <c r="G673" s="37" t="s">
        <v>61</v>
      </c>
      <c r="H673" s="41">
        <v>8800</v>
      </c>
      <c r="I673" s="42">
        <v>7155</v>
      </c>
      <c r="J673" s="37" t="s">
        <v>2266</v>
      </c>
      <c r="K673" s="39">
        <v>45495</v>
      </c>
      <c r="L673" s="33" t="s">
        <v>58</v>
      </c>
      <c r="M673" s="41">
        <v>352000</v>
      </c>
      <c r="N673" s="34">
        <f t="shared" si="20"/>
        <v>1144.8</v>
      </c>
      <c r="O673" s="36">
        <f t="shared" si="21"/>
        <v>71.55</v>
      </c>
      <c r="P673" s="35">
        <v>500</v>
      </c>
    </row>
    <row r="674" spans="1:16" x14ac:dyDescent="0.25">
      <c r="A674" s="37" t="s">
        <v>783</v>
      </c>
      <c r="B674" s="37"/>
      <c r="C674" s="40" t="s">
        <v>34</v>
      </c>
      <c r="D674" s="39">
        <v>45495</v>
      </c>
      <c r="E674" s="39">
        <v>45860</v>
      </c>
      <c r="F674" s="37" t="s">
        <v>110</v>
      </c>
      <c r="G674" s="37" t="s">
        <v>63</v>
      </c>
      <c r="H674" s="41">
        <v>13675</v>
      </c>
      <c r="I674" s="42">
        <v>11358</v>
      </c>
      <c r="J674" s="37" t="s">
        <v>2267</v>
      </c>
      <c r="K674" s="39">
        <v>45495</v>
      </c>
      <c r="L674" s="33" t="s">
        <v>58</v>
      </c>
      <c r="M674" s="41">
        <v>547000</v>
      </c>
      <c r="N674" s="34">
        <f t="shared" si="20"/>
        <v>1817.28</v>
      </c>
      <c r="O674" s="36">
        <f t="shared" si="21"/>
        <v>113.58</v>
      </c>
      <c r="P674" s="35">
        <v>500</v>
      </c>
    </row>
    <row r="675" spans="1:16" x14ac:dyDescent="0.25">
      <c r="A675" s="37" t="s">
        <v>784</v>
      </c>
      <c r="B675" s="37"/>
      <c r="C675" s="40" t="s">
        <v>34</v>
      </c>
      <c r="D675" s="39">
        <v>45495</v>
      </c>
      <c r="E675" s="39">
        <v>45860</v>
      </c>
      <c r="F675" s="37" t="s">
        <v>1530</v>
      </c>
      <c r="G675" s="37" t="s">
        <v>61</v>
      </c>
      <c r="H675" s="41">
        <v>8800</v>
      </c>
      <c r="I675" s="42">
        <v>7155</v>
      </c>
      <c r="J675" s="37" t="s">
        <v>2268</v>
      </c>
      <c r="K675" s="39">
        <v>45495</v>
      </c>
      <c r="L675" s="33" t="s">
        <v>58</v>
      </c>
      <c r="M675" s="41">
        <v>352000</v>
      </c>
      <c r="N675" s="34">
        <f t="shared" si="20"/>
        <v>1144.8</v>
      </c>
      <c r="O675" s="36">
        <f t="shared" si="21"/>
        <v>71.55</v>
      </c>
      <c r="P675" s="35">
        <v>500</v>
      </c>
    </row>
    <row r="676" spans="1:16" x14ac:dyDescent="0.25">
      <c r="A676" s="37" t="s">
        <v>785</v>
      </c>
      <c r="B676" s="37"/>
      <c r="C676" s="40" t="s">
        <v>34</v>
      </c>
      <c r="D676" s="39">
        <v>45495</v>
      </c>
      <c r="E676" s="39">
        <v>45860</v>
      </c>
      <c r="F676" s="37" t="s">
        <v>1531</v>
      </c>
      <c r="G676" s="37" t="s">
        <v>62</v>
      </c>
      <c r="H676" s="41">
        <v>9550</v>
      </c>
      <c r="I676" s="42">
        <v>7802</v>
      </c>
      <c r="J676" s="37" t="s">
        <v>2269</v>
      </c>
      <c r="K676" s="39">
        <v>45495</v>
      </c>
      <c r="L676" s="33" t="s">
        <v>58</v>
      </c>
      <c r="M676" s="41">
        <v>382000</v>
      </c>
      <c r="N676" s="34">
        <f t="shared" si="20"/>
        <v>1248.32</v>
      </c>
      <c r="O676" s="36">
        <f t="shared" si="21"/>
        <v>78.02</v>
      </c>
      <c r="P676" s="35">
        <v>500</v>
      </c>
    </row>
    <row r="677" spans="1:16" x14ac:dyDescent="0.25">
      <c r="A677" s="37" t="s">
        <v>786</v>
      </c>
      <c r="B677" s="37"/>
      <c r="C677" s="40" t="s">
        <v>30</v>
      </c>
      <c r="D677" s="39">
        <v>45807</v>
      </c>
      <c r="E677" s="39">
        <v>46172</v>
      </c>
      <c r="F677" s="37" t="s">
        <v>1532</v>
      </c>
      <c r="G677" s="37" t="s">
        <v>61</v>
      </c>
      <c r="H677" s="41">
        <v>12320</v>
      </c>
      <c r="I677" s="42">
        <v>10190</v>
      </c>
      <c r="J677" s="37" t="s">
        <v>2270</v>
      </c>
      <c r="K677" s="39">
        <v>45495</v>
      </c>
      <c r="L677" s="33" t="s">
        <v>58</v>
      </c>
      <c r="M677" s="41">
        <v>352000</v>
      </c>
      <c r="N677" s="34">
        <f t="shared" si="20"/>
        <v>1630.4</v>
      </c>
      <c r="O677" s="36">
        <f t="shared" si="21"/>
        <v>101.9</v>
      </c>
      <c r="P677" s="35">
        <v>500</v>
      </c>
    </row>
    <row r="678" spans="1:16" x14ac:dyDescent="0.25">
      <c r="A678" s="37" t="s">
        <v>787</v>
      </c>
      <c r="B678" s="37"/>
      <c r="C678" s="40" t="s">
        <v>32</v>
      </c>
      <c r="D678" s="39">
        <v>45495</v>
      </c>
      <c r="E678" s="39">
        <v>45860</v>
      </c>
      <c r="F678" s="37" t="s">
        <v>1533</v>
      </c>
      <c r="G678" s="37" t="s">
        <v>62</v>
      </c>
      <c r="H678" s="41">
        <v>13370</v>
      </c>
      <c r="I678" s="42">
        <v>11095</v>
      </c>
      <c r="J678" s="37" t="s">
        <v>2271</v>
      </c>
      <c r="K678" s="39">
        <v>45495</v>
      </c>
      <c r="L678" s="33" t="s">
        <v>58</v>
      </c>
      <c r="M678" s="41">
        <v>382000</v>
      </c>
      <c r="N678" s="34">
        <f t="shared" si="20"/>
        <v>1775.2</v>
      </c>
      <c r="O678" s="36">
        <f t="shared" si="21"/>
        <v>110.95</v>
      </c>
      <c r="P678" s="35">
        <v>500</v>
      </c>
    </row>
    <row r="679" spans="1:16" x14ac:dyDescent="0.25">
      <c r="A679" s="37" t="s">
        <v>788</v>
      </c>
      <c r="B679" s="37"/>
      <c r="C679" s="40" t="s">
        <v>32</v>
      </c>
      <c r="D679" s="39">
        <v>45861</v>
      </c>
      <c r="E679" s="39">
        <v>46226</v>
      </c>
      <c r="F679" s="37" t="s">
        <v>1533</v>
      </c>
      <c r="G679" s="37" t="s">
        <v>62</v>
      </c>
      <c r="H679" s="41">
        <v>13370</v>
      </c>
      <c r="I679" s="42">
        <v>11095</v>
      </c>
      <c r="J679" s="37" t="s">
        <v>2271</v>
      </c>
      <c r="K679" s="39">
        <v>45495</v>
      </c>
      <c r="L679" s="33" t="s">
        <v>58</v>
      </c>
      <c r="M679" s="41">
        <v>382000</v>
      </c>
      <c r="N679" s="34">
        <f t="shared" si="20"/>
        <v>1775.2</v>
      </c>
      <c r="O679" s="36">
        <f t="shared" si="21"/>
        <v>110.95</v>
      </c>
      <c r="P679" s="35">
        <v>500</v>
      </c>
    </row>
    <row r="680" spans="1:16" x14ac:dyDescent="0.25">
      <c r="A680" s="37" t="s">
        <v>789</v>
      </c>
      <c r="B680" s="37"/>
      <c r="C680" s="40" t="s">
        <v>32</v>
      </c>
      <c r="D680" s="39">
        <v>45495</v>
      </c>
      <c r="E680" s="39">
        <v>45860</v>
      </c>
      <c r="F680" s="37" t="s">
        <v>1534</v>
      </c>
      <c r="G680" s="37" t="s">
        <v>62</v>
      </c>
      <c r="H680" s="41">
        <v>13370</v>
      </c>
      <c r="I680" s="42">
        <v>11095</v>
      </c>
      <c r="J680" s="37" t="s">
        <v>2272</v>
      </c>
      <c r="K680" s="39">
        <v>45495</v>
      </c>
      <c r="L680" s="33" t="s">
        <v>58</v>
      </c>
      <c r="M680" s="41">
        <v>382000</v>
      </c>
      <c r="N680" s="34">
        <f t="shared" si="20"/>
        <v>1775.2</v>
      </c>
      <c r="O680" s="36">
        <f t="shared" si="21"/>
        <v>110.95</v>
      </c>
      <c r="P680" s="35">
        <v>500</v>
      </c>
    </row>
    <row r="681" spans="1:16" x14ac:dyDescent="0.25">
      <c r="A681" s="37" t="s">
        <v>790</v>
      </c>
      <c r="B681" s="37"/>
      <c r="C681" s="40" t="s">
        <v>32</v>
      </c>
      <c r="D681" s="39">
        <v>45861</v>
      </c>
      <c r="E681" s="39">
        <v>46226</v>
      </c>
      <c r="F681" s="37" t="s">
        <v>1534</v>
      </c>
      <c r="G681" s="37" t="s">
        <v>62</v>
      </c>
      <c r="H681" s="41">
        <v>13370</v>
      </c>
      <c r="I681" s="42">
        <v>11095</v>
      </c>
      <c r="J681" s="37" t="s">
        <v>2272</v>
      </c>
      <c r="K681" s="39">
        <v>45495</v>
      </c>
      <c r="L681" s="33" t="s">
        <v>58</v>
      </c>
      <c r="M681" s="41">
        <v>382000</v>
      </c>
      <c r="N681" s="34">
        <f t="shared" si="20"/>
        <v>1775.2</v>
      </c>
      <c r="O681" s="36">
        <f t="shared" si="21"/>
        <v>110.95</v>
      </c>
      <c r="P681" s="35">
        <v>500</v>
      </c>
    </row>
    <row r="682" spans="1:16" x14ac:dyDescent="0.25">
      <c r="A682" s="37" t="s">
        <v>791</v>
      </c>
      <c r="B682" s="37"/>
      <c r="C682" s="40" t="s">
        <v>32</v>
      </c>
      <c r="D682" s="39">
        <v>45495</v>
      </c>
      <c r="E682" s="39">
        <v>45860</v>
      </c>
      <c r="F682" s="37" t="s">
        <v>84</v>
      </c>
      <c r="G682" s="37" t="s">
        <v>61</v>
      </c>
      <c r="H682" s="41">
        <v>12320</v>
      </c>
      <c r="I682" s="42">
        <v>10190</v>
      </c>
      <c r="J682" s="37" t="s">
        <v>2273</v>
      </c>
      <c r="K682" s="39">
        <v>45495</v>
      </c>
      <c r="L682" s="33" t="s">
        <v>58</v>
      </c>
      <c r="M682" s="41">
        <v>352000</v>
      </c>
      <c r="N682" s="34">
        <f t="shared" si="20"/>
        <v>1630.4</v>
      </c>
      <c r="O682" s="36">
        <f t="shared" si="21"/>
        <v>101.9</v>
      </c>
      <c r="P682" s="35">
        <v>500</v>
      </c>
    </row>
    <row r="683" spans="1:16" x14ac:dyDescent="0.25">
      <c r="A683" s="37" t="s">
        <v>792</v>
      </c>
      <c r="B683" s="37"/>
      <c r="C683" s="40" t="s">
        <v>32</v>
      </c>
      <c r="D683" s="39">
        <v>45861</v>
      </c>
      <c r="E683" s="39">
        <v>46226</v>
      </c>
      <c r="F683" s="37" t="s">
        <v>84</v>
      </c>
      <c r="G683" s="37" t="s">
        <v>61</v>
      </c>
      <c r="H683" s="41">
        <v>12320</v>
      </c>
      <c r="I683" s="42">
        <v>10190</v>
      </c>
      <c r="J683" s="37" t="s">
        <v>2273</v>
      </c>
      <c r="K683" s="39">
        <v>45495</v>
      </c>
      <c r="L683" s="33" t="s">
        <v>58</v>
      </c>
      <c r="M683" s="41">
        <v>352000</v>
      </c>
      <c r="N683" s="34">
        <f t="shared" si="20"/>
        <v>1630.4</v>
      </c>
      <c r="O683" s="36">
        <f t="shared" si="21"/>
        <v>101.9</v>
      </c>
      <c r="P683" s="35">
        <v>500</v>
      </c>
    </row>
    <row r="684" spans="1:16" x14ac:dyDescent="0.25">
      <c r="A684" s="37" t="s">
        <v>793</v>
      </c>
      <c r="B684" s="37"/>
      <c r="C684" s="40" t="s">
        <v>33</v>
      </c>
      <c r="D684" s="39">
        <v>45495</v>
      </c>
      <c r="E684" s="39">
        <v>45860</v>
      </c>
      <c r="F684" s="37" t="s">
        <v>1535</v>
      </c>
      <c r="G684" s="37" t="s">
        <v>61</v>
      </c>
      <c r="H684" s="41">
        <v>12320</v>
      </c>
      <c r="I684" s="42">
        <v>10190</v>
      </c>
      <c r="J684" s="37" t="s">
        <v>2274</v>
      </c>
      <c r="K684" s="39">
        <v>45495</v>
      </c>
      <c r="L684" s="33" t="s">
        <v>58</v>
      </c>
      <c r="M684" s="41">
        <v>352000</v>
      </c>
      <c r="N684" s="34">
        <f t="shared" si="20"/>
        <v>1630.4</v>
      </c>
      <c r="O684" s="36">
        <f t="shared" si="21"/>
        <v>101.9</v>
      </c>
      <c r="P684" s="35">
        <v>500</v>
      </c>
    </row>
    <row r="685" spans="1:16" x14ac:dyDescent="0.25">
      <c r="A685" s="37" t="s">
        <v>794</v>
      </c>
      <c r="B685" s="37"/>
      <c r="C685" s="40" t="s">
        <v>33</v>
      </c>
      <c r="D685" s="39">
        <v>45861</v>
      </c>
      <c r="E685" s="39">
        <v>46226</v>
      </c>
      <c r="F685" s="37" t="s">
        <v>1535</v>
      </c>
      <c r="G685" s="37" t="s">
        <v>61</v>
      </c>
      <c r="H685" s="41">
        <v>12320</v>
      </c>
      <c r="I685" s="42">
        <v>10190</v>
      </c>
      <c r="J685" s="37" t="s">
        <v>2274</v>
      </c>
      <c r="K685" s="39">
        <v>45495</v>
      </c>
      <c r="L685" s="33" t="s">
        <v>58</v>
      </c>
      <c r="M685" s="41">
        <v>352000</v>
      </c>
      <c r="N685" s="34">
        <f t="shared" si="20"/>
        <v>1630.4</v>
      </c>
      <c r="O685" s="36">
        <f t="shared" si="21"/>
        <v>101.9</v>
      </c>
      <c r="P685" s="35">
        <v>500</v>
      </c>
    </row>
    <row r="686" spans="1:16" x14ac:dyDescent="0.25">
      <c r="A686" s="37" t="s">
        <v>795</v>
      </c>
      <c r="B686" s="37"/>
      <c r="C686" s="40" t="s">
        <v>32</v>
      </c>
      <c r="D686" s="39">
        <v>45495</v>
      </c>
      <c r="E686" s="39">
        <v>45860</v>
      </c>
      <c r="F686" s="37" t="s">
        <v>1536</v>
      </c>
      <c r="G686" s="37" t="s">
        <v>62</v>
      </c>
      <c r="H686" s="41">
        <v>13370</v>
      </c>
      <c r="I686" s="42">
        <v>11095</v>
      </c>
      <c r="J686" s="37" t="s">
        <v>2275</v>
      </c>
      <c r="K686" s="39">
        <v>45495</v>
      </c>
      <c r="L686" s="33" t="s">
        <v>58</v>
      </c>
      <c r="M686" s="41">
        <v>382000</v>
      </c>
      <c r="N686" s="34">
        <f t="shared" si="20"/>
        <v>1775.2</v>
      </c>
      <c r="O686" s="36">
        <f t="shared" si="21"/>
        <v>110.95</v>
      </c>
      <c r="P686" s="35">
        <v>500</v>
      </c>
    </row>
    <row r="687" spans="1:16" x14ac:dyDescent="0.25">
      <c r="A687" s="37" t="s">
        <v>796</v>
      </c>
      <c r="B687" s="37"/>
      <c r="C687" s="40" t="s">
        <v>32</v>
      </c>
      <c r="D687" s="39">
        <v>45861</v>
      </c>
      <c r="E687" s="39">
        <v>46226</v>
      </c>
      <c r="F687" s="37" t="s">
        <v>1536</v>
      </c>
      <c r="G687" s="37" t="s">
        <v>62</v>
      </c>
      <c r="H687" s="41">
        <v>13370</v>
      </c>
      <c r="I687" s="42">
        <v>11095</v>
      </c>
      <c r="J687" s="37" t="s">
        <v>2275</v>
      </c>
      <c r="K687" s="39">
        <v>45495</v>
      </c>
      <c r="L687" s="33" t="s">
        <v>58</v>
      </c>
      <c r="M687" s="41">
        <v>382000</v>
      </c>
      <c r="N687" s="34">
        <f t="shared" si="20"/>
        <v>1775.2</v>
      </c>
      <c r="O687" s="36">
        <f t="shared" si="21"/>
        <v>110.95</v>
      </c>
      <c r="P687" s="35">
        <v>500</v>
      </c>
    </row>
    <row r="688" spans="1:16" x14ac:dyDescent="0.25">
      <c r="A688" s="37" t="s">
        <v>797</v>
      </c>
      <c r="B688" s="37"/>
      <c r="C688" s="40" t="s">
        <v>33</v>
      </c>
      <c r="D688" s="39">
        <v>45495</v>
      </c>
      <c r="E688" s="39">
        <v>45860</v>
      </c>
      <c r="F688" s="37" t="s">
        <v>1537</v>
      </c>
      <c r="G688" s="37" t="s">
        <v>62</v>
      </c>
      <c r="H688" s="41">
        <v>13370</v>
      </c>
      <c r="I688" s="42">
        <v>11095</v>
      </c>
      <c r="J688" s="37" t="s">
        <v>2276</v>
      </c>
      <c r="K688" s="39">
        <v>45495</v>
      </c>
      <c r="L688" s="33" t="s">
        <v>58</v>
      </c>
      <c r="M688" s="41">
        <v>382000</v>
      </c>
      <c r="N688" s="34">
        <f t="shared" si="20"/>
        <v>1775.2</v>
      </c>
      <c r="O688" s="36">
        <f t="shared" si="21"/>
        <v>110.95</v>
      </c>
      <c r="P688" s="35">
        <v>500</v>
      </c>
    </row>
    <row r="689" spans="1:16" x14ac:dyDescent="0.25">
      <c r="A689" s="37" t="s">
        <v>798</v>
      </c>
      <c r="B689" s="37"/>
      <c r="C689" s="40" t="s">
        <v>33</v>
      </c>
      <c r="D689" s="39">
        <v>45861</v>
      </c>
      <c r="E689" s="39">
        <v>46226</v>
      </c>
      <c r="F689" s="37" t="s">
        <v>1537</v>
      </c>
      <c r="G689" s="37" t="s">
        <v>62</v>
      </c>
      <c r="H689" s="41">
        <v>13370</v>
      </c>
      <c r="I689" s="42">
        <v>11095</v>
      </c>
      <c r="J689" s="37" t="s">
        <v>2276</v>
      </c>
      <c r="K689" s="39">
        <v>45495</v>
      </c>
      <c r="L689" s="33" t="s">
        <v>58</v>
      </c>
      <c r="M689" s="41">
        <v>382000</v>
      </c>
      <c r="N689" s="34">
        <f t="shared" si="20"/>
        <v>1775.2</v>
      </c>
      <c r="O689" s="36">
        <f t="shared" si="21"/>
        <v>110.95</v>
      </c>
      <c r="P689" s="35">
        <v>500</v>
      </c>
    </row>
    <row r="690" spans="1:16" x14ac:dyDescent="0.25">
      <c r="A690" s="37" t="s">
        <v>799</v>
      </c>
      <c r="B690" s="37"/>
      <c r="C690" s="40" t="s">
        <v>32</v>
      </c>
      <c r="D690" s="39">
        <v>45495</v>
      </c>
      <c r="E690" s="39">
        <v>45860</v>
      </c>
      <c r="F690" s="37" t="s">
        <v>1122</v>
      </c>
      <c r="G690" s="37" t="s">
        <v>61</v>
      </c>
      <c r="H690" s="41">
        <v>12320</v>
      </c>
      <c r="I690" s="42">
        <v>10190</v>
      </c>
      <c r="J690" s="37" t="s">
        <v>2277</v>
      </c>
      <c r="K690" s="39">
        <v>45495</v>
      </c>
      <c r="L690" s="33" t="s">
        <v>58</v>
      </c>
      <c r="M690" s="41">
        <v>352000</v>
      </c>
      <c r="N690" s="34">
        <f t="shared" si="20"/>
        <v>1630.4</v>
      </c>
      <c r="O690" s="36">
        <f t="shared" si="21"/>
        <v>101.9</v>
      </c>
      <c r="P690" s="35">
        <v>500</v>
      </c>
    </row>
    <row r="691" spans="1:16" x14ac:dyDescent="0.25">
      <c r="A691" s="37" t="s">
        <v>800</v>
      </c>
      <c r="B691" s="37"/>
      <c r="C691" s="40" t="s">
        <v>32</v>
      </c>
      <c r="D691" s="39">
        <v>45861</v>
      </c>
      <c r="E691" s="39">
        <v>46226</v>
      </c>
      <c r="F691" s="37" t="s">
        <v>1122</v>
      </c>
      <c r="G691" s="37" t="s">
        <v>61</v>
      </c>
      <c r="H691" s="41">
        <v>12320</v>
      </c>
      <c r="I691" s="42">
        <v>10190</v>
      </c>
      <c r="J691" s="37" t="s">
        <v>2277</v>
      </c>
      <c r="K691" s="39">
        <v>45495</v>
      </c>
      <c r="L691" s="33" t="s">
        <v>58</v>
      </c>
      <c r="M691" s="41">
        <v>352000</v>
      </c>
      <c r="N691" s="34">
        <f t="shared" si="20"/>
        <v>1630.4</v>
      </c>
      <c r="O691" s="36">
        <f t="shared" si="21"/>
        <v>101.9</v>
      </c>
      <c r="P691" s="35">
        <v>500</v>
      </c>
    </row>
    <row r="692" spans="1:16" x14ac:dyDescent="0.25">
      <c r="A692" s="37" t="s">
        <v>801</v>
      </c>
      <c r="B692" s="37"/>
      <c r="C692" s="40" t="s">
        <v>32</v>
      </c>
      <c r="D692" s="39">
        <v>45496</v>
      </c>
      <c r="E692" s="39">
        <v>45861</v>
      </c>
      <c r="F692" s="37" t="s">
        <v>1538</v>
      </c>
      <c r="G692" s="37" t="s">
        <v>61</v>
      </c>
      <c r="H692" s="41">
        <v>12320</v>
      </c>
      <c r="I692" s="42">
        <v>10190</v>
      </c>
      <c r="J692" s="37" t="s">
        <v>2193</v>
      </c>
      <c r="K692" s="39">
        <v>45496</v>
      </c>
      <c r="L692" s="33" t="s">
        <v>58</v>
      </c>
      <c r="M692" s="41">
        <v>352000</v>
      </c>
      <c r="N692" s="34">
        <f t="shared" si="20"/>
        <v>1630.4</v>
      </c>
      <c r="O692" s="36">
        <f t="shared" si="21"/>
        <v>101.9</v>
      </c>
      <c r="P692" s="35">
        <v>500</v>
      </c>
    </row>
    <row r="693" spans="1:16" x14ac:dyDescent="0.25">
      <c r="A693" s="37" t="s">
        <v>802</v>
      </c>
      <c r="B693" s="37"/>
      <c r="C693" s="40" t="s">
        <v>32</v>
      </c>
      <c r="D693" s="39">
        <v>45862</v>
      </c>
      <c r="E693" s="39">
        <v>46227</v>
      </c>
      <c r="F693" s="37" t="s">
        <v>1538</v>
      </c>
      <c r="G693" s="37" t="s">
        <v>61</v>
      </c>
      <c r="H693" s="41">
        <v>12320</v>
      </c>
      <c r="I693" s="42">
        <v>10190</v>
      </c>
      <c r="J693" s="37" t="s">
        <v>2193</v>
      </c>
      <c r="K693" s="39">
        <v>45496</v>
      </c>
      <c r="L693" s="33" t="s">
        <v>58</v>
      </c>
      <c r="M693" s="41">
        <v>352000</v>
      </c>
      <c r="N693" s="34">
        <f t="shared" si="20"/>
        <v>1630.4</v>
      </c>
      <c r="O693" s="36">
        <f t="shared" si="21"/>
        <v>101.9</v>
      </c>
      <c r="P693" s="35">
        <v>500</v>
      </c>
    </row>
    <row r="694" spans="1:16" x14ac:dyDescent="0.25">
      <c r="A694" s="37" t="s">
        <v>803</v>
      </c>
      <c r="B694" s="37"/>
      <c r="C694" s="40" t="s">
        <v>35</v>
      </c>
      <c r="D694" s="39">
        <v>45496</v>
      </c>
      <c r="E694" s="39">
        <v>45861</v>
      </c>
      <c r="F694" s="37" t="s">
        <v>1539</v>
      </c>
      <c r="G694" s="37" t="s">
        <v>61</v>
      </c>
      <c r="H694" s="41">
        <v>12320</v>
      </c>
      <c r="I694" s="42">
        <v>10190</v>
      </c>
      <c r="J694" s="37" t="s">
        <v>2278</v>
      </c>
      <c r="K694" s="39">
        <v>45496</v>
      </c>
      <c r="L694" s="33" t="s">
        <v>58</v>
      </c>
      <c r="M694" s="41">
        <v>352000</v>
      </c>
      <c r="N694" s="34">
        <f t="shared" si="20"/>
        <v>1630.4</v>
      </c>
      <c r="O694" s="36">
        <f t="shared" si="21"/>
        <v>101.9</v>
      </c>
      <c r="P694" s="35">
        <v>500</v>
      </c>
    </row>
    <row r="695" spans="1:16" x14ac:dyDescent="0.25">
      <c r="A695" s="37" t="s">
        <v>804</v>
      </c>
      <c r="B695" s="37"/>
      <c r="C695" s="40" t="s">
        <v>71</v>
      </c>
      <c r="D695" s="39">
        <v>45496</v>
      </c>
      <c r="E695" s="39">
        <v>45861</v>
      </c>
      <c r="F695" s="37" t="s">
        <v>1540</v>
      </c>
      <c r="G695" s="37" t="s">
        <v>61</v>
      </c>
      <c r="H695" s="41">
        <v>8800</v>
      </c>
      <c r="I695" s="42">
        <v>7155</v>
      </c>
      <c r="J695" s="37" t="s">
        <v>2280</v>
      </c>
      <c r="K695" s="39">
        <v>45496</v>
      </c>
      <c r="L695" s="33" t="s">
        <v>58</v>
      </c>
      <c r="M695" s="41">
        <v>352000</v>
      </c>
      <c r="N695" s="34">
        <f t="shared" si="20"/>
        <v>1144.8</v>
      </c>
      <c r="O695" s="36">
        <f t="shared" si="21"/>
        <v>71.55</v>
      </c>
      <c r="P695" s="35">
        <v>500</v>
      </c>
    </row>
    <row r="696" spans="1:16" x14ac:dyDescent="0.25">
      <c r="A696" s="37" t="s">
        <v>805</v>
      </c>
      <c r="B696" s="37"/>
      <c r="C696" s="40" t="s">
        <v>71</v>
      </c>
      <c r="D696" s="39">
        <v>45496</v>
      </c>
      <c r="E696" s="39">
        <v>45861</v>
      </c>
      <c r="F696" s="37" t="s">
        <v>60</v>
      </c>
      <c r="G696" s="37" t="s">
        <v>61</v>
      </c>
      <c r="H696" s="41">
        <v>8800</v>
      </c>
      <c r="I696" s="42">
        <v>7155</v>
      </c>
      <c r="J696" s="37" t="s">
        <v>2281</v>
      </c>
      <c r="K696" s="39">
        <v>45496</v>
      </c>
      <c r="L696" s="33" t="s">
        <v>58</v>
      </c>
      <c r="M696" s="41">
        <v>352000</v>
      </c>
      <c r="N696" s="34">
        <f t="shared" si="20"/>
        <v>1144.8</v>
      </c>
      <c r="O696" s="36">
        <f t="shared" si="21"/>
        <v>71.55</v>
      </c>
      <c r="P696" s="35">
        <v>500</v>
      </c>
    </row>
    <row r="697" spans="1:16" x14ac:dyDescent="0.25">
      <c r="A697" s="37" t="s">
        <v>806</v>
      </c>
      <c r="B697" s="37"/>
      <c r="C697" s="40" t="s">
        <v>53</v>
      </c>
      <c r="D697" s="39">
        <v>45496</v>
      </c>
      <c r="E697" s="39">
        <v>45861</v>
      </c>
      <c r="F697" s="37" t="s">
        <v>1541</v>
      </c>
      <c r="G697" s="37" t="s">
        <v>61</v>
      </c>
      <c r="H697" s="41">
        <v>8800</v>
      </c>
      <c r="I697" s="42">
        <v>7155</v>
      </c>
      <c r="J697" s="37" t="s">
        <v>2282</v>
      </c>
      <c r="K697" s="39">
        <v>45496</v>
      </c>
      <c r="L697" s="33" t="s">
        <v>58</v>
      </c>
      <c r="M697" s="41">
        <v>352000</v>
      </c>
      <c r="N697" s="34">
        <f t="shared" si="20"/>
        <v>1144.8</v>
      </c>
      <c r="O697" s="36">
        <f t="shared" si="21"/>
        <v>71.55</v>
      </c>
      <c r="P697" s="35">
        <v>500</v>
      </c>
    </row>
    <row r="698" spans="1:16" x14ac:dyDescent="0.25">
      <c r="A698" s="37" t="s">
        <v>807</v>
      </c>
      <c r="B698" s="37"/>
      <c r="C698" s="40" t="s">
        <v>53</v>
      </c>
      <c r="D698" s="39">
        <v>45496</v>
      </c>
      <c r="E698" s="39">
        <v>45861</v>
      </c>
      <c r="F698" s="37" t="s">
        <v>1542</v>
      </c>
      <c r="G698" s="37" t="s">
        <v>62</v>
      </c>
      <c r="H698" s="41">
        <v>9550</v>
      </c>
      <c r="I698" s="42">
        <v>7802</v>
      </c>
      <c r="J698" s="37" t="s">
        <v>2283</v>
      </c>
      <c r="K698" s="39">
        <v>45496</v>
      </c>
      <c r="L698" s="33" t="s">
        <v>58</v>
      </c>
      <c r="M698" s="41">
        <v>382000</v>
      </c>
      <c r="N698" s="34">
        <f t="shared" si="20"/>
        <v>1248.32</v>
      </c>
      <c r="O698" s="36">
        <f t="shared" si="21"/>
        <v>78.02</v>
      </c>
      <c r="P698" s="35">
        <v>500</v>
      </c>
    </row>
    <row r="699" spans="1:16" x14ac:dyDescent="0.25">
      <c r="A699" s="37" t="s">
        <v>808</v>
      </c>
      <c r="B699" s="37"/>
      <c r="C699" s="40" t="s">
        <v>72</v>
      </c>
      <c r="D699" s="39">
        <v>45496</v>
      </c>
      <c r="E699" s="39">
        <v>45861</v>
      </c>
      <c r="F699" s="37" t="s">
        <v>1543</v>
      </c>
      <c r="G699" s="37" t="s">
        <v>62</v>
      </c>
      <c r="H699" s="41">
        <v>9550</v>
      </c>
      <c r="I699" s="42">
        <v>7802</v>
      </c>
      <c r="J699" s="37" t="s">
        <v>2284</v>
      </c>
      <c r="K699" s="39">
        <v>45496</v>
      </c>
      <c r="L699" s="33" t="s">
        <v>58</v>
      </c>
      <c r="M699" s="41">
        <v>382000</v>
      </c>
      <c r="N699" s="34">
        <f t="shared" si="20"/>
        <v>1248.32</v>
      </c>
      <c r="O699" s="36">
        <f t="shared" si="21"/>
        <v>78.02</v>
      </c>
      <c r="P699" s="35">
        <v>500</v>
      </c>
    </row>
    <row r="700" spans="1:16" x14ac:dyDescent="0.25">
      <c r="A700" s="37" t="s">
        <v>809</v>
      </c>
      <c r="B700" s="37"/>
      <c r="C700" s="40" t="s">
        <v>36</v>
      </c>
      <c r="D700" s="39">
        <v>45496</v>
      </c>
      <c r="E700" s="39">
        <v>45861</v>
      </c>
      <c r="F700" s="37" t="s">
        <v>1544</v>
      </c>
      <c r="G700" s="37" t="s">
        <v>61</v>
      </c>
      <c r="H700" s="41">
        <v>12320</v>
      </c>
      <c r="I700" s="42">
        <v>10190</v>
      </c>
      <c r="J700" s="37" t="s">
        <v>2285</v>
      </c>
      <c r="K700" s="39">
        <v>45496</v>
      </c>
      <c r="L700" s="33" t="s">
        <v>58</v>
      </c>
      <c r="M700" s="41">
        <v>352000</v>
      </c>
      <c r="N700" s="34">
        <f t="shared" si="20"/>
        <v>1630.4</v>
      </c>
      <c r="O700" s="36">
        <f t="shared" si="21"/>
        <v>101.9</v>
      </c>
      <c r="P700" s="35">
        <v>500</v>
      </c>
    </row>
    <row r="701" spans="1:16" x14ac:dyDescent="0.25">
      <c r="A701" s="37" t="s">
        <v>810</v>
      </c>
      <c r="B701" s="37"/>
      <c r="C701" s="40" t="s">
        <v>31</v>
      </c>
      <c r="D701" s="39">
        <v>45496</v>
      </c>
      <c r="E701" s="39">
        <v>45861</v>
      </c>
      <c r="F701" s="37" t="s">
        <v>1545</v>
      </c>
      <c r="G701" s="37" t="s">
        <v>61</v>
      </c>
      <c r="H701" s="41">
        <v>12320</v>
      </c>
      <c r="I701" s="42">
        <v>10190</v>
      </c>
      <c r="J701" s="37" t="s">
        <v>2286</v>
      </c>
      <c r="K701" s="39">
        <v>45496</v>
      </c>
      <c r="L701" s="33" t="s">
        <v>58</v>
      </c>
      <c r="M701" s="41">
        <v>352000</v>
      </c>
      <c r="N701" s="34">
        <f t="shared" si="20"/>
        <v>1630.4</v>
      </c>
      <c r="O701" s="36">
        <f t="shared" si="21"/>
        <v>101.9</v>
      </c>
      <c r="P701" s="35">
        <v>500</v>
      </c>
    </row>
    <row r="702" spans="1:16" x14ac:dyDescent="0.25">
      <c r="A702" s="37" t="s">
        <v>811</v>
      </c>
      <c r="B702" s="37"/>
      <c r="C702" s="40" t="s">
        <v>31</v>
      </c>
      <c r="D702" s="39">
        <v>45862</v>
      </c>
      <c r="E702" s="39">
        <v>46227</v>
      </c>
      <c r="F702" s="37" t="s">
        <v>1545</v>
      </c>
      <c r="G702" s="37" t="s">
        <v>61</v>
      </c>
      <c r="H702" s="41">
        <v>12320</v>
      </c>
      <c r="I702" s="42">
        <v>10190</v>
      </c>
      <c r="J702" s="37" t="s">
        <v>2286</v>
      </c>
      <c r="K702" s="39">
        <v>45496</v>
      </c>
      <c r="L702" s="33" t="s">
        <v>58</v>
      </c>
      <c r="M702" s="41">
        <v>352000</v>
      </c>
      <c r="N702" s="34">
        <f t="shared" si="20"/>
        <v>1630.4</v>
      </c>
      <c r="O702" s="36">
        <f t="shared" si="21"/>
        <v>101.9</v>
      </c>
      <c r="P702" s="35">
        <v>500</v>
      </c>
    </row>
    <row r="703" spans="1:16" x14ac:dyDescent="0.25">
      <c r="A703" s="37" t="s">
        <v>812</v>
      </c>
      <c r="B703" s="37"/>
      <c r="C703" s="40" t="s">
        <v>54</v>
      </c>
      <c r="D703" s="39">
        <v>45496</v>
      </c>
      <c r="E703" s="39">
        <v>45861</v>
      </c>
      <c r="F703" s="37" t="s">
        <v>1546</v>
      </c>
      <c r="G703" s="37" t="s">
        <v>61</v>
      </c>
      <c r="H703" s="41">
        <v>8800</v>
      </c>
      <c r="I703" s="42">
        <v>7155</v>
      </c>
      <c r="J703" s="37" t="s">
        <v>2287</v>
      </c>
      <c r="K703" s="39">
        <v>45496</v>
      </c>
      <c r="L703" s="33" t="s">
        <v>58</v>
      </c>
      <c r="M703" s="41">
        <v>352000</v>
      </c>
      <c r="N703" s="34">
        <f t="shared" si="20"/>
        <v>1144.8</v>
      </c>
      <c r="O703" s="36">
        <f t="shared" si="21"/>
        <v>71.55</v>
      </c>
      <c r="P703" s="35">
        <v>500</v>
      </c>
    </row>
    <row r="704" spans="1:16" x14ac:dyDescent="0.25">
      <c r="A704" s="37" t="s">
        <v>813</v>
      </c>
      <c r="B704" s="37"/>
      <c r="C704" s="40" t="s">
        <v>54</v>
      </c>
      <c r="D704" s="39">
        <v>45496</v>
      </c>
      <c r="E704" s="39">
        <v>45861</v>
      </c>
      <c r="F704" s="37" t="s">
        <v>1547</v>
      </c>
      <c r="G704" s="37" t="s">
        <v>61</v>
      </c>
      <c r="H704" s="41">
        <v>8800</v>
      </c>
      <c r="I704" s="42">
        <v>7155</v>
      </c>
      <c r="J704" s="37" t="s">
        <v>2288</v>
      </c>
      <c r="K704" s="39">
        <v>45496</v>
      </c>
      <c r="L704" s="33" t="s">
        <v>58</v>
      </c>
      <c r="M704" s="41">
        <v>352000</v>
      </c>
      <c r="N704" s="34">
        <f t="shared" si="20"/>
        <v>1144.8</v>
      </c>
      <c r="O704" s="36">
        <f t="shared" si="21"/>
        <v>71.55</v>
      </c>
      <c r="P704" s="35">
        <v>500</v>
      </c>
    </row>
    <row r="705" spans="1:16" x14ac:dyDescent="0.25">
      <c r="A705" s="37" t="s">
        <v>814</v>
      </c>
      <c r="B705" s="37"/>
      <c r="C705" s="40" t="s">
        <v>54</v>
      </c>
      <c r="D705" s="39">
        <v>45496</v>
      </c>
      <c r="E705" s="39">
        <v>45861</v>
      </c>
      <c r="F705" s="37" t="s">
        <v>1109</v>
      </c>
      <c r="G705" s="37" t="s">
        <v>61</v>
      </c>
      <c r="H705" s="41">
        <v>8800</v>
      </c>
      <c r="I705" s="42">
        <v>7155</v>
      </c>
      <c r="J705" s="37" t="s">
        <v>2289</v>
      </c>
      <c r="K705" s="39">
        <v>45496</v>
      </c>
      <c r="L705" s="33" t="s">
        <v>58</v>
      </c>
      <c r="M705" s="41">
        <v>352000</v>
      </c>
      <c r="N705" s="34">
        <f t="shared" ref="N705:N768" si="22">I705*16/100</f>
        <v>1144.8</v>
      </c>
      <c r="O705" s="36">
        <f t="shared" ref="O705:O768" si="23">I705*1/100</f>
        <v>71.55</v>
      </c>
      <c r="P705" s="35">
        <v>500</v>
      </c>
    </row>
    <row r="706" spans="1:16" x14ac:dyDescent="0.25">
      <c r="A706" s="37" t="s">
        <v>815</v>
      </c>
      <c r="B706" s="37"/>
      <c r="C706" s="40" t="s">
        <v>54</v>
      </c>
      <c r="D706" s="39">
        <v>45496</v>
      </c>
      <c r="E706" s="39">
        <v>45861</v>
      </c>
      <c r="F706" s="37" t="s">
        <v>1548</v>
      </c>
      <c r="G706" s="37" t="s">
        <v>64</v>
      </c>
      <c r="H706" s="41">
        <v>12475</v>
      </c>
      <c r="I706" s="42">
        <v>10323</v>
      </c>
      <c r="J706" s="37" t="s">
        <v>2290</v>
      </c>
      <c r="K706" s="39">
        <v>45496</v>
      </c>
      <c r="L706" s="33" t="s">
        <v>58</v>
      </c>
      <c r="M706" s="41">
        <v>499000</v>
      </c>
      <c r="N706" s="34">
        <f t="shared" si="22"/>
        <v>1651.68</v>
      </c>
      <c r="O706" s="36">
        <f t="shared" si="23"/>
        <v>103.23</v>
      </c>
      <c r="P706" s="35">
        <v>500</v>
      </c>
    </row>
    <row r="707" spans="1:16" x14ac:dyDescent="0.25">
      <c r="A707" s="37" t="s">
        <v>816</v>
      </c>
      <c r="B707" s="37"/>
      <c r="C707" s="40" t="s">
        <v>39</v>
      </c>
      <c r="D707" s="39">
        <v>45496</v>
      </c>
      <c r="E707" s="39">
        <v>45861</v>
      </c>
      <c r="F707" s="37" t="s">
        <v>1549</v>
      </c>
      <c r="G707" s="37" t="s">
        <v>61</v>
      </c>
      <c r="H707" s="41">
        <v>12320</v>
      </c>
      <c r="I707" s="42">
        <v>10190</v>
      </c>
      <c r="J707" s="37" t="s">
        <v>2291</v>
      </c>
      <c r="K707" s="39">
        <v>45496</v>
      </c>
      <c r="L707" s="33" t="s">
        <v>58</v>
      </c>
      <c r="M707" s="41">
        <v>352000</v>
      </c>
      <c r="N707" s="34">
        <f t="shared" si="22"/>
        <v>1630.4</v>
      </c>
      <c r="O707" s="36">
        <f t="shared" si="23"/>
        <v>101.9</v>
      </c>
      <c r="P707" s="35">
        <v>500</v>
      </c>
    </row>
    <row r="708" spans="1:16" x14ac:dyDescent="0.25">
      <c r="A708" s="37" t="s">
        <v>817</v>
      </c>
      <c r="B708" s="37"/>
      <c r="C708" s="40" t="s">
        <v>39</v>
      </c>
      <c r="D708" s="39">
        <v>45862</v>
      </c>
      <c r="E708" s="39">
        <v>46227</v>
      </c>
      <c r="F708" s="37" t="s">
        <v>1549</v>
      </c>
      <c r="G708" s="37" t="s">
        <v>61</v>
      </c>
      <c r="H708" s="41">
        <v>12320</v>
      </c>
      <c r="I708" s="42">
        <v>10190</v>
      </c>
      <c r="J708" s="37" t="s">
        <v>2291</v>
      </c>
      <c r="K708" s="39">
        <v>45496</v>
      </c>
      <c r="L708" s="33" t="s">
        <v>58</v>
      </c>
      <c r="M708" s="41">
        <v>352000</v>
      </c>
      <c r="N708" s="34">
        <f t="shared" si="22"/>
        <v>1630.4</v>
      </c>
      <c r="O708" s="36">
        <f t="shared" si="23"/>
        <v>101.9</v>
      </c>
      <c r="P708" s="35">
        <v>500</v>
      </c>
    </row>
    <row r="709" spans="1:16" x14ac:dyDescent="0.25">
      <c r="A709" s="37" t="s">
        <v>818</v>
      </c>
      <c r="B709" s="37"/>
      <c r="C709" s="40" t="s">
        <v>39</v>
      </c>
      <c r="D709" s="39">
        <v>45497</v>
      </c>
      <c r="E709" s="39">
        <v>45862</v>
      </c>
      <c r="F709" s="37" t="s">
        <v>1550</v>
      </c>
      <c r="G709" s="37" t="s">
        <v>61</v>
      </c>
      <c r="H709" s="41">
        <v>12320</v>
      </c>
      <c r="I709" s="42">
        <v>10190</v>
      </c>
      <c r="J709" s="37" t="s">
        <v>2292</v>
      </c>
      <c r="K709" s="39">
        <v>45497</v>
      </c>
      <c r="L709" s="33" t="s">
        <v>58</v>
      </c>
      <c r="M709" s="41">
        <v>352000</v>
      </c>
      <c r="N709" s="34">
        <f t="shared" si="22"/>
        <v>1630.4</v>
      </c>
      <c r="O709" s="36">
        <f t="shared" si="23"/>
        <v>101.9</v>
      </c>
      <c r="P709" s="35">
        <v>500</v>
      </c>
    </row>
    <row r="710" spans="1:16" x14ac:dyDescent="0.25">
      <c r="A710" s="37" t="s">
        <v>819</v>
      </c>
      <c r="B710" s="37"/>
      <c r="C710" s="40" t="s">
        <v>39</v>
      </c>
      <c r="D710" s="39">
        <v>45497</v>
      </c>
      <c r="E710" s="39">
        <v>45862</v>
      </c>
      <c r="F710" s="37" t="s">
        <v>1551</v>
      </c>
      <c r="G710" s="37" t="s">
        <v>61</v>
      </c>
      <c r="H710" s="41">
        <v>12320</v>
      </c>
      <c r="I710" s="42">
        <v>10190</v>
      </c>
      <c r="J710" s="37" t="s">
        <v>2293</v>
      </c>
      <c r="K710" s="39">
        <v>45497</v>
      </c>
      <c r="L710" s="33" t="s">
        <v>58</v>
      </c>
      <c r="M710" s="41">
        <v>352000</v>
      </c>
      <c r="N710" s="34">
        <f t="shared" si="22"/>
        <v>1630.4</v>
      </c>
      <c r="O710" s="36">
        <f t="shared" si="23"/>
        <v>101.9</v>
      </c>
      <c r="P710" s="35">
        <v>500</v>
      </c>
    </row>
    <row r="711" spans="1:16" x14ac:dyDescent="0.25">
      <c r="A711" s="37" t="s">
        <v>820</v>
      </c>
      <c r="B711" s="37"/>
      <c r="C711" s="40" t="s">
        <v>39</v>
      </c>
      <c r="D711" s="39">
        <v>45863</v>
      </c>
      <c r="E711" s="39">
        <v>46228</v>
      </c>
      <c r="F711" s="37" t="s">
        <v>1551</v>
      </c>
      <c r="G711" s="37" t="s">
        <v>61</v>
      </c>
      <c r="H711" s="41">
        <v>12320</v>
      </c>
      <c r="I711" s="42">
        <v>10190</v>
      </c>
      <c r="J711" s="37" t="s">
        <v>2293</v>
      </c>
      <c r="K711" s="39">
        <v>45497</v>
      </c>
      <c r="L711" s="33" t="s">
        <v>58</v>
      </c>
      <c r="M711" s="41">
        <v>352000</v>
      </c>
      <c r="N711" s="34">
        <f t="shared" si="22"/>
        <v>1630.4</v>
      </c>
      <c r="O711" s="36">
        <f t="shared" si="23"/>
        <v>101.9</v>
      </c>
      <c r="P711" s="35">
        <v>500</v>
      </c>
    </row>
    <row r="712" spans="1:16" x14ac:dyDescent="0.25">
      <c r="A712" s="37" t="s">
        <v>821</v>
      </c>
      <c r="B712" s="37"/>
      <c r="C712" s="40" t="s">
        <v>72</v>
      </c>
      <c r="D712" s="39">
        <v>45497</v>
      </c>
      <c r="E712" s="39">
        <v>45862</v>
      </c>
      <c r="F712" s="37" t="s">
        <v>1552</v>
      </c>
      <c r="G712" s="37" t="s">
        <v>61</v>
      </c>
      <c r="H712" s="41">
        <v>8800</v>
      </c>
      <c r="I712" s="42">
        <v>7155</v>
      </c>
      <c r="J712" s="37" t="s">
        <v>2294</v>
      </c>
      <c r="K712" s="39">
        <v>45497</v>
      </c>
      <c r="L712" s="33" t="s">
        <v>58</v>
      </c>
      <c r="M712" s="41">
        <v>352000</v>
      </c>
      <c r="N712" s="34">
        <f t="shared" si="22"/>
        <v>1144.8</v>
      </c>
      <c r="O712" s="36">
        <f t="shared" si="23"/>
        <v>71.55</v>
      </c>
      <c r="P712" s="35">
        <v>500</v>
      </c>
    </row>
    <row r="713" spans="1:16" x14ac:dyDescent="0.25">
      <c r="A713" s="37" t="s">
        <v>822</v>
      </c>
      <c r="B713" s="37"/>
      <c r="C713" s="40" t="s">
        <v>31</v>
      </c>
      <c r="D713" s="39">
        <v>45497</v>
      </c>
      <c r="E713" s="39">
        <v>45862</v>
      </c>
      <c r="F713" s="37" t="s">
        <v>1553</v>
      </c>
      <c r="G713" s="37" t="s">
        <v>61</v>
      </c>
      <c r="H713" s="41">
        <v>12320</v>
      </c>
      <c r="I713" s="42">
        <v>10190</v>
      </c>
      <c r="J713" s="37" t="s">
        <v>2295</v>
      </c>
      <c r="K713" s="39">
        <v>45497</v>
      </c>
      <c r="L713" s="33" t="s">
        <v>58</v>
      </c>
      <c r="M713" s="41">
        <v>352000</v>
      </c>
      <c r="N713" s="34">
        <f t="shared" si="22"/>
        <v>1630.4</v>
      </c>
      <c r="O713" s="36">
        <f t="shared" si="23"/>
        <v>101.9</v>
      </c>
      <c r="P713" s="35">
        <v>500</v>
      </c>
    </row>
    <row r="714" spans="1:16" x14ac:dyDescent="0.25">
      <c r="A714" s="37" t="s">
        <v>823</v>
      </c>
      <c r="B714" s="37"/>
      <c r="C714" s="40" t="s">
        <v>31</v>
      </c>
      <c r="D714" s="39">
        <v>45497</v>
      </c>
      <c r="E714" s="39">
        <v>45862</v>
      </c>
      <c r="F714" s="37" t="s">
        <v>1554</v>
      </c>
      <c r="G714" s="37" t="s">
        <v>61</v>
      </c>
      <c r="H714" s="41">
        <v>12320</v>
      </c>
      <c r="I714" s="42">
        <v>10190</v>
      </c>
      <c r="J714" s="37" t="s">
        <v>2296</v>
      </c>
      <c r="K714" s="39">
        <v>45497</v>
      </c>
      <c r="L714" s="33" t="s">
        <v>58</v>
      </c>
      <c r="M714" s="41">
        <v>352000</v>
      </c>
      <c r="N714" s="34">
        <f t="shared" si="22"/>
        <v>1630.4</v>
      </c>
      <c r="O714" s="36">
        <f t="shared" si="23"/>
        <v>101.9</v>
      </c>
      <c r="P714" s="35">
        <v>500</v>
      </c>
    </row>
    <row r="715" spans="1:16" x14ac:dyDescent="0.25">
      <c r="A715" s="37" t="s">
        <v>824</v>
      </c>
      <c r="B715" s="37"/>
      <c r="C715" s="40" t="s">
        <v>31</v>
      </c>
      <c r="D715" s="39">
        <v>45863</v>
      </c>
      <c r="E715" s="39">
        <v>46228</v>
      </c>
      <c r="F715" s="37" t="s">
        <v>1554</v>
      </c>
      <c r="G715" s="37" t="s">
        <v>61</v>
      </c>
      <c r="H715" s="41">
        <v>12320</v>
      </c>
      <c r="I715" s="42">
        <v>10190</v>
      </c>
      <c r="J715" s="37" t="s">
        <v>2296</v>
      </c>
      <c r="K715" s="39">
        <v>45497</v>
      </c>
      <c r="L715" s="33" t="s">
        <v>58</v>
      </c>
      <c r="M715" s="41">
        <v>352000</v>
      </c>
      <c r="N715" s="34">
        <f t="shared" si="22"/>
        <v>1630.4</v>
      </c>
      <c r="O715" s="36">
        <f t="shared" si="23"/>
        <v>101.9</v>
      </c>
      <c r="P715" s="35">
        <v>500</v>
      </c>
    </row>
    <row r="716" spans="1:16" x14ac:dyDescent="0.25">
      <c r="A716" s="37" t="s">
        <v>825</v>
      </c>
      <c r="B716" s="37"/>
      <c r="C716" s="40" t="s">
        <v>32</v>
      </c>
      <c r="D716" s="39">
        <v>45497</v>
      </c>
      <c r="E716" s="39">
        <v>45862</v>
      </c>
      <c r="F716" s="37" t="s">
        <v>1555</v>
      </c>
      <c r="G716" s="37" t="s">
        <v>61</v>
      </c>
      <c r="H716" s="41">
        <v>12320</v>
      </c>
      <c r="I716" s="42">
        <v>10190</v>
      </c>
      <c r="J716" s="37" t="s">
        <v>2297</v>
      </c>
      <c r="K716" s="39">
        <v>45497</v>
      </c>
      <c r="L716" s="33" t="s">
        <v>58</v>
      </c>
      <c r="M716" s="41">
        <v>352000</v>
      </c>
      <c r="N716" s="34">
        <f t="shared" si="22"/>
        <v>1630.4</v>
      </c>
      <c r="O716" s="36">
        <f t="shared" si="23"/>
        <v>101.9</v>
      </c>
      <c r="P716" s="35">
        <v>500</v>
      </c>
    </row>
    <row r="717" spans="1:16" x14ac:dyDescent="0.25">
      <c r="A717" s="37" t="s">
        <v>826</v>
      </c>
      <c r="B717" s="37"/>
      <c r="C717" s="40" t="s">
        <v>32</v>
      </c>
      <c r="D717" s="39">
        <v>45497</v>
      </c>
      <c r="E717" s="39">
        <v>45862</v>
      </c>
      <c r="F717" s="37" t="s">
        <v>1556</v>
      </c>
      <c r="G717" s="37" t="s">
        <v>62</v>
      </c>
      <c r="H717" s="41">
        <v>13370</v>
      </c>
      <c r="I717" s="42">
        <v>11095</v>
      </c>
      <c r="J717" s="37" t="s">
        <v>2298</v>
      </c>
      <c r="K717" s="39">
        <v>45497</v>
      </c>
      <c r="L717" s="33" t="s">
        <v>58</v>
      </c>
      <c r="M717" s="41">
        <v>382000</v>
      </c>
      <c r="N717" s="34">
        <f t="shared" si="22"/>
        <v>1775.2</v>
      </c>
      <c r="O717" s="36">
        <f t="shared" si="23"/>
        <v>110.95</v>
      </c>
      <c r="P717" s="35">
        <v>500</v>
      </c>
    </row>
    <row r="718" spans="1:16" x14ac:dyDescent="0.25">
      <c r="A718" s="37" t="s">
        <v>827</v>
      </c>
      <c r="B718" s="37"/>
      <c r="C718" s="40" t="s">
        <v>32</v>
      </c>
      <c r="D718" s="39">
        <v>45863</v>
      </c>
      <c r="E718" s="39">
        <v>46228</v>
      </c>
      <c r="F718" s="37" t="s">
        <v>1556</v>
      </c>
      <c r="G718" s="37" t="s">
        <v>62</v>
      </c>
      <c r="H718" s="41">
        <v>13370</v>
      </c>
      <c r="I718" s="42">
        <v>11095</v>
      </c>
      <c r="J718" s="37" t="s">
        <v>2298</v>
      </c>
      <c r="K718" s="39">
        <v>45497</v>
      </c>
      <c r="L718" s="33" t="s">
        <v>58</v>
      </c>
      <c r="M718" s="41">
        <v>382000</v>
      </c>
      <c r="N718" s="34">
        <f t="shared" si="22"/>
        <v>1775.2</v>
      </c>
      <c r="O718" s="36">
        <f t="shared" si="23"/>
        <v>110.95</v>
      </c>
      <c r="P718" s="35">
        <v>500</v>
      </c>
    </row>
    <row r="719" spans="1:16" x14ac:dyDescent="0.25">
      <c r="A719" s="37" t="s">
        <v>828</v>
      </c>
      <c r="B719" s="37"/>
      <c r="C719" s="40" t="s">
        <v>31</v>
      </c>
      <c r="D719" s="39">
        <v>45497</v>
      </c>
      <c r="E719" s="39">
        <v>45862</v>
      </c>
      <c r="F719" s="37" t="s">
        <v>1557</v>
      </c>
      <c r="G719" s="37" t="s">
        <v>61</v>
      </c>
      <c r="H719" s="41">
        <v>12320</v>
      </c>
      <c r="I719" s="42">
        <v>10190</v>
      </c>
      <c r="J719" s="37" t="s">
        <v>2299</v>
      </c>
      <c r="K719" s="39">
        <v>45497</v>
      </c>
      <c r="L719" s="33" t="s">
        <v>58</v>
      </c>
      <c r="M719" s="41">
        <v>352000</v>
      </c>
      <c r="N719" s="34">
        <f t="shared" si="22"/>
        <v>1630.4</v>
      </c>
      <c r="O719" s="36">
        <f t="shared" si="23"/>
        <v>101.9</v>
      </c>
      <c r="P719" s="35">
        <v>500</v>
      </c>
    </row>
    <row r="720" spans="1:16" x14ac:dyDescent="0.25">
      <c r="A720" s="37" t="s">
        <v>829</v>
      </c>
      <c r="B720" s="37"/>
      <c r="C720" s="40" t="s">
        <v>31</v>
      </c>
      <c r="D720" s="39">
        <v>45497</v>
      </c>
      <c r="E720" s="39">
        <v>45862</v>
      </c>
      <c r="F720" s="37" t="s">
        <v>1558</v>
      </c>
      <c r="G720" s="37" t="s">
        <v>61</v>
      </c>
      <c r="H720" s="41">
        <v>13370</v>
      </c>
      <c r="I720" s="42">
        <v>11095</v>
      </c>
      <c r="J720" s="37" t="s">
        <v>2300</v>
      </c>
      <c r="K720" s="39">
        <v>45497</v>
      </c>
      <c r="L720" s="33" t="s">
        <v>58</v>
      </c>
      <c r="M720" s="41">
        <v>382000</v>
      </c>
      <c r="N720" s="34">
        <f t="shared" si="22"/>
        <v>1775.2</v>
      </c>
      <c r="O720" s="36">
        <f t="shared" si="23"/>
        <v>110.95</v>
      </c>
      <c r="P720" s="35">
        <v>500</v>
      </c>
    </row>
    <row r="721" spans="1:16" x14ac:dyDescent="0.25">
      <c r="A721" s="37" t="s">
        <v>830</v>
      </c>
      <c r="B721" s="37"/>
      <c r="C721" s="40" t="s">
        <v>31</v>
      </c>
      <c r="D721" s="39">
        <v>45863</v>
      </c>
      <c r="E721" s="39">
        <v>46228</v>
      </c>
      <c r="F721" s="37" t="s">
        <v>1558</v>
      </c>
      <c r="G721" s="37" t="s">
        <v>61</v>
      </c>
      <c r="H721" s="41">
        <v>13370</v>
      </c>
      <c r="I721" s="42">
        <v>11095</v>
      </c>
      <c r="J721" s="37" t="s">
        <v>2300</v>
      </c>
      <c r="K721" s="39">
        <v>45497</v>
      </c>
      <c r="L721" s="33" t="s">
        <v>58</v>
      </c>
      <c r="M721" s="41">
        <v>382000</v>
      </c>
      <c r="N721" s="34">
        <f t="shared" si="22"/>
        <v>1775.2</v>
      </c>
      <c r="O721" s="36">
        <f t="shared" si="23"/>
        <v>110.95</v>
      </c>
      <c r="P721" s="35">
        <v>500</v>
      </c>
    </row>
    <row r="722" spans="1:16" x14ac:dyDescent="0.25">
      <c r="A722" s="37" t="s">
        <v>831</v>
      </c>
      <c r="B722" s="37"/>
      <c r="C722" s="40" t="s">
        <v>32</v>
      </c>
      <c r="D722" s="39">
        <v>45497</v>
      </c>
      <c r="E722" s="39">
        <v>45862</v>
      </c>
      <c r="F722" s="37" t="s">
        <v>1559</v>
      </c>
      <c r="G722" s="37" t="s">
        <v>62</v>
      </c>
      <c r="H722" s="41">
        <v>13370</v>
      </c>
      <c r="I722" s="42">
        <v>11095</v>
      </c>
      <c r="J722" s="37" t="s">
        <v>2301</v>
      </c>
      <c r="K722" s="39">
        <v>45497</v>
      </c>
      <c r="L722" s="33" t="s">
        <v>58</v>
      </c>
      <c r="M722" s="41">
        <v>382000</v>
      </c>
      <c r="N722" s="34">
        <f t="shared" si="22"/>
        <v>1775.2</v>
      </c>
      <c r="O722" s="36">
        <f t="shared" si="23"/>
        <v>110.95</v>
      </c>
      <c r="P722" s="35">
        <v>500</v>
      </c>
    </row>
    <row r="723" spans="1:16" x14ac:dyDescent="0.25">
      <c r="A723" s="37" t="s">
        <v>832</v>
      </c>
      <c r="B723" s="37"/>
      <c r="C723" s="40" t="s">
        <v>32</v>
      </c>
      <c r="D723" s="39">
        <v>45497</v>
      </c>
      <c r="E723" s="39">
        <v>45862</v>
      </c>
      <c r="F723" s="37" t="s">
        <v>1560</v>
      </c>
      <c r="G723" s="37" t="s">
        <v>63</v>
      </c>
      <c r="H723" s="41">
        <v>19145</v>
      </c>
      <c r="I723" s="42">
        <v>16073</v>
      </c>
      <c r="J723" s="37" t="s">
        <v>2302</v>
      </c>
      <c r="K723" s="39">
        <v>45497</v>
      </c>
      <c r="L723" s="33" t="s">
        <v>58</v>
      </c>
      <c r="M723" s="41">
        <v>547000</v>
      </c>
      <c r="N723" s="34">
        <f t="shared" si="22"/>
        <v>2571.6799999999998</v>
      </c>
      <c r="O723" s="36">
        <f t="shared" si="23"/>
        <v>160.72999999999999</v>
      </c>
      <c r="P723" s="35">
        <v>500</v>
      </c>
    </row>
    <row r="724" spans="1:16" x14ac:dyDescent="0.25">
      <c r="A724" s="37" t="s">
        <v>833</v>
      </c>
      <c r="B724" s="37"/>
      <c r="C724" s="40" t="s">
        <v>32</v>
      </c>
      <c r="D724" s="39">
        <v>45863</v>
      </c>
      <c r="E724" s="39">
        <v>46228</v>
      </c>
      <c r="F724" s="37" t="s">
        <v>1560</v>
      </c>
      <c r="G724" s="37" t="s">
        <v>63</v>
      </c>
      <c r="H724" s="41">
        <v>19145</v>
      </c>
      <c r="I724" s="42">
        <v>16073</v>
      </c>
      <c r="J724" s="37" t="s">
        <v>2302</v>
      </c>
      <c r="K724" s="39">
        <v>45497</v>
      </c>
      <c r="L724" s="33" t="s">
        <v>58</v>
      </c>
      <c r="M724" s="41">
        <v>547000</v>
      </c>
      <c r="N724" s="34">
        <f t="shared" si="22"/>
        <v>2571.6799999999998</v>
      </c>
      <c r="O724" s="36">
        <f t="shared" si="23"/>
        <v>160.72999999999999</v>
      </c>
      <c r="P724" s="35">
        <v>500</v>
      </c>
    </row>
    <row r="725" spans="1:16" x14ac:dyDescent="0.25">
      <c r="A725" s="37" t="s">
        <v>834</v>
      </c>
      <c r="B725" s="37"/>
      <c r="C725" s="40" t="s">
        <v>32</v>
      </c>
      <c r="D725" s="39">
        <v>45497</v>
      </c>
      <c r="E725" s="39">
        <v>45862</v>
      </c>
      <c r="F725" s="37" t="s">
        <v>1561</v>
      </c>
      <c r="G725" s="37" t="s">
        <v>61</v>
      </c>
      <c r="H725" s="41">
        <v>12320</v>
      </c>
      <c r="I725" s="42">
        <v>10190</v>
      </c>
      <c r="J725" s="37" t="s">
        <v>2304</v>
      </c>
      <c r="K725" s="39">
        <v>45497</v>
      </c>
      <c r="L725" s="33" t="s">
        <v>58</v>
      </c>
      <c r="M725" s="41">
        <v>352000</v>
      </c>
      <c r="N725" s="34">
        <f t="shared" si="22"/>
        <v>1630.4</v>
      </c>
      <c r="O725" s="36">
        <f t="shared" si="23"/>
        <v>101.9</v>
      </c>
      <c r="P725" s="35">
        <v>500</v>
      </c>
    </row>
    <row r="726" spans="1:16" x14ac:dyDescent="0.25">
      <c r="A726" s="37" t="s">
        <v>835</v>
      </c>
      <c r="B726" s="37"/>
      <c r="C726" s="40" t="s">
        <v>32</v>
      </c>
      <c r="D726" s="39">
        <v>45863</v>
      </c>
      <c r="E726" s="39">
        <v>46228</v>
      </c>
      <c r="F726" s="37" t="s">
        <v>1561</v>
      </c>
      <c r="G726" s="37" t="s">
        <v>61</v>
      </c>
      <c r="H726" s="41">
        <v>12320</v>
      </c>
      <c r="I726" s="42">
        <v>10190</v>
      </c>
      <c r="J726" s="37" t="s">
        <v>2304</v>
      </c>
      <c r="K726" s="39">
        <v>45497</v>
      </c>
      <c r="L726" s="33" t="s">
        <v>58</v>
      </c>
      <c r="M726" s="41">
        <v>352000</v>
      </c>
      <c r="N726" s="34">
        <f t="shared" si="22"/>
        <v>1630.4</v>
      </c>
      <c r="O726" s="36">
        <f t="shared" si="23"/>
        <v>101.9</v>
      </c>
      <c r="P726" s="35">
        <v>500</v>
      </c>
    </row>
    <row r="727" spans="1:16" x14ac:dyDescent="0.25">
      <c r="A727" s="37" t="s">
        <v>836</v>
      </c>
      <c r="B727" s="37"/>
      <c r="C727" s="40" t="s">
        <v>34</v>
      </c>
      <c r="D727" s="39">
        <v>45497</v>
      </c>
      <c r="E727" s="39">
        <v>45862</v>
      </c>
      <c r="F727" s="37" t="s">
        <v>101</v>
      </c>
      <c r="G727" s="37" t="s">
        <v>62</v>
      </c>
      <c r="H727" s="41">
        <v>9550</v>
      </c>
      <c r="I727" s="42">
        <v>7802</v>
      </c>
      <c r="J727" s="37" t="s">
        <v>2305</v>
      </c>
      <c r="K727" s="39">
        <v>45497</v>
      </c>
      <c r="L727" s="33" t="s">
        <v>58</v>
      </c>
      <c r="M727" s="41">
        <v>382000</v>
      </c>
      <c r="N727" s="34">
        <f t="shared" si="22"/>
        <v>1248.32</v>
      </c>
      <c r="O727" s="36">
        <f t="shared" si="23"/>
        <v>78.02</v>
      </c>
      <c r="P727" s="35">
        <v>500</v>
      </c>
    </row>
    <row r="728" spans="1:16" x14ac:dyDescent="0.25">
      <c r="A728" s="37" t="s">
        <v>837</v>
      </c>
      <c r="B728" s="37"/>
      <c r="C728" s="40" t="s">
        <v>35</v>
      </c>
      <c r="D728" s="39">
        <v>45497</v>
      </c>
      <c r="E728" s="39">
        <v>45862</v>
      </c>
      <c r="F728" s="37" t="s">
        <v>1562</v>
      </c>
      <c r="G728" s="37" t="s">
        <v>61</v>
      </c>
      <c r="H728" s="41">
        <v>12320</v>
      </c>
      <c r="I728" s="42">
        <v>10190</v>
      </c>
      <c r="J728" s="37" t="s">
        <v>2306</v>
      </c>
      <c r="K728" s="39">
        <v>45497</v>
      </c>
      <c r="L728" s="33" t="s">
        <v>58</v>
      </c>
      <c r="M728" s="41">
        <v>352000</v>
      </c>
      <c r="N728" s="34">
        <f t="shared" si="22"/>
        <v>1630.4</v>
      </c>
      <c r="O728" s="36">
        <f t="shared" si="23"/>
        <v>101.9</v>
      </c>
      <c r="P728" s="35">
        <v>500</v>
      </c>
    </row>
    <row r="729" spans="1:16" x14ac:dyDescent="0.25">
      <c r="A729" s="37" t="s">
        <v>838</v>
      </c>
      <c r="B729" s="37"/>
      <c r="C729" s="40" t="s">
        <v>35</v>
      </c>
      <c r="D729" s="39">
        <v>45863</v>
      </c>
      <c r="E729" s="39">
        <v>46228</v>
      </c>
      <c r="F729" s="37" t="s">
        <v>1562</v>
      </c>
      <c r="G729" s="37" t="s">
        <v>61</v>
      </c>
      <c r="H729" s="41">
        <v>12320</v>
      </c>
      <c r="I729" s="42">
        <v>10190</v>
      </c>
      <c r="J729" s="37" t="s">
        <v>2306</v>
      </c>
      <c r="K729" s="39">
        <v>45497</v>
      </c>
      <c r="L729" s="33" t="s">
        <v>58</v>
      </c>
      <c r="M729" s="41">
        <v>352000</v>
      </c>
      <c r="N729" s="34">
        <f t="shared" si="22"/>
        <v>1630.4</v>
      </c>
      <c r="O729" s="36">
        <f t="shared" si="23"/>
        <v>101.9</v>
      </c>
      <c r="P729" s="35">
        <v>500</v>
      </c>
    </row>
    <row r="730" spans="1:16" x14ac:dyDescent="0.25">
      <c r="A730" s="37" t="s">
        <v>839</v>
      </c>
      <c r="B730" s="37"/>
      <c r="C730" s="40" t="s">
        <v>34</v>
      </c>
      <c r="D730" s="39">
        <v>45497</v>
      </c>
      <c r="E730" s="39">
        <v>45862</v>
      </c>
      <c r="F730" s="37" t="s">
        <v>1563</v>
      </c>
      <c r="G730" s="37" t="s">
        <v>61</v>
      </c>
      <c r="H730" s="41">
        <v>8800</v>
      </c>
      <c r="I730" s="42">
        <v>7155</v>
      </c>
      <c r="J730" s="37" t="s">
        <v>2308</v>
      </c>
      <c r="K730" s="39">
        <v>45497</v>
      </c>
      <c r="L730" s="33" t="s">
        <v>58</v>
      </c>
      <c r="M730" s="41">
        <v>352000</v>
      </c>
      <c r="N730" s="34">
        <f t="shared" si="22"/>
        <v>1144.8</v>
      </c>
      <c r="O730" s="36">
        <f t="shared" si="23"/>
        <v>71.55</v>
      </c>
      <c r="P730" s="35">
        <v>500</v>
      </c>
    </row>
    <row r="731" spans="1:16" x14ac:dyDescent="0.25">
      <c r="A731" s="37" t="s">
        <v>840</v>
      </c>
      <c r="B731" s="37"/>
      <c r="C731" s="40" t="s">
        <v>32</v>
      </c>
      <c r="D731" s="39">
        <v>45497</v>
      </c>
      <c r="E731" s="39">
        <v>45862</v>
      </c>
      <c r="F731" s="37" t="s">
        <v>1564</v>
      </c>
      <c r="G731" s="37" t="s">
        <v>63</v>
      </c>
      <c r="H731" s="41">
        <v>19145</v>
      </c>
      <c r="I731" s="42">
        <v>16073</v>
      </c>
      <c r="J731" s="37" t="s">
        <v>2309</v>
      </c>
      <c r="K731" s="39">
        <v>45497</v>
      </c>
      <c r="L731" s="33" t="s">
        <v>58</v>
      </c>
      <c r="M731" s="41">
        <v>547000</v>
      </c>
      <c r="N731" s="34">
        <f t="shared" si="22"/>
        <v>2571.6799999999998</v>
      </c>
      <c r="O731" s="36">
        <f t="shared" si="23"/>
        <v>160.72999999999999</v>
      </c>
      <c r="P731" s="35">
        <v>500</v>
      </c>
    </row>
    <row r="732" spans="1:16" x14ac:dyDescent="0.25">
      <c r="A732" s="37" t="s">
        <v>841</v>
      </c>
      <c r="B732" s="37"/>
      <c r="C732" s="40" t="s">
        <v>32</v>
      </c>
      <c r="D732" s="39">
        <v>45863</v>
      </c>
      <c r="E732" s="39">
        <v>46228</v>
      </c>
      <c r="F732" s="37" t="s">
        <v>1564</v>
      </c>
      <c r="G732" s="37" t="s">
        <v>63</v>
      </c>
      <c r="H732" s="41">
        <v>19145</v>
      </c>
      <c r="I732" s="42">
        <v>16073</v>
      </c>
      <c r="J732" s="37" t="s">
        <v>2309</v>
      </c>
      <c r="K732" s="39">
        <v>45497</v>
      </c>
      <c r="L732" s="33" t="s">
        <v>58</v>
      </c>
      <c r="M732" s="41">
        <v>547000</v>
      </c>
      <c r="N732" s="34">
        <f t="shared" si="22"/>
        <v>2571.6799999999998</v>
      </c>
      <c r="O732" s="36">
        <f t="shared" si="23"/>
        <v>160.72999999999999</v>
      </c>
      <c r="P732" s="35">
        <v>500</v>
      </c>
    </row>
    <row r="733" spans="1:16" x14ac:dyDescent="0.25">
      <c r="A733" s="37" t="s">
        <v>842</v>
      </c>
      <c r="B733" s="37"/>
      <c r="C733" s="40" t="s">
        <v>34</v>
      </c>
      <c r="D733" s="39">
        <v>45497</v>
      </c>
      <c r="E733" s="39">
        <v>45862</v>
      </c>
      <c r="F733" s="37" t="s">
        <v>101</v>
      </c>
      <c r="G733" s="37" t="s">
        <v>61</v>
      </c>
      <c r="H733" s="41">
        <v>8800</v>
      </c>
      <c r="I733" s="42">
        <v>7155</v>
      </c>
      <c r="J733" s="37" t="s">
        <v>2310</v>
      </c>
      <c r="K733" s="39">
        <v>45497</v>
      </c>
      <c r="L733" s="33" t="s">
        <v>58</v>
      </c>
      <c r="M733" s="41">
        <v>352000</v>
      </c>
      <c r="N733" s="34">
        <f t="shared" si="22"/>
        <v>1144.8</v>
      </c>
      <c r="O733" s="36">
        <f t="shared" si="23"/>
        <v>71.55</v>
      </c>
      <c r="P733" s="35">
        <v>500</v>
      </c>
    </row>
    <row r="734" spans="1:16" x14ac:dyDescent="0.25">
      <c r="A734" s="37" t="s">
        <v>843</v>
      </c>
      <c r="B734" s="37"/>
      <c r="C734" s="40" t="s">
        <v>30</v>
      </c>
      <c r="D734" s="39">
        <v>45497</v>
      </c>
      <c r="E734" s="39">
        <v>45862</v>
      </c>
      <c r="F734" s="37" t="s">
        <v>1565</v>
      </c>
      <c r="G734" s="37" t="s">
        <v>61</v>
      </c>
      <c r="H734" s="41">
        <v>12320</v>
      </c>
      <c r="I734" s="42">
        <v>10190</v>
      </c>
      <c r="J734" s="37" t="s">
        <v>2311</v>
      </c>
      <c r="K734" s="39">
        <v>45497</v>
      </c>
      <c r="L734" s="33" t="s">
        <v>58</v>
      </c>
      <c r="M734" s="41">
        <v>352000</v>
      </c>
      <c r="N734" s="34">
        <f t="shared" si="22"/>
        <v>1630.4</v>
      </c>
      <c r="O734" s="36">
        <f t="shared" si="23"/>
        <v>101.9</v>
      </c>
      <c r="P734" s="35">
        <v>500</v>
      </c>
    </row>
    <row r="735" spans="1:16" x14ac:dyDescent="0.25">
      <c r="A735" s="37" t="s">
        <v>844</v>
      </c>
      <c r="B735" s="37"/>
      <c r="C735" s="40" t="s">
        <v>34</v>
      </c>
      <c r="D735" s="39">
        <v>45497</v>
      </c>
      <c r="E735" s="39">
        <v>45862</v>
      </c>
      <c r="F735" s="37" t="s">
        <v>1566</v>
      </c>
      <c r="G735" s="37" t="s">
        <v>61</v>
      </c>
      <c r="H735" s="41">
        <v>8800</v>
      </c>
      <c r="I735" s="42">
        <v>7155</v>
      </c>
      <c r="J735" s="37" t="s">
        <v>2096</v>
      </c>
      <c r="K735" s="39">
        <v>45497</v>
      </c>
      <c r="L735" s="33" t="s">
        <v>58</v>
      </c>
      <c r="M735" s="41">
        <v>352000</v>
      </c>
      <c r="N735" s="34">
        <f t="shared" si="22"/>
        <v>1144.8</v>
      </c>
      <c r="O735" s="36">
        <f t="shared" si="23"/>
        <v>71.55</v>
      </c>
      <c r="P735" s="35">
        <v>500</v>
      </c>
    </row>
    <row r="736" spans="1:16" x14ac:dyDescent="0.25">
      <c r="A736" s="37" t="s">
        <v>845</v>
      </c>
      <c r="B736" s="37"/>
      <c r="C736" s="40" t="s">
        <v>34</v>
      </c>
      <c r="D736" s="39">
        <v>45497</v>
      </c>
      <c r="E736" s="39">
        <v>45862</v>
      </c>
      <c r="F736" s="37" t="s">
        <v>1567</v>
      </c>
      <c r="G736" s="37" t="s">
        <v>61</v>
      </c>
      <c r="H736" s="41">
        <v>8800</v>
      </c>
      <c r="I736" s="42">
        <v>7155</v>
      </c>
      <c r="J736" s="37" t="s">
        <v>2313</v>
      </c>
      <c r="K736" s="39">
        <v>45497</v>
      </c>
      <c r="L736" s="33" t="s">
        <v>58</v>
      </c>
      <c r="M736" s="41">
        <v>352000</v>
      </c>
      <c r="N736" s="34">
        <f t="shared" si="22"/>
        <v>1144.8</v>
      </c>
      <c r="O736" s="36">
        <f t="shared" si="23"/>
        <v>71.55</v>
      </c>
      <c r="P736" s="35">
        <v>500</v>
      </c>
    </row>
    <row r="737" spans="1:16" x14ac:dyDescent="0.25">
      <c r="A737" s="37" t="s">
        <v>846</v>
      </c>
      <c r="B737" s="37"/>
      <c r="C737" s="40" t="s">
        <v>34</v>
      </c>
      <c r="D737" s="39">
        <v>45497</v>
      </c>
      <c r="E737" s="39">
        <v>45862</v>
      </c>
      <c r="F737" s="37" t="s">
        <v>1568</v>
      </c>
      <c r="G737" s="37" t="s">
        <v>61</v>
      </c>
      <c r="H737" s="41">
        <v>8800</v>
      </c>
      <c r="I737" s="42">
        <v>7155</v>
      </c>
      <c r="J737" s="37" t="s">
        <v>2314</v>
      </c>
      <c r="K737" s="39">
        <v>45497</v>
      </c>
      <c r="L737" s="33" t="s">
        <v>58</v>
      </c>
      <c r="M737" s="41">
        <v>352000</v>
      </c>
      <c r="N737" s="34">
        <f t="shared" si="22"/>
        <v>1144.8</v>
      </c>
      <c r="O737" s="36">
        <f t="shared" si="23"/>
        <v>71.55</v>
      </c>
      <c r="P737" s="35">
        <v>500</v>
      </c>
    </row>
    <row r="738" spans="1:16" x14ac:dyDescent="0.25">
      <c r="A738" s="37" t="s">
        <v>847</v>
      </c>
      <c r="B738" s="37"/>
      <c r="C738" s="40" t="s">
        <v>34</v>
      </c>
      <c r="D738" s="39">
        <v>45497</v>
      </c>
      <c r="E738" s="39">
        <v>45862</v>
      </c>
      <c r="F738" s="37" t="s">
        <v>1569</v>
      </c>
      <c r="G738" s="37" t="s">
        <v>62</v>
      </c>
      <c r="H738" s="41">
        <v>9550</v>
      </c>
      <c r="I738" s="42">
        <v>7802</v>
      </c>
      <c r="J738" s="37" t="s">
        <v>2315</v>
      </c>
      <c r="K738" s="39">
        <v>45497</v>
      </c>
      <c r="L738" s="33" t="s">
        <v>58</v>
      </c>
      <c r="M738" s="41">
        <v>382000</v>
      </c>
      <c r="N738" s="34">
        <f t="shared" si="22"/>
        <v>1248.32</v>
      </c>
      <c r="O738" s="36">
        <f t="shared" si="23"/>
        <v>78.02</v>
      </c>
      <c r="P738" s="35">
        <v>500</v>
      </c>
    </row>
    <row r="739" spans="1:16" x14ac:dyDescent="0.25">
      <c r="A739" s="37" t="s">
        <v>848</v>
      </c>
      <c r="B739" s="37"/>
      <c r="C739" s="40" t="s">
        <v>34</v>
      </c>
      <c r="D739" s="39">
        <v>45497</v>
      </c>
      <c r="E739" s="39">
        <v>45862</v>
      </c>
      <c r="F739" s="37" t="s">
        <v>1472</v>
      </c>
      <c r="G739" s="37" t="s">
        <v>62</v>
      </c>
      <c r="H739" s="41">
        <v>9550</v>
      </c>
      <c r="I739" s="42">
        <v>7802</v>
      </c>
      <c r="J739" s="37" t="s">
        <v>2316</v>
      </c>
      <c r="K739" s="39">
        <v>45497</v>
      </c>
      <c r="L739" s="33" t="s">
        <v>58</v>
      </c>
      <c r="M739" s="41">
        <v>382000</v>
      </c>
      <c r="N739" s="34">
        <f t="shared" si="22"/>
        <v>1248.32</v>
      </c>
      <c r="O739" s="36">
        <f t="shared" si="23"/>
        <v>78.02</v>
      </c>
      <c r="P739" s="35">
        <v>500</v>
      </c>
    </row>
    <row r="740" spans="1:16" x14ac:dyDescent="0.25">
      <c r="A740" s="37" t="s">
        <v>849</v>
      </c>
      <c r="B740" s="37"/>
      <c r="C740" s="40" t="s">
        <v>34</v>
      </c>
      <c r="D740" s="39">
        <v>45497</v>
      </c>
      <c r="E740" s="39">
        <v>45862</v>
      </c>
      <c r="F740" s="37" t="s">
        <v>1570</v>
      </c>
      <c r="G740" s="37" t="s">
        <v>62</v>
      </c>
      <c r="H740" s="41">
        <v>9550</v>
      </c>
      <c r="I740" s="42">
        <v>7802</v>
      </c>
      <c r="J740" s="37" t="s">
        <v>2317</v>
      </c>
      <c r="K740" s="39">
        <v>45497</v>
      </c>
      <c r="L740" s="33" t="s">
        <v>58</v>
      </c>
      <c r="M740" s="41">
        <v>382000</v>
      </c>
      <c r="N740" s="34">
        <f t="shared" si="22"/>
        <v>1248.32</v>
      </c>
      <c r="O740" s="36">
        <f t="shared" si="23"/>
        <v>78.02</v>
      </c>
      <c r="P740" s="35">
        <v>500</v>
      </c>
    </row>
    <row r="741" spans="1:16" x14ac:dyDescent="0.25">
      <c r="A741" s="37" t="s">
        <v>850</v>
      </c>
      <c r="B741" s="37"/>
      <c r="C741" s="40" t="s">
        <v>34</v>
      </c>
      <c r="D741" s="39">
        <v>45497</v>
      </c>
      <c r="E741" s="39">
        <v>45862</v>
      </c>
      <c r="F741" s="37" t="s">
        <v>1571</v>
      </c>
      <c r="G741" s="37" t="s">
        <v>61</v>
      </c>
      <c r="H741" s="41">
        <v>8800</v>
      </c>
      <c r="I741" s="42">
        <v>7155</v>
      </c>
      <c r="J741" s="37" t="s">
        <v>2318</v>
      </c>
      <c r="K741" s="39">
        <v>45497</v>
      </c>
      <c r="L741" s="33" t="s">
        <v>58</v>
      </c>
      <c r="M741" s="41">
        <v>352000</v>
      </c>
      <c r="N741" s="34">
        <f t="shared" si="22"/>
        <v>1144.8</v>
      </c>
      <c r="O741" s="36">
        <f t="shared" si="23"/>
        <v>71.55</v>
      </c>
      <c r="P741" s="35">
        <v>500</v>
      </c>
    </row>
    <row r="742" spans="1:16" x14ac:dyDescent="0.25">
      <c r="A742" s="37" t="s">
        <v>851</v>
      </c>
      <c r="B742" s="37"/>
      <c r="C742" s="40" t="s">
        <v>34</v>
      </c>
      <c r="D742" s="39">
        <v>45497</v>
      </c>
      <c r="E742" s="39">
        <v>45862</v>
      </c>
      <c r="F742" s="37" t="s">
        <v>1572</v>
      </c>
      <c r="G742" s="37" t="s">
        <v>61</v>
      </c>
      <c r="H742" s="41">
        <v>8800</v>
      </c>
      <c r="I742" s="42">
        <v>7155</v>
      </c>
      <c r="J742" s="37" t="s">
        <v>2319</v>
      </c>
      <c r="K742" s="39">
        <v>45497</v>
      </c>
      <c r="L742" s="33" t="s">
        <v>58</v>
      </c>
      <c r="M742" s="41">
        <v>352000</v>
      </c>
      <c r="N742" s="34">
        <f t="shared" si="22"/>
        <v>1144.8</v>
      </c>
      <c r="O742" s="36">
        <f t="shared" si="23"/>
        <v>71.55</v>
      </c>
      <c r="P742" s="35">
        <v>500</v>
      </c>
    </row>
    <row r="743" spans="1:16" x14ac:dyDescent="0.25">
      <c r="A743" s="37" t="s">
        <v>852</v>
      </c>
      <c r="B743" s="37"/>
      <c r="C743" s="40" t="s">
        <v>31</v>
      </c>
      <c r="D743" s="39">
        <v>45497</v>
      </c>
      <c r="E743" s="39">
        <v>45862</v>
      </c>
      <c r="F743" s="37" t="s">
        <v>1573</v>
      </c>
      <c r="G743" s="37" t="s">
        <v>61</v>
      </c>
      <c r="H743" s="41">
        <v>12320</v>
      </c>
      <c r="I743" s="42">
        <v>10190</v>
      </c>
      <c r="J743" s="37" t="s">
        <v>2320</v>
      </c>
      <c r="K743" s="39">
        <v>45497</v>
      </c>
      <c r="L743" s="33" t="s">
        <v>58</v>
      </c>
      <c r="M743" s="41">
        <v>352000</v>
      </c>
      <c r="N743" s="34">
        <f t="shared" si="22"/>
        <v>1630.4</v>
      </c>
      <c r="O743" s="36">
        <f t="shared" si="23"/>
        <v>101.9</v>
      </c>
      <c r="P743" s="35">
        <v>500</v>
      </c>
    </row>
    <row r="744" spans="1:16" x14ac:dyDescent="0.25">
      <c r="A744" s="37" t="s">
        <v>853</v>
      </c>
      <c r="B744" s="37"/>
      <c r="C744" s="40" t="s">
        <v>34</v>
      </c>
      <c r="D744" s="39">
        <v>45497</v>
      </c>
      <c r="E744" s="39">
        <v>45862</v>
      </c>
      <c r="F744" s="37" t="s">
        <v>1574</v>
      </c>
      <c r="G744" s="37" t="s">
        <v>61</v>
      </c>
      <c r="H744" s="41">
        <v>8800</v>
      </c>
      <c r="I744" s="42">
        <v>7155</v>
      </c>
      <c r="J744" s="37" t="s">
        <v>2321</v>
      </c>
      <c r="K744" s="39">
        <v>45497</v>
      </c>
      <c r="L744" s="33" t="s">
        <v>58</v>
      </c>
      <c r="M744" s="41">
        <v>352000</v>
      </c>
      <c r="N744" s="34">
        <f t="shared" si="22"/>
        <v>1144.8</v>
      </c>
      <c r="O744" s="36">
        <f t="shared" si="23"/>
        <v>71.55</v>
      </c>
      <c r="P744" s="35">
        <v>500</v>
      </c>
    </row>
    <row r="745" spans="1:16" x14ac:dyDescent="0.25">
      <c r="A745" s="37" t="s">
        <v>854</v>
      </c>
      <c r="B745" s="37"/>
      <c r="C745" s="40" t="s">
        <v>34</v>
      </c>
      <c r="D745" s="39">
        <v>45497</v>
      </c>
      <c r="E745" s="39">
        <v>45862</v>
      </c>
      <c r="F745" s="37" t="s">
        <v>1575</v>
      </c>
      <c r="G745" s="37" t="s">
        <v>63</v>
      </c>
      <c r="H745" s="41">
        <v>13675</v>
      </c>
      <c r="I745" s="42">
        <v>11358</v>
      </c>
      <c r="J745" s="37" t="s">
        <v>2322</v>
      </c>
      <c r="K745" s="39">
        <v>45497</v>
      </c>
      <c r="L745" s="33" t="s">
        <v>58</v>
      </c>
      <c r="M745" s="41">
        <v>547000</v>
      </c>
      <c r="N745" s="34">
        <f t="shared" si="22"/>
        <v>1817.28</v>
      </c>
      <c r="O745" s="36">
        <f t="shared" si="23"/>
        <v>113.58</v>
      </c>
      <c r="P745" s="35">
        <v>500</v>
      </c>
    </row>
    <row r="746" spans="1:16" x14ac:dyDescent="0.25">
      <c r="A746" s="37" t="s">
        <v>855</v>
      </c>
      <c r="B746" s="37"/>
      <c r="C746" s="40" t="s">
        <v>54</v>
      </c>
      <c r="D746" s="39">
        <v>45497</v>
      </c>
      <c r="E746" s="39">
        <v>45862</v>
      </c>
      <c r="F746" s="37" t="s">
        <v>1576</v>
      </c>
      <c r="G746" s="37" t="s">
        <v>61</v>
      </c>
      <c r="H746" s="41">
        <v>8800</v>
      </c>
      <c r="I746" s="42">
        <v>7155</v>
      </c>
      <c r="J746" s="37" t="s">
        <v>2323</v>
      </c>
      <c r="K746" s="39">
        <v>45497</v>
      </c>
      <c r="L746" s="33" t="s">
        <v>58</v>
      </c>
      <c r="M746" s="41">
        <v>352000</v>
      </c>
      <c r="N746" s="34">
        <f t="shared" si="22"/>
        <v>1144.8</v>
      </c>
      <c r="O746" s="36">
        <f t="shared" si="23"/>
        <v>71.55</v>
      </c>
      <c r="P746" s="35">
        <v>500</v>
      </c>
    </row>
    <row r="747" spans="1:16" x14ac:dyDescent="0.25">
      <c r="A747" s="37" t="s">
        <v>856</v>
      </c>
      <c r="B747" s="37"/>
      <c r="C747" s="40" t="s">
        <v>34</v>
      </c>
      <c r="D747" s="39">
        <v>45497</v>
      </c>
      <c r="E747" s="39">
        <v>45862</v>
      </c>
      <c r="F747" s="37" t="s">
        <v>1577</v>
      </c>
      <c r="G747" s="37" t="s">
        <v>61</v>
      </c>
      <c r="H747" s="41">
        <v>8800</v>
      </c>
      <c r="I747" s="42">
        <v>7155</v>
      </c>
      <c r="J747" s="37" t="s">
        <v>1899</v>
      </c>
      <c r="K747" s="39">
        <v>45497</v>
      </c>
      <c r="L747" s="33" t="s">
        <v>58</v>
      </c>
      <c r="M747" s="41">
        <v>352000</v>
      </c>
      <c r="N747" s="34">
        <f t="shared" si="22"/>
        <v>1144.8</v>
      </c>
      <c r="O747" s="36">
        <f t="shared" si="23"/>
        <v>71.55</v>
      </c>
      <c r="P747" s="35">
        <v>500</v>
      </c>
    </row>
    <row r="748" spans="1:16" x14ac:dyDescent="0.25">
      <c r="A748" s="37" t="s">
        <v>857</v>
      </c>
      <c r="B748" s="37"/>
      <c r="C748" s="40" t="s">
        <v>34</v>
      </c>
      <c r="D748" s="39">
        <v>45497</v>
      </c>
      <c r="E748" s="39">
        <v>45862</v>
      </c>
      <c r="F748" s="37" t="s">
        <v>1578</v>
      </c>
      <c r="G748" s="37" t="s">
        <v>61</v>
      </c>
      <c r="H748" s="41">
        <v>8800</v>
      </c>
      <c r="I748" s="42">
        <v>7155</v>
      </c>
      <c r="J748" s="37" t="s">
        <v>2019</v>
      </c>
      <c r="K748" s="39">
        <v>45497</v>
      </c>
      <c r="L748" s="33" t="s">
        <v>58</v>
      </c>
      <c r="M748" s="41">
        <v>352000</v>
      </c>
      <c r="N748" s="34">
        <f t="shared" si="22"/>
        <v>1144.8</v>
      </c>
      <c r="O748" s="36">
        <f t="shared" si="23"/>
        <v>71.55</v>
      </c>
      <c r="P748" s="35">
        <v>500</v>
      </c>
    </row>
    <row r="749" spans="1:16" x14ac:dyDescent="0.25">
      <c r="A749" s="37" t="s">
        <v>858</v>
      </c>
      <c r="B749" s="37"/>
      <c r="C749" s="40" t="s">
        <v>54</v>
      </c>
      <c r="D749" s="39">
        <v>45497</v>
      </c>
      <c r="E749" s="39">
        <v>45862</v>
      </c>
      <c r="F749" s="37" t="s">
        <v>1568</v>
      </c>
      <c r="G749" s="37" t="s">
        <v>61</v>
      </c>
      <c r="H749" s="41">
        <v>8800</v>
      </c>
      <c r="I749" s="42">
        <v>7155</v>
      </c>
      <c r="J749" s="37" t="s">
        <v>2324</v>
      </c>
      <c r="K749" s="39">
        <v>45497</v>
      </c>
      <c r="L749" s="33" t="s">
        <v>58</v>
      </c>
      <c r="M749" s="41">
        <v>352000</v>
      </c>
      <c r="N749" s="34">
        <f t="shared" si="22"/>
        <v>1144.8</v>
      </c>
      <c r="O749" s="36">
        <f t="shared" si="23"/>
        <v>71.55</v>
      </c>
      <c r="P749" s="35">
        <v>500</v>
      </c>
    </row>
    <row r="750" spans="1:16" x14ac:dyDescent="0.25">
      <c r="A750" s="37" t="s">
        <v>859</v>
      </c>
      <c r="B750" s="37"/>
      <c r="C750" s="40" t="s">
        <v>54</v>
      </c>
      <c r="D750" s="39">
        <v>45497</v>
      </c>
      <c r="E750" s="39">
        <v>45862</v>
      </c>
      <c r="F750" s="37" t="s">
        <v>1579</v>
      </c>
      <c r="G750" s="37" t="s">
        <v>63</v>
      </c>
      <c r="H750" s="41">
        <v>13675</v>
      </c>
      <c r="I750" s="42">
        <v>11358</v>
      </c>
      <c r="J750" s="37" t="s">
        <v>2156</v>
      </c>
      <c r="K750" s="39">
        <v>45497</v>
      </c>
      <c r="L750" s="33" t="s">
        <v>58</v>
      </c>
      <c r="M750" s="41">
        <v>547000</v>
      </c>
      <c r="N750" s="34">
        <f t="shared" si="22"/>
        <v>1817.28</v>
      </c>
      <c r="O750" s="36">
        <f t="shared" si="23"/>
        <v>113.58</v>
      </c>
      <c r="P750" s="35">
        <v>500</v>
      </c>
    </row>
    <row r="751" spans="1:16" x14ac:dyDescent="0.25">
      <c r="A751" s="37" t="s">
        <v>860</v>
      </c>
      <c r="B751" s="37"/>
      <c r="C751" s="40" t="s">
        <v>52</v>
      </c>
      <c r="D751" s="39">
        <v>45497</v>
      </c>
      <c r="E751" s="39">
        <v>45862</v>
      </c>
      <c r="F751" s="37" t="s">
        <v>1580</v>
      </c>
      <c r="G751" s="37" t="s">
        <v>62</v>
      </c>
      <c r="H751" s="41">
        <v>13370</v>
      </c>
      <c r="I751" s="42">
        <v>11095</v>
      </c>
      <c r="J751" s="37" t="s">
        <v>2325</v>
      </c>
      <c r="K751" s="39">
        <v>45497</v>
      </c>
      <c r="L751" s="33" t="s">
        <v>58</v>
      </c>
      <c r="M751" s="41">
        <v>382000</v>
      </c>
      <c r="N751" s="34">
        <f t="shared" si="22"/>
        <v>1775.2</v>
      </c>
      <c r="O751" s="36">
        <f t="shared" si="23"/>
        <v>110.95</v>
      </c>
      <c r="P751" s="35">
        <v>500</v>
      </c>
    </row>
    <row r="752" spans="1:16" x14ac:dyDescent="0.25">
      <c r="A752" s="37" t="s">
        <v>861</v>
      </c>
      <c r="B752" s="37"/>
      <c r="C752" s="40" t="s">
        <v>52</v>
      </c>
      <c r="D752" s="39">
        <v>45497</v>
      </c>
      <c r="E752" s="39">
        <v>45862</v>
      </c>
      <c r="F752" s="37" t="s">
        <v>1581</v>
      </c>
      <c r="G752" s="37" t="s">
        <v>62</v>
      </c>
      <c r="H752" s="41">
        <v>13370</v>
      </c>
      <c r="I752" s="42">
        <v>11095</v>
      </c>
      <c r="J752" s="37" t="s">
        <v>2326</v>
      </c>
      <c r="K752" s="39">
        <v>45497</v>
      </c>
      <c r="L752" s="33" t="s">
        <v>58</v>
      </c>
      <c r="M752" s="41">
        <v>382000</v>
      </c>
      <c r="N752" s="34">
        <f t="shared" si="22"/>
        <v>1775.2</v>
      </c>
      <c r="O752" s="36">
        <f t="shared" si="23"/>
        <v>110.95</v>
      </c>
      <c r="P752" s="35">
        <v>500</v>
      </c>
    </row>
    <row r="753" spans="1:16" x14ac:dyDescent="0.25">
      <c r="A753" s="37" t="s">
        <v>862</v>
      </c>
      <c r="B753" s="37"/>
      <c r="C753" s="40" t="s">
        <v>72</v>
      </c>
      <c r="D753" s="39">
        <v>45498</v>
      </c>
      <c r="E753" s="39">
        <v>45863</v>
      </c>
      <c r="F753" s="37" t="s">
        <v>1582</v>
      </c>
      <c r="G753" s="37" t="s">
        <v>62</v>
      </c>
      <c r="H753" s="41">
        <v>9550</v>
      </c>
      <c r="I753" s="42">
        <v>7802</v>
      </c>
      <c r="J753" s="37" t="s">
        <v>2327</v>
      </c>
      <c r="K753" s="39">
        <v>45498</v>
      </c>
      <c r="L753" s="33" t="s">
        <v>58</v>
      </c>
      <c r="M753" s="41">
        <v>382000</v>
      </c>
      <c r="N753" s="34">
        <f t="shared" si="22"/>
        <v>1248.32</v>
      </c>
      <c r="O753" s="36">
        <f t="shared" si="23"/>
        <v>78.02</v>
      </c>
      <c r="P753" s="35">
        <v>500</v>
      </c>
    </row>
    <row r="754" spans="1:16" x14ac:dyDescent="0.25">
      <c r="A754" s="37" t="s">
        <v>863</v>
      </c>
      <c r="B754" s="37"/>
      <c r="C754" s="40" t="s">
        <v>54</v>
      </c>
      <c r="D754" s="39">
        <v>45498</v>
      </c>
      <c r="E754" s="39">
        <v>45863</v>
      </c>
      <c r="F754" s="37" t="s">
        <v>1583</v>
      </c>
      <c r="G754" s="37" t="s">
        <v>63</v>
      </c>
      <c r="H754" s="41">
        <v>13675</v>
      </c>
      <c r="I754" s="42">
        <v>11358</v>
      </c>
      <c r="J754" s="37" t="s">
        <v>1975</v>
      </c>
      <c r="K754" s="39">
        <v>45498</v>
      </c>
      <c r="L754" s="33" t="s">
        <v>58</v>
      </c>
      <c r="M754" s="41">
        <v>547000</v>
      </c>
      <c r="N754" s="34">
        <f t="shared" si="22"/>
        <v>1817.28</v>
      </c>
      <c r="O754" s="36">
        <f t="shared" si="23"/>
        <v>113.58</v>
      </c>
      <c r="P754" s="35">
        <v>500</v>
      </c>
    </row>
    <row r="755" spans="1:16" x14ac:dyDescent="0.25">
      <c r="A755" s="37" t="s">
        <v>864</v>
      </c>
      <c r="B755" s="37"/>
      <c r="C755" s="40" t="s">
        <v>72</v>
      </c>
      <c r="D755" s="39">
        <v>45498</v>
      </c>
      <c r="E755" s="39">
        <v>45863</v>
      </c>
      <c r="F755" s="37" t="s">
        <v>1584</v>
      </c>
      <c r="G755" s="37" t="s">
        <v>62</v>
      </c>
      <c r="H755" s="41">
        <v>9550</v>
      </c>
      <c r="I755" s="42">
        <v>7802</v>
      </c>
      <c r="J755" s="37" t="s">
        <v>2328</v>
      </c>
      <c r="K755" s="39">
        <v>45498</v>
      </c>
      <c r="L755" s="33" t="s">
        <v>58</v>
      </c>
      <c r="M755" s="41">
        <v>382000</v>
      </c>
      <c r="N755" s="34">
        <f t="shared" si="22"/>
        <v>1248.32</v>
      </c>
      <c r="O755" s="36">
        <f t="shared" si="23"/>
        <v>78.02</v>
      </c>
      <c r="P755" s="35">
        <v>500</v>
      </c>
    </row>
    <row r="756" spans="1:16" x14ac:dyDescent="0.25">
      <c r="A756" s="37" t="s">
        <v>865</v>
      </c>
      <c r="B756" s="37"/>
      <c r="C756" s="40" t="s">
        <v>35</v>
      </c>
      <c r="D756" s="39">
        <v>45498</v>
      </c>
      <c r="E756" s="39">
        <v>45863</v>
      </c>
      <c r="F756" s="37" t="s">
        <v>1585</v>
      </c>
      <c r="G756" s="37" t="s">
        <v>61</v>
      </c>
      <c r="H756" s="41">
        <v>12320</v>
      </c>
      <c r="I756" s="42">
        <v>10190</v>
      </c>
      <c r="J756" s="37" t="s">
        <v>2329</v>
      </c>
      <c r="K756" s="39">
        <v>45498</v>
      </c>
      <c r="L756" s="33" t="s">
        <v>58</v>
      </c>
      <c r="M756" s="41">
        <v>352000</v>
      </c>
      <c r="N756" s="34">
        <f t="shared" si="22"/>
        <v>1630.4</v>
      </c>
      <c r="O756" s="36">
        <f t="shared" si="23"/>
        <v>101.9</v>
      </c>
      <c r="P756" s="35">
        <v>500</v>
      </c>
    </row>
    <row r="757" spans="1:16" x14ac:dyDescent="0.25">
      <c r="A757" s="37" t="s">
        <v>866</v>
      </c>
      <c r="B757" s="37"/>
      <c r="C757" s="40" t="s">
        <v>35</v>
      </c>
      <c r="D757" s="39">
        <v>45498</v>
      </c>
      <c r="E757" s="39">
        <v>45863</v>
      </c>
      <c r="F757" s="37" t="s">
        <v>1586</v>
      </c>
      <c r="G757" s="37" t="s">
        <v>61</v>
      </c>
      <c r="H757" s="41">
        <v>12320</v>
      </c>
      <c r="I757" s="42">
        <v>10190</v>
      </c>
      <c r="J757" s="37" t="s">
        <v>2279</v>
      </c>
      <c r="K757" s="39">
        <v>45498</v>
      </c>
      <c r="L757" s="33" t="s">
        <v>58</v>
      </c>
      <c r="M757" s="41">
        <v>352000</v>
      </c>
      <c r="N757" s="34">
        <f t="shared" si="22"/>
        <v>1630.4</v>
      </c>
      <c r="O757" s="36">
        <f t="shared" si="23"/>
        <v>101.9</v>
      </c>
      <c r="P757" s="35">
        <v>500</v>
      </c>
    </row>
    <row r="758" spans="1:16" x14ac:dyDescent="0.25">
      <c r="A758" s="37" t="s">
        <v>867</v>
      </c>
      <c r="B758" s="37"/>
      <c r="C758" s="40" t="s">
        <v>74</v>
      </c>
      <c r="D758" s="39">
        <v>45498</v>
      </c>
      <c r="E758" s="39">
        <v>45863</v>
      </c>
      <c r="F758" s="37" t="s">
        <v>1587</v>
      </c>
      <c r="G758" s="37" t="s">
        <v>63</v>
      </c>
      <c r="H758" s="41">
        <v>13675</v>
      </c>
      <c r="I758" s="42">
        <v>11358</v>
      </c>
      <c r="J758" s="37" t="s">
        <v>1736</v>
      </c>
      <c r="K758" s="39">
        <v>45498</v>
      </c>
      <c r="L758" s="33" t="s">
        <v>58</v>
      </c>
      <c r="M758" s="41">
        <v>547000</v>
      </c>
      <c r="N758" s="34">
        <f t="shared" si="22"/>
        <v>1817.28</v>
      </c>
      <c r="O758" s="36">
        <f t="shared" si="23"/>
        <v>113.58</v>
      </c>
      <c r="P758" s="35">
        <v>500</v>
      </c>
    </row>
    <row r="759" spans="1:16" x14ac:dyDescent="0.25">
      <c r="A759" s="37" t="s">
        <v>868</v>
      </c>
      <c r="B759" s="37"/>
      <c r="C759" s="40" t="s">
        <v>74</v>
      </c>
      <c r="D759" s="39">
        <v>45498</v>
      </c>
      <c r="E759" s="39">
        <v>45863</v>
      </c>
      <c r="F759" s="37" t="s">
        <v>1588</v>
      </c>
      <c r="G759" s="37" t="s">
        <v>64</v>
      </c>
      <c r="H759" s="41">
        <v>12475</v>
      </c>
      <c r="I759" s="42">
        <v>10323</v>
      </c>
      <c r="J759" s="37" t="s">
        <v>2331</v>
      </c>
      <c r="K759" s="39">
        <v>45498</v>
      </c>
      <c r="L759" s="33" t="s">
        <v>58</v>
      </c>
      <c r="M759" s="41">
        <v>499000</v>
      </c>
      <c r="N759" s="34">
        <f t="shared" si="22"/>
        <v>1651.68</v>
      </c>
      <c r="O759" s="36">
        <f t="shared" si="23"/>
        <v>103.23</v>
      </c>
      <c r="P759" s="35">
        <v>500</v>
      </c>
    </row>
    <row r="760" spans="1:16" x14ac:dyDescent="0.25">
      <c r="A760" s="37" t="s">
        <v>869</v>
      </c>
      <c r="B760" s="37"/>
      <c r="C760" s="40" t="s">
        <v>35</v>
      </c>
      <c r="D760" s="39">
        <v>45498</v>
      </c>
      <c r="E760" s="39">
        <v>45863</v>
      </c>
      <c r="F760" s="37" t="s">
        <v>81</v>
      </c>
      <c r="G760" s="37" t="s">
        <v>61</v>
      </c>
      <c r="H760" s="41">
        <v>12320</v>
      </c>
      <c r="I760" s="42">
        <v>10190</v>
      </c>
      <c r="J760" s="37" t="s">
        <v>2332</v>
      </c>
      <c r="K760" s="39">
        <v>45498</v>
      </c>
      <c r="L760" s="33" t="s">
        <v>58</v>
      </c>
      <c r="M760" s="41">
        <v>352000</v>
      </c>
      <c r="N760" s="34">
        <f t="shared" si="22"/>
        <v>1630.4</v>
      </c>
      <c r="O760" s="36">
        <f t="shared" si="23"/>
        <v>101.9</v>
      </c>
      <c r="P760" s="35">
        <v>500</v>
      </c>
    </row>
    <row r="761" spans="1:16" x14ac:dyDescent="0.25">
      <c r="A761" s="37" t="s">
        <v>870</v>
      </c>
      <c r="B761" s="37"/>
      <c r="C761" s="40" t="s">
        <v>66</v>
      </c>
      <c r="D761" s="39">
        <v>45498</v>
      </c>
      <c r="E761" s="39">
        <v>45863</v>
      </c>
      <c r="F761" s="37" t="s">
        <v>1589</v>
      </c>
      <c r="G761" s="37" t="s">
        <v>62</v>
      </c>
      <c r="H761" s="41">
        <v>9550</v>
      </c>
      <c r="I761" s="42">
        <v>7802</v>
      </c>
      <c r="J761" s="37" t="s">
        <v>2333</v>
      </c>
      <c r="K761" s="39">
        <v>45498</v>
      </c>
      <c r="L761" s="33" t="s">
        <v>58</v>
      </c>
      <c r="M761" s="41">
        <v>382000</v>
      </c>
      <c r="N761" s="34">
        <f t="shared" si="22"/>
        <v>1248.32</v>
      </c>
      <c r="O761" s="36">
        <f t="shared" si="23"/>
        <v>78.02</v>
      </c>
      <c r="P761" s="35">
        <v>500</v>
      </c>
    </row>
    <row r="762" spans="1:16" x14ac:dyDescent="0.25">
      <c r="A762" s="37" t="s">
        <v>871</v>
      </c>
      <c r="B762" s="37"/>
      <c r="C762" s="40" t="s">
        <v>66</v>
      </c>
      <c r="D762" s="39">
        <v>45498</v>
      </c>
      <c r="E762" s="39">
        <v>45863</v>
      </c>
      <c r="F762" s="37" t="s">
        <v>1590</v>
      </c>
      <c r="G762" s="37" t="s">
        <v>62</v>
      </c>
      <c r="H762" s="41">
        <v>9550</v>
      </c>
      <c r="I762" s="42">
        <v>7802</v>
      </c>
      <c r="J762" s="37" t="s">
        <v>2334</v>
      </c>
      <c r="K762" s="39">
        <v>45498</v>
      </c>
      <c r="L762" s="33" t="s">
        <v>58</v>
      </c>
      <c r="M762" s="41">
        <v>382000</v>
      </c>
      <c r="N762" s="34">
        <f t="shared" si="22"/>
        <v>1248.32</v>
      </c>
      <c r="O762" s="36">
        <f t="shared" si="23"/>
        <v>78.02</v>
      </c>
      <c r="P762" s="35">
        <v>500</v>
      </c>
    </row>
    <row r="763" spans="1:16" x14ac:dyDescent="0.25">
      <c r="A763" s="37" t="s">
        <v>872</v>
      </c>
      <c r="B763" s="37"/>
      <c r="C763" s="40" t="s">
        <v>39</v>
      </c>
      <c r="D763" s="39">
        <v>45498</v>
      </c>
      <c r="E763" s="39">
        <v>45863</v>
      </c>
      <c r="F763" s="37" t="s">
        <v>1591</v>
      </c>
      <c r="G763" s="37" t="s">
        <v>61</v>
      </c>
      <c r="H763" s="41">
        <v>12320</v>
      </c>
      <c r="I763" s="42">
        <v>10190</v>
      </c>
      <c r="J763" s="37" t="s">
        <v>2335</v>
      </c>
      <c r="K763" s="39">
        <v>45498</v>
      </c>
      <c r="L763" s="33" t="s">
        <v>58</v>
      </c>
      <c r="M763" s="41">
        <v>352000</v>
      </c>
      <c r="N763" s="34">
        <f t="shared" si="22"/>
        <v>1630.4</v>
      </c>
      <c r="O763" s="36">
        <f t="shared" si="23"/>
        <v>101.9</v>
      </c>
      <c r="P763" s="35">
        <v>500</v>
      </c>
    </row>
    <row r="764" spans="1:16" x14ac:dyDescent="0.25">
      <c r="A764" s="37" t="s">
        <v>873</v>
      </c>
      <c r="B764" s="37"/>
      <c r="C764" s="40" t="s">
        <v>39</v>
      </c>
      <c r="D764" s="39">
        <v>45864</v>
      </c>
      <c r="E764" s="39">
        <v>46229</v>
      </c>
      <c r="F764" s="37" t="s">
        <v>1591</v>
      </c>
      <c r="G764" s="37" t="s">
        <v>61</v>
      </c>
      <c r="H764" s="41">
        <v>12320</v>
      </c>
      <c r="I764" s="42">
        <v>10190</v>
      </c>
      <c r="J764" s="37" t="s">
        <v>2335</v>
      </c>
      <c r="K764" s="39">
        <v>45498</v>
      </c>
      <c r="L764" s="33" t="s">
        <v>58</v>
      </c>
      <c r="M764" s="41">
        <v>352000</v>
      </c>
      <c r="N764" s="34">
        <f t="shared" si="22"/>
        <v>1630.4</v>
      </c>
      <c r="O764" s="36">
        <f t="shared" si="23"/>
        <v>101.9</v>
      </c>
      <c r="P764" s="35">
        <v>500</v>
      </c>
    </row>
    <row r="765" spans="1:16" x14ac:dyDescent="0.25">
      <c r="A765" s="37" t="s">
        <v>874</v>
      </c>
      <c r="B765" s="37"/>
      <c r="C765" s="40" t="s">
        <v>66</v>
      </c>
      <c r="D765" s="39">
        <v>45498</v>
      </c>
      <c r="E765" s="39">
        <v>45863</v>
      </c>
      <c r="F765" s="37" t="s">
        <v>1592</v>
      </c>
      <c r="G765" s="37" t="s">
        <v>61</v>
      </c>
      <c r="H765" s="41">
        <v>8800</v>
      </c>
      <c r="I765" s="42">
        <v>7155</v>
      </c>
      <c r="J765" s="37" t="s">
        <v>2336</v>
      </c>
      <c r="K765" s="39">
        <v>45498</v>
      </c>
      <c r="L765" s="33" t="s">
        <v>58</v>
      </c>
      <c r="M765" s="41">
        <v>352000</v>
      </c>
      <c r="N765" s="34">
        <f t="shared" si="22"/>
        <v>1144.8</v>
      </c>
      <c r="O765" s="36">
        <f t="shared" si="23"/>
        <v>71.55</v>
      </c>
      <c r="P765" s="35">
        <v>500</v>
      </c>
    </row>
    <row r="766" spans="1:16" x14ac:dyDescent="0.25">
      <c r="A766" s="37" t="s">
        <v>875</v>
      </c>
      <c r="B766" s="37"/>
      <c r="C766" s="40" t="s">
        <v>66</v>
      </c>
      <c r="D766" s="39">
        <v>45498</v>
      </c>
      <c r="E766" s="39">
        <v>45863</v>
      </c>
      <c r="F766" s="37" t="s">
        <v>1593</v>
      </c>
      <c r="G766" s="37" t="s">
        <v>61</v>
      </c>
      <c r="H766" s="41">
        <v>8800</v>
      </c>
      <c r="I766" s="42">
        <v>7155</v>
      </c>
      <c r="J766" s="37" t="s">
        <v>2338</v>
      </c>
      <c r="K766" s="39">
        <v>45498</v>
      </c>
      <c r="L766" s="33" t="s">
        <v>58</v>
      </c>
      <c r="M766" s="41">
        <v>352000</v>
      </c>
      <c r="N766" s="34">
        <f t="shared" si="22"/>
        <v>1144.8</v>
      </c>
      <c r="O766" s="36">
        <f t="shared" si="23"/>
        <v>71.55</v>
      </c>
      <c r="P766" s="35">
        <v>500</v>
      </c>
    </row>
    <row r="767" spans="1:16" x14ac:dyDescent="0.25">
      <c r="A767" s="37" t="s">
        <v>876</v>
      </c>
      <c r="B767" s="37"/>
      <c r="C767" s="40" t="s">
        <v>66</v>
      </c>
      <c r="D767" s="39">
        <v>45498</v>
      </c>
      <c r="E767" s="39">
        <v>45863</v>
      </c>
      <c r="F767" s="37" t="s">
        <v>1594</v>
      </c>
      <c r="G767" s="37" t="s">
        <v>61</v>
      </c>
      <c r="H767" s="41">
        <v>8800</v>
      </c>
      <c r="I767" s="42">
        <v>7155</v>
      </c>
      <c r="J767" s="37" t="s">
        <v>2339</v>
      </c>
      <c r="K767" s="39">
        <v>45498</v>
      </c>
      <c r="L767" s="33" t="s">
        <v>58</v>
      </c>
      <c r="M767" s="41">
        <v>352000</v>
      </c>
      <c r="N767" s="34">
        <f t="shared" si="22"/>
        <v>1144.8</v>
      </c>
      <c r="O767" s="36">
        <f t="shared" si="23"/>
        <v>71.55</v>
      </c>
      <c r="P767" s="35">
        <v>500</v>
      </c>
    </row>
    <row r="768" spans="1:16" x14ac:dyDescent="0.25">
      <c r="A768" s="37" t="s">
        <v>877</v>
      </c>
      <c r="B768" s="37"/>
      <c r="C768" s="40" t="s">
        <v>66</v>
      </c>
      <c r="D768" s="39">
        <v>45498</v>
      </c>
      <c r="E768" s="39">
        <v>45863</v>
      </c>
      <c r="F768" s="37" t="s">
        <v>1595</v>
      </c>
      <c r="G768" s="37" t="s">
        <v>62</v>
      </c>
      <c r="H768" s="41">
        <v>9550</v>
      </c>
      <c r="I768" s="42">
        <v>7802</v>
      </c>
      <c r="J768" s="37" t="s">
        <v>2340</v>
      </c>
      <c r="K768" s="39">
        <v>45498</v>
      </c>
      <c r="L768" s="33" t="s">
        <v>58</v>
      </c>
      <c r="M768" s="41">
        <v>382000</v>
      </c>
      <c r="N768" s="34">
        <f t="shared" si="22"/>
        <v>1248.32</v>
      </c>
      <c r="O768" s="36">
        <f t="shared" si="23"/>
        <v>78.02</v>
      </c>
      <c r="P768" s="35">
        <v>500</v>
      </c>
    </row>
    <row r="769" spans="1:16" x14ac:dyDescent="0.25">
      <c r="A769" s="37" t="s">
        <v>878</v>
      </c>
      <c r="B769" s="37"/>
      <c r="C769" s="40" t="s">
        <v>53</v>
      </c>
      <c r="D769" s="39">
        <v>45498</v>
      </c>
      <c r="E769" s="39">
        <v>45863</v>
      </c>
      <c r="F769" s="37" t="s">
        <v>1596</v>
      </c>
      <c r="G769" s="37" t="s">
        <v>61</v>
      </c>
      <c r="H769" s="41">
        <v>8800</v>
      </c>
      <c r="I769" s="42">
        <v>7155</v>
      </c>
      <c r="J769" s="37" t="s">
        <v>2341</v>
      </c>
      <c r="K769" s="39">
        <v>45498</v>
      </c>
      <c r="L769" s="33" t="s">
        <v>58</v>
      </c>
      <c r="M769" s="41">
        <v>352000</v>
      </c>
      <c r="N769" s="34">
        <f t="shared" ref="N769:N828" si="24">I769*16/100</f>
        <v>1144.8</v>
      </c>
      <c r="O769" s="36">
        <f t="shared" ref="O769:O828" si="25">I769*1/100</f>
        <v>71.55</v>
      </c>
      <c r="P769" s="35">
        <v>500</v>
      </c>
    </row>
    <row r="770" spans="1:16" x14ac:dyDescent="0.25">
      <c r="A770" s="37" t="s">
        <v>879</v>
      </c>
      <c r="B770" s="37"/>
      <c r="C770" s="40" t="s">
        <v>66</v>
      </c>
      <c r="D770" s="39">
        <v>45498</v>
      </c>
      <c r="E770" s="39">
        <v>45863</v>
      </c>
      <c r="F770" s="37" t="s">
        <v>1597</v>
      </c>
      <c r="G770" s="37" t="s">
        <v>61</v>
      </c>
      <c r="H770" s="41">
        <v>8800</v>
      </c>
      <c r="I770" s="42">
        <v>7155</v>
      </c>
      <c r="J770" s="37" t="s">
        <v>2342</v>
      </c>
      <c r="K770" s="39">
        <v>45498</v>
      </c>
      <c r="L770" s="33" t="s">
        <v>58</v>
      </c>
      <c r="M770" s="41">
        <v>352000</v>
      </c>
      <c r="N770" s="34">
        <f t="shared" si="24"/>
        <v>1144.8</v>
      </c>
      <c r="O770" s="36">
        <f t="shared" si="25"/>
        <v>71.55</v>
      </c>
      <c r="P770" s="35">
        <v>500</v>
      </c>
    </row>
    <row r="771" spans="1:16" x14ac:dyDescent="0.25">
      <c r="A771" s="37" t="s">
        <v>880</v>
      </c>
      <c r="B771" s="37"/>
      <c r="C771" s="40" t="s">
        <v>88</v>
      </c>
      <c r="D771" s="39">
        <v>45498</v>
      </c>
      <c r="E771" s="39">
        <v>45863</v>
      </c>
      <c r="F771" s="37" t="s">
        <v>1598</v>
      </c>
      <c r="G771" s="37" t="s">
        <v>61</v>
      </c>
      <c r="H771" s="41">
        <v>8800</v>
      </c>
      <c r="I771" s="42">
        <v>7155</v>
      </c>
      <c r="J771" s="37" t="s">
        <v>2343</v>
      </c>
      <c r="K771" s="39">
        <v>45498</v>
      </c>
      <c r="L771" s="33" t="s">
        <v>58</v>
      </c>
      <c r="M771" s="41">
        <v>352000</v>
      </c>
      <c r="N771" s="34">
        <f t="shared" si="24"/>
        <v>1144.8</v>
      </c>
      <c r="O771" s="36">
        <f t="shared" si="25"/>
        <v>71.55</v>
      </c>
      <c r="P771" s="35">
        <v>500</v>
      </c>
    </row>
    <row r="772" spans="1:16" x14ac:dyDescent="0.25">
      <c r="A772" s="37" t="s">
        <v>881</v>
      </c>
      <c r="B772" s="37"/>
      <c r="C772" s="40" t="s">
        <v>88</v>
      </c>
      <c r="D772" s="39">
        <v>45498</v>
      </c>
      <c r="E772" s="39">
        <v>45863</v>
      </c>
      <c r="F772" s="37" t="s">
        <v>1599</v>
      </c>
      <c r="G772" s="37" t="s">
        <v>63</v>
      </c>
      <c r="H772" s="41">
        <v>13675</v>
      </c>
      <c r="I772" s="42">
        <v>11358</v>
      </c>
      <c r="J772" s="37" t="s">
        <v>2344</v>
      </c>
      <c r="K772" s="39">
        <v>45498</v>
      </c>
      <c r="L772" s="33" t="s">
        <v>58</v>
      </c>
      <c r="M772" s="41">
        <v>547000</v>
      </c>
      <c r="N772" s="34">
        <f t="shared" si="24"/>
        <v>1817.28</v>
      </c>
      <c r="O772" s="36">
        <f t="shared" si="25"/>
        <v>113.58</v>
      </c>
      <c r="P772" s="35">
        <v>500</v>
      </c>
    </row>
    <row r="773" spans="1:16" x14ac:dyDescent="0.25">
      <c r="A773" s="37" t="s">
        <v>882</v>
      </c>
      <c r="B773" s="37"/>
      <c r="C773" s="40" t="s">
        <v>67</v>
      </c>
      <c r="D773" s="39">
        <v>45498</v>
      </c>
      <c r="E773" s="39">
        <v>45863</v>
      </c>
      <c r="F773" s="37" t="s">
        <v>1600</v>
      </c>
      <c r="G773" s="37" t="s">
        <v>62</v>
      </c>
      <c r="H773" s="41">
        <v>9550</v>
      </c>
      <c r="I773" s="42">
        <v>7802</v>
      </c>
      <c r="J773" s="37" t="s">
        <v>2345</v>
      </c>
      <c r="K773" s="39">
        <v>45498</v>
      </c>
      <c r="L773" s="33" t="s">
        <v>58</v>
      </c>
      <c r="M773" s="41">
        <v>382000</v>
      </c>
      <c r="N773" s="34">
        <f t="shared" si="24"/>
        <v>1248.32</v>
      </c>
      <c r="O773" s="36">
        <f t="shared" si="25"/>
        <v>78.02</v>
      </c>
      <c r="P773" s="35">
        <v>500</v>
      </c>
    </row>
    <row r="774" spans="1:16" x14ac:dyDescent="0.25">
      <c r="A774" s="37" t="s">
        <v>883</v>
      </c>
      <c r="B774" s="37"/>
      <c r="C774" s="40" t="s">
        <v>88</v>
      </c>
      <c r="D774" s="39">
        <v>45498</v>
      </c>
      <c r="E774" s="39">
        <v>45863</v>
      </c>
      <c r="F774" s="37" t="s">
        <v>1601</v>
      </c>
      <c r="G774" s="37" t="s">
        <v>63</v>
      </c>
      <c r="H774" s="41">
        <v>13675</v>
      </c>
      <c r="I774" s="42">
        <v>11358</v>
      </c>
      <c r="J774" s="37" t="s">
        <v>2346</v>
      </c>
      <c r="K774" s="39">
        <v>45498</v>
      </c>
      <c r="L774" s="33" t="s">
        <v>58</v>
      </c>
      <c r="M774" s="41">
        <v>547000</v>
      </c>
      <c r="N774" s="34">
        <f t="shared" si="24"/>
        <v>1817.28</v>
      </c>
      <c r="O774" s="36">
        <f t="shared" si="25"/>
        <v>113.58</v>
      </c>
      <c r="P774" s="35">
        <v>500</v>
      </c>
    </row>
    <row r="775" spans="1:16" x14ac:dyDescent="0.25">
      <c r="A775" s="37" t="s">
        <v>884</v>
      </c>
      <c r="B775" s="37"/>
      <c r="C775" s="40" t="s">
        <v>67</v>
      </c>
      <c r="D775" s="39">
        <v>45498</v>
      </c>
      <c r="E775" s="39">
        <v>45863</v>
      </c>
      <c r="F775" s="37" t="s">
        <v>1602</v>
      </c>
      <c r="G775" s="37" t="s">
        <v>62</v>
      </c>
      <c r="H775" s="41">
        <v>9550</v>
      </c>
      <c r="I775" s="42">
        <v>7802</v>
      </c>
      <c r="J775" s="37" t="s">
        <v>2347</v>
      </c>
      <c r="K775" s="39">
        <v>45498</v>
      </c>
      <c r="L775" s="33" t="s">
        <v>58</v>
      </c>
      <c r="M775" s="41">
        <v>382000</v>
      </c>
      <c r="N775" s="34">
        <f t="shared" si="24"/>
        <v>1248.32</v>
      </c>
      <c r="O775" s="36">
        <f t="shared" si="25"/>
        <v>78.02</v>
      </c>
      <c r="P775" s="35">
        <v>500</v>
      </c>
    </row>
    <row r="776" spans="1:16" x14ac:dyDescent="0.25">
      <c r="A776" s="37" t="s">
        <v>885</v>
      </c>
      <c r="B776" s="37"/>
      <c r="C776" s="40" t="s">
        <v>88</v>
      </c>
      <c r="D776" s="39">
        <v>45498</v>
      </c>
      <c r="E776" s="39">
        <v>45863</v>
      </c>
      <c r="F776" s="37" t="s">
        <v>1603</v>
      </c>
      <c r="G776" s="37" t="s">
        <v>62</v>
      </c>
      <c r="H776" s="41">
        <v>9550</v>
      </c>
      <c r="I776" s="42">
        <v>7802</v>
      </c>
      <c r="J776" s="37" t="s">
        <v>2348</v>
      </c>
      <c r="K776" s="39">
        <v>45498</v>
      </c>
      <c r="L776" s="33" t="s">
        <v>58</v>
      </c>
      <c r="M776" s="41">
        <v>382000</v>
      </c>
      <c r="N776" s="34">
        <f t="shared" si="24"/>
        <v>1248.32</v>
      </c>
      <c r="O776" s="36">
        <f t="shared" si="25"/>
        <v>78.02</v>
      </c>
      <c r="P776" s="35">
        <v>500</v>
      </c>
    </row>
    <row r="777" spans="1:16" x14ac:dyDescent="0.25">
      <c r="A777" s="37" t="s">
        <v>886</v>
      </c>
      <c r="B777" s="37"/>
      <c r="C777" s="40" t="s">
        <v>88</v>
      </c>
      <c r="D777" s="39">
        <v>45498</v>
      </c>
      <c r="E777" s="39">
        <v>45863</v>
      </c>
      <c r="F777" s="37" t="s">
        <v>1604</v>
      </c>
      <c r="G777" s="37" t="s">
        <v>62</v>
      </c>
      <c r="H777" s="41">
        <v>9550</v>
      </c>
      <c r="I777" s="42">
        <v>7802</v>
      </c>
      <c r="J777" s="37" t="s">
        <v>2349</v>
      </c>
      <c r="K777" s="39">
        <v>45498</v>
      </c>
      <c r="L777" s="33" t="s">
        <v>58</v>
      </c>
      <c r="M777" s="41">
        <v>382000</v>
      </c>
      <c r="N777" s="34">
        <f t="shared" si="24"/>
        <v>1248.32</v>
      </c>
      <c r="O777" s="36">
        <f t="shared" si="25"/>
        <v>78.02</v>
      </c>
      <c r="P777" s="35">
        <v>500</v>
      </c>
    </row>
    <row r="778" spans="1:16" x14ac:dyDescent="0.25">
      <c r="A778" s="37" t="s">
        <v>887</v>
      </c>
      <c r="B778" s="37"/>
      <c r="C778" s="40" t="s">
        <v>88</v>
      </c>
      <c r="D778" s="39">
        <v>45498</v>
      </c>
      <c r="E778" s="39">
        <v>45863</v>
      </c>
      <c r="F778" s="37" t="s">
        <v>1605</v>
      </c>
      <c r="G778" s="37" t="s">
        <v>61</v>
      </c>
      <c r="H778" s="41">
        <v>8800</v>
      </c>
      <c r="I778" s="42">
        <v>7155</v>
      </c>
      <c r="J778" s="37" t="s">
        <v>2350</v>
      </c>
      <c r="K778" s="39">
        <v>45498</v>
      </c>
      <c r="L778" s="33" t="s">
        <v>58</v>
      </c>
      <c r="M778" s="41">
        <v>352000</v>
      </c>
      <c r="N778" s="34">
        <f t="shared" si="24"/>
        <v>1144.8</v>
      </c>
      <c r="O778" s="36">
        <f t="shared" si="25"/>
        <v>71.55</v>
      </c>
      <c r="P778" s="35">
        <v>500</v>
      </c>
    </row>
    <row r="779" spans="1:16" x14ac:dyDescent="0.25">
      <c r="A779" s="37" t="s">
        <v>888</v>
      </c>
      <c r="B779" s="37"/>
      <c r="C779" s="40" t="s">
        <v>67</v>
      </c>
      <c r="D779" s="39">
        <v>45498</v>
      </c>
      <c r="E779" s="39">
        <v>45863</v>
      </c>
      <c r="F779" s="37" t="s">
        <v>1606</v>
      </c>
      <c r="G779" s="37" t="s">
        <v>61</v>
      </c>
      <c r="H779" s="41">
        <v>8800</v>
      </c>
      <c r="I779" s="42">
        <v>7155</v>
      </c>
      <c r="J779" s="37" t="s">
        <v>2351</v>
      </c>
      <c r="K779" s="39">
        <v>45498</v>
      </c>
      <c r="L779" s="33" t="s">
        <v>58</v>
      </c>
      <c r="M779" s="41">
        <v>352000</v>
      </c>
      <c r="N779" s="34">
        <f t="shared" si="24"/>
        <v>1144.8</v>
      </c>
      <c r="O779" s="36">
        <f t="shared" si="25"/>
        <v>71.55</v>
      </c>
      <c r="P779" s="35">
        <v>500</v>
      </c>
    </row>
    <row r="780" spans="1:16" x14ac:dyDescent="0.25">
      <c r="A780" s="37" t="s">
        <v>889</v>
      </c>
      <c r="B780" s="37"/>
      <c r="C780" s="40" t="s">
        <v>39</v>
      </c>
      <c r="D780" s="39">
        <v>45498</v>
      </c>
      <c r="E780" s="39">
        <v>45863</v>
      </c>
      <c r="F780" s="37" t="s">
        <v>1607</v>
      </c>
      <c r="G780" s="37" t="s">
        <v>61</v>
      </c>
      <c r="H780" s="41">
        <v>12320</v>
      </c>
      <c r="I780" s="42">
        <v>10190</v>
      </c>
      <c r="J780" s="37" t="s">
        <v>2352</v>
      </c>
      <c r="K780" s="39">
        <v>45498</v>
      </c>
      <c r="L780" s="33" t="s">
        <v>58</v>
      </c>
      <c r="M780" s="41">
        <v>352000</v>
      </c>
      <c r="N780" s="34">
        <f t="shared" si="24"/>
        <v>1630.4</v>
      </c>
      <c r="O780" s="36">
        <f t="shared" si="25"/>
        <v>101.9</v>
      </c>
      <c r="P780" s="35">
        <v>500</v>
      </c>
    </row>
    <row r="781" spans="1:16" x14ac:dyDescent="0.25">
      <c r="A781" s="37" t="s">
        <v>890</v>
      </c>
      <c r="B781" s="37"/>
      <c r="C781" s="40" t="s">
        <v>36</v>
      </c>
      <c r="D781" s="39">
        <v>45499</v>
      </c>
      <c r="E781" s="39">
        <v>45864</v>
      </c>
      <c r="F781" s="37" t="s">
        <v>1608</v>
      </c>
      <c r="G781" s="37" t="s">
        <v>62</v>
      </c>
      <c r="H781" s="41">
        <v>13370</v>
      </c>
      <c r="I781" s="42">
        <v>11095</v>
      </c>
      <c r="J781" s="37" t="s">
        <v>2353</v>
      </c>
      <c r="K781" s="39">
        <v>45499</v>
      </c>
      <c r="L781" s="33" t="s">
        <v>58</v>
      </c>
      <c r="M781" s="41">
        <v>382000</v>
      </c>
      <c r="N781" s="34">
        <f t="shared" si="24"/>
        <v>1775.2</v>
      </c>
      <c r="O781" s="36">
        <f t="shared" si="25"/>
        <v>110.95</v>
      </c>
      <c r="P781" s="35">
        <v>500</v>
      </c>
    </row>
    <row r="782" spans="1:16" x14ac:dyDescent="0.25">
      <c r="A782" s="37" t="s">
        <v>891</v>
      </c>
      <c r="B782" s="37"/>
      <c r="C782" s="40" t="s">
        <v>35</v>
      </c>
      <c r="D782" s="39">
        <v>45499</v>
      </c>
      <c r="E782" s="39">
        <v>45864</v>
      </c>
      <c r="F782" s="37" t="s">
        <v>1609</v>
      </c>
      <c r="G782" s="37" t="s">
        <v>61</v>
      </c>
      <c r="H782" s="41">
        <v>12320</v>
      </c>
      <c r="I782" s="42">
        <v>10190</v>
      </c>
      <c r="J782" s="37" t="s">
        <v>2354</v>
      </c>
      <c r="K782" s="39">
        <v>45499</v>
      </c>
      <c r="L782" s="33" t="s">
        <v>58</v>
      </c>
      <c r="M782" s="41">
        <v>352000</v>
      </c>
      <c r="N782" s="34">
        <f t="shared" si="24"/>
        <v>1630.4</v>
      </c>
      <c r="O782" s="36">
        <f t="shared" si="25"/>
        <v>101.9</v>
      </c>
      <c r="P782" s="35">
        <v>500</v>
      </c>
    </row>
    <row r="783" spans="1:16" x14ac:dyDescent="0.25">
      <c r="A783" s="37" t="s">
        <v>892</v>
      </c>
      <c r="B783" s="37"/>
      <c r="C783" s="40" t="s">
        <v>55</v>
      </c>
      <c r="D783" s="39">
        <v>45499</v>
      </c>
      <c r="E783" s="39">
        <v>45864</v>
      </c>
      <c r="F783" s="37" t="s">
        <v>1610</v>
      </c>
      <c r="G783" s="37" t="s">
        <v>62</v>
      </c>
      <c r="H783" s="41">
        <v>9550</v>
      </c>
      <c r="I783" s="42">
        <v>7802</v>
      </c>
      <c r="J783" s="37" t="s">
        <v>2355</v>
      </c>
      <c r="K783" s="39">
        <v>45499</v>
      </c>
      <c r="L783" s="33" t="s">
        <v>58</v>
      </c>
      <c r="M783" s="41">
        <v>382000</v>
      </c>
      <c r="N783" s="34">
        <f t="shared" si="24"/>
        <v>1248.32</v>
      </c>
      <c r="O783" s="36">
        <f t="shared" si="25"/>
        <v>78.02</v>
      </c>
      <c r="P783" s="35">
        <v>500</v>
      </c>
    </row>
    <row r="784" spans="1:16" x14ac:dyDescent="0.25">
      <c r="A784" s="37" t="s">
        <v>893</v>
      </c>
      <c r="B784" s="37"/>
      <c r="C784" s="40" t="s">
        <v>55</v>
      </c>
      <c r="D784" s="39">
        <v>45499</v>
      </c>
      <c r="E784" s="39">
        <v>45864</v>
      </c>
      <c r="F784" s="37" t="s">
        <v>1611</v>
      </c>
      <c r="G784" s="37" t="s">
        <v>61</v>
      </c>
      <c r="H784" s="41">
        <v>8800</v>
      </c>
      <c r="I784" s="42">
        <v>7155</v>
      </c>
      <c r="J784" s="37" t="s">
        <v>2356</v>
      </c>
      <c r="K784" s="39">
        <v>45499</v>
      </c>
      <c r="L784" s="33" t="s">
        <v>58</v>
      </c>
      <c r="M784" s="41">
        <v>352000</v>
      </c>
      <c r="N784" s="34">
        <f t="shared" si="24"/>
        <v>1144.8</v>
      </c>
      <c r="O784" s="36">
        <f t="shared" si="25"/>
        <v>71.55</v>
      </c>
      <c r="P784" s="35">
        <v>500</v>
      </c>
    </row>
    <row r="785" spans="1:16" x14ac:dyDescent="0.25">
      <c r="A785" s="37" t="s">
        <v>894</v>
      </c>
      <c r="B785" s="37"/>
      <c r="C785" s="40" t="s">
        <v>55</v>
      </c>
      <c r="D785" s="39">
        <v>45499</v>
      </c>
      <c r="E785" s="39">
        <v>45864</v>
      </c>
      <c r="F785" s="37" t="s">
        <v>1612</v>
      </c>
      <c r="G785" s="37" t="s">
        <v>61</v>
      </c>
      <c r="H785" s="41">
        <v>8800</v>
      </c>
      <c r="I785" s="42">
        <v>7155</v>
      </c>
      <c r="J785" s="37" t="s">
        <v>2357</v>
      </c>
      <c r="K785" s="39">
        <v>45499</v>
      </c>
      <c r="L785" s="33" t="s">
        <v>58</v>
      </c>
      <c r="M785" s="41">
        <v>352000</v>
      </c>
      <c r="N785" s="34">
        <f t="shared" si="24"/>
        <v>1144.8</v>
      </c>
      <c r="O785" s="36">
        <f t="shared" si="25"/>
        <v>71.55</v>
      </c>
      <c r="P785" s="35">
        <v>500</v>
      </c>
    </row>
    <row r="786" spans="1:16" x14ac:dyDescent="0.25">
      <c r="A786" s="37" t="s">
        <v>895</v>
      </c>
      <c r="B786" s="37"/>
      <c r="C786" s="40" t="s">
        <v>32</v>
      </c>
      <c r="D786" s="39">
        <v>45499</v>
      </c>
      <c r="E786" s="39">
        <v>45864</v>
      </c>
      <c r="F786" s="37" t="s">
        <v>1613</v>
      </c>
      <c r="G786" s="37" t="s">
        <v>61</v>
      </c>
      <c r="H786" s="41">
        <v>12320</v>
      </c>
      <c r="I786" s="42">
        <v>10190</v>
      </c>
      <c r="J786" s="37" t="s">
        <v>2307</v>
      </c>
      <c r="K786" s="39">
        <v>45499</v>
      </c>
      <c r="L786" s="33" t="s">
        <v>58</v>
      </c>
      <c r="M786" s="41">
        <v>352000</v>
      </c>
      <c r="N786" s="34">
        <f t="shared" si="24"/>
        <v>1630.4</v>
      </c>
      <c r="O786" s="36">
        <f t="shared" si="25"/>
        <v>101.9</v>
      </c>
      <c r="P786" s="35">
        <v>500</v>
      </c>
    </row>
    <row r="787" spans="1:16" x14ac:dyDescent="0.25">
      <c r="A787" s="37" t="s">
        <v>896</v>
      </c>
      <c r="B787" s="37"/>
      <c r="C787" s="40" t="s">
        <v>30</v>
      </c>
      <c r="D787" s="39">
        <v>45499</v>
      </c>
      <c r="E787" s="39">
        <v>45864</v>
      </c>
      <c r="F787" s="37" t="s">
        <v>1614</v>
      </c>
      <c r="G787" s="37" t="s">
        <v>62</v>
      </c>
      <c r="H787" s="41">
        <v>13370</v>
      </c>
      <c r="I787" s="42">
        <v>11095</v>
      </c>
      <c r="J787" s="37" t="s">
        <v>2358</v>
      </c>
      <c r="K787" s="39">
        <v>45499</v>
      </c>
      <c r="L787" s="33" t="s">
        <v>58</v>
      </c>
      <c r="M787" s="41">
        <v>382000</v>
      </c>
      <c r="N787" s="34">
        <f t="shared" si="24"/>
        <v>1775.2</v>
      </c>
      <c r="O787" s="36">
        <f t="shared" si="25"/>
        <v>110.95</v>
      </c>
      <c r="P787" s="35">
        <v>500</v>
      </c>
    </row>
    <row r="788" spans="1:16" x14ac:dyDescent="0.25">
      <c r="A788" s="37" t="s">
        <v>897</v>
      </c>
      <c r="B788" s="37"/>
      <c r="C788" s="40" t="s">
        <v>30</v>
      </c>
      <c r="D788" s="39">
        <v>45865</v>
      </c>
      <c r="E788" s="39">
        <v>46230</v>
      </c>
      <c r="F788" s="37" t="s">
        <v>1614</v>
      </c>
      <c r="G788" s="37" t="s">
        <v>62</v>
      </c>
      <c r="H788" s="41">
        <v>13370</v>
      </c>
      <c r="I788" s="42">
        <v>11095</v>
      </c>
      <c r="J788" s="37" t="s">
        <v>2358</v>
      </c>
      <c r="K788" s="39">
        <v>45499</v>
      </c>
      <c r="L788" s="33" t="s">
        <v>58</v>
      </c>
      <c r="M788" s="41">
        <v>382000</v>
      </c>
      <c r="N788" s="34">
        <f t="shared" si="24"/>
        <v>1775.2</v>
      </c>
      <c r="O788" s="36">
        <f t="shared" si="25"/>
        <v>110.95</v>
      </c>
      <c r="P788" s="35">
        <v>500</v>
      </c>
    </row>
    <row r="789" spans="1:16" x14ac:dyDescent="0.25">
      <c r="A789" s="37" t="s">
        <v>898</v>
      </c>
      <c r="B789" s="37"/>
      <c r="C789" s="40" t="s">
        <v>55</v>
      </c>
      <c r="D789" s="39">
        <v>45499</v>
      </c>
      <c r="E789" s="39">
        <v>45864</v>
      </c>
      <c r="F789" s="37" t="s">
        <v>1615</v>
      </c>
      <c r="G789" s="37" t="s">
        <v>62</v>
      </c>
      <c r="H789" s="41">
        <v>9550</v>
      </c>
      <c r="I789" s="42">
        <v>7802</v>
      </c>
      <c r="J789" s="37" t="s">
        <v>2359</v>
      </c>
      <c r="K789" s="39">
        <v>45499</v>
      </c>
      <c r="L789" s="33" t="s">
        <v>58</v>
      </c>
      <c r="M789" s="41">
        <v>382000</v>
      </c>
      <c r="N789" s="34">
        <f t="shared" si="24"/>
        <v>1248.32</v>
      </c>
      <c r="O789" s="36">
        <f t="shared" si="25"/>
        <v>78.02</v>
      </c>
      <c r="P789" s="35">
        <v>500</v>
      </c>
    </row>
    <row r="790" spans="1:16" x14ac:dyDescent="0.25">
      <c r="A790" s="37" t="s">
        <v>899</v>
      </c>
      <c r="B790" s="37"/>
      <c r="C790" s="40" t="s">
        <v>30</v>
      </c>
      <c r="D790" s="39">
        <v>45499</v>
      </c>
      <c r="E790" s="39">
        <v>45864</v>
      </c>
      <c r="F790" s="37" t="s">
        <v>1616</v>
      </c>
      <c r="G790" s="37" t="s">
        <v>61</v>
      </c>
      <c r="H790" s="41">
        <v>12320</v>
      </c>
      <c r="I790" s="42">
        <v>10190</v>
      </c>
      <c r="J790" s="37" t="s">
        <v>2360</v>
      </c>
      <c r="K790" s="39">
        <v>45499</v>
      </c>
      <c r="L790" s="33" t="s">
        <v>58</v>
      </c>
      <c r="M790" s="41">
        <v>352000</v>
      </c>
      <c r="N790" s="34">
        <f t="shared" si="24"/>
        <v>1630.4</v>
      </c>
      <c r="O790" s="36">
        <f t="shared" si="25"/>
        <v>101.9</v>
      </c>
      <c r="P790" s="35">
        <v>500</v>
      </c>
    </row>
    <row r="791" spans="1:16" x14ac:dyDescent="0.25">
      <c r="A791" s="37" t="s">
        <v>900</v>
      </c>
      <c r="B791" s="37"/>
      <c r="C791" s="40" t="s">
        <v>67</v>
      </c>
      <c r="D791" s="39">
        <v>45499</v>
      </c>
      <c r="E791" s="39">
        <v>45864</v>
      </c>
      <c r="F791" s="37" t="s">
        <v>1617</v>
      </c>
      <c r="G791" s="37" t="s">
        <v>62</v>
      </c>
      <c r="H791" s="41">
        <v>9550</v>
      </c>
      <c r="I791" s="42">
        <v>7802</v>
      </c>
      <c r="J791" s="37" t="s">
        <v>2361</v>
      </c>
      <c r="K791" s="39">
        <v>45499</v>
      </c>
      <c r="L791" s="33" t="s">
        <v>58</v>
      </c>
      <c r="M791" s="41">
        <v>382000</v>
      </c>
      <c r="N791" s="34">
        <f t="shared" si="24"/>
        <v>1248.32</v>
      </c>
      <c r="O791" s="36">
        <f t="shared" si="25"/>
        <v>78.02</v>
      </c>
      <c r="P791" s="35">
        <v>500</v>
      </c>
    </row>
    <row r="792" spans="1:16" x14ac:dyDescent="0.25">
      <c r="A792" s="37" t="s">
        <v>901</v>
      </c>
      <c r="B792" s="37"/>
      <c r="C792" s="40" t="s">
        <v>72</v>
      </c>
      <c r="D792" s="39">
        <v>45499</v>
      </c>
      <c r="E792" s="39">
        <v>45864</v>
      </c>
      <c r="F792" s="37" t="s">
        <v>1618</v>
      </c>
      <c r="G792" s="37" t="s">
        <v>64</v>
      </c>
      <c r="H792" s="41">
        <v>12475</v>
      </c>
      <c r="I792" s="42">
        <v>10323</v>
      </c>
      <c r="J792" s="37" t="s">
        <v>2362</v>
      </c>
      <c r="K792" s="39">
        <v>45499</v>
      </c>
      <c r="L792" s="33" t="s">
        <v>58</v>
      </c>
      <c r="M792" s="41">
        <v>499000</v>
      </c>
      <c r="N792" s="34">
        <f t="shared" si="24"/>
        <v>1651.68</v>
      </c>
      <c r="O792" s="36">
        <f t="shared" si="25"/>
        <v>103.23</v>
      </c>
      <c r="P792" s="35">
        <v>500</v>
      </c>
    </row>
    <row r="793" spans="1:16" x14ac:dyDescent="0.25">
      <c r="A793" s="37" t="s">
        <v>902</v>
      </c>
      <c r="B793" s="37"/>
      <c r="C793" s="40" t="s">
        <v>35</v>
      </c>
      <c r="D793" s="39">
        <v>45499</v>
      </c>
      <c r="E793" s="39">
        <v>45864</v>
      </c>
      <c r="F793" s="37" t="s">
        <v>1619</v>
      </c>
      <c r="G793" s="37" t="s">
        <v>63</v>
      </c>
      <c r="H793" s="41">
        <v>19145</v>
      </c>
      <c r="I793" s="42">
        <v>16073</v>
      </c>
      <c r="J793" s="37" t="s">
        <v>2363</v>
      </c>
      <c r="K793" s="39">
        <v>45499</v>
      </c>
      <c r="L793" s="33" t="s">
        <v>58</v>
      </c>
      <c r="M793" s="41">
        <v>547000</v>
      </c>
      <c r="N793" s="34">
        <f t="shared" si="24"/>
        <v>2571.6799999999998</v>
      </c>
      <c r="O793" s="36">
        <f t="shared" si="25"/>
        <v>160.72999999999999</v>
      </c>
      <c r="P793" s="35">
        <v>500</v>
      </c>
    </row>
    <row r="794" spans="1:16" x14ac:dyDescent="0.25">
      <c r="A794" s="37" t="s">
        <v>903</v>
      </c>
      <c r="B794" s="37"/>
      <c r="C794" s="40" t="s">
        <v>38</v>
      </c>
      <c r="D794" s="39">
        <v>45499</v>
      </c>
      <c r="E794" s="39">
        <v>45864</v>
      </c>
      <c r="F794" s="37" t="s">
        <v>1620</v>
      </c>
      <c r="G794" s="37" t="s">
        <v>62</v>
      </c>
      <c r="H794" s="41">
        <v>13370</v>
      </c>
      <c r="I794" s="42">
        <v>11095</v>
      </c>
      <c r="J794" s="37" t="s">
        <v>2364</v>
      </c>
      <c r="K794" s="39">
        <v>45499</v>
      </c>
      <c r="L794" s="33" t="s">
        <v>58</v>
      </c>
      <c r="M794" s="41">
        <v>382000</v>
      </c>
      <c r="N794" s="34">
        <f t="shared" si="24"/>
        <v>1775.2</v>
      </c>
      <c r="O794" s="36">
        <f t="shared" si="25"/>
        <v>110.95</v>
      </c>
      <c r="P794" s="35">
        <v>500</v>
      </c>
    </row>
    <row r="795" spans="1:16" x14ac:dyDescent="0.25">
      <c r="A795" s="37" t="s">
        <v>904</v>
      </c>
      <c r="B795" s="37"/>
      <c r="C795" s="40" t="s">
        <v>38</v>
      </c>
      <c r="D795" s="39">
        <v>45499</v>
      </c>
      <c r="E795" s="39">
        <v>45864</v>
      </c>
      <c r="F795" s="37" t="s">
        <v>102</v>
      </c>
      <c r="G795" s="37" t="s">
        <v>61</v>
      </c>
      <c r="H795" s="41">
        <v>12320</v>
      </c>
      <c r="I795" s="42">
        <v>10190</v>
      </c>
      <c r="J795" s="37" t="s">
        <v>2365</v>
      </c>
      <c r="K795" s="39">
        <v>45499</v>
      </c>
      <c r="L795" s="33" t="s">
        <v>58</v>
      </c>
      <c r="M795" s="41">
        <v>352000</v>
      </c>
      <c r="N795" s="34">
        <f t="shared" si="24"/>
        <v>1630.4</v>
      </c>
      <c r="O795" s="36">
        <f t="shared" si="25"/>
        <v>101.9</v>
      </c>
      <c r="P795" s="35">
        <v>500</v>
      </c>
    </row>
    <row r="796" spans="1:16" x14ac:dyDescent="0.25">
      <c r="A796" s="37" t="s">
        <v>905</v>
      </c>
      <c r="B796" s="37"/>
      <c r="C796" s="40" t="s">
        <v>39</v>
      </c>
      <c r="D796" s="39">
        <v>45499</v>
      </c>
      <c r="E796" s="39">
        <v>45864</v>
      </c>
      <c r="F796" s="37" t="s">
        <v>1621</v>
      </c>
      <c r="G796" s="37" t="s">
        <v>61</v>
      </c>
      <c r="H796" s="41">
        <v>12320</v>
      </c>
      <c r="I796" s="42">
        <v>10190</v>
      </c>
      <c r="J796" s="37" t="s">
        <v>2366</v>
      </c>
      <c r="K796" s="39">
        <v>45499</v>
      </c>
      <c r="L796" s="33" t="s">
        <v>58</v>
      </c>
      <c r="M796" s="41">
        <v>352000</v>
      </c>
      <c r="N796" s="34">
        <f t="shared" si="24"/>
        <v>1630.4</v>
      </c>
      <c r="O796" s="36">
        <f t="shared" si="25"/>
        <v>101.9</v>
      </c>
      <c r="P796" s="35">
        <v>500</v>
      </c>
    </row>
    <row r="797" spans="1:16" x14ac:dyDescent="0.25">
      <c r="A797" s="37" t="s">
        <v>906</v>
      </c>
      <c r="B797" s="37"/>
      <c r="C797" s="40" t="s">
        <v>39</v>
      </c>
      <c r="D797" s="39">
        <v>45865</v>
      </c>
      <c r="E797" s="39">
        <v>46230</v>
      </c>
      <c r="F797" s="37" t="s">
        <v>1621</v>
      </c>
      <c r="G797" s="37" t="s">
        <v>61</v>
      </c>
      <c r="H797" s="41">
        <v>12320</v>
      </c>
      <c r="I797" s="42">
        <v>10190</v>
      </c>
      <c r="J797" s="37" t="s">
        <v>2366</v>
      </c>
      <c r="K797" s="39">
        <v>45499</v>
      </c>
      <c r="L797" s="33" t="s">
        <v>58</v>
      </c>
      <c r="M797" s="41">
        <v>352000</v>
      </c>
      <c r="N797" s="34">
        <f t="shared" si="24"/>
        <v>1630.4</v>
      </c>
      <c r="O797" s="36">
        <f t="shared" si="25"/>
        <v>101.9</v>
      </c>
      <c r="P797" s="35">
        <v>500</v>
      </c>
    </row>
    <row r="798" spans="1:16" x14ac:dyDescent="0.25">
      <c r="A798" s="37" t="s">
        <v>907</v>
      </c>
      <c r="B798" s="37"/>
      <c r="C798" s="40" t="s">
        <v>34</v>
      </c>
      <c r="D798" s="39">
        <v>45499</v>
      </c>
      <c r="E798" s="39">
        <v>45864</v>
      </c>
      <c r="F798" s="37" t="s">
        <v>1622</v>
      </c>
      <c r="G798" s="37" t="s">
        <v>61</v>
      </c>
      <c r="H798" s="41">
        <v>8800</v>
      </c>
      <c r="I798" s="42">
        <v>7155</v>
      </c>
      <c r="J798" s="37" t="s">
        <v>2368</v>
      </c>
      <c r="K798" s="39">
        <v>45499</v>
      </c>
      <c r="L798" s="33" t="s">
        <v>58</v>
      </c>
      <c r="M798" s="41">
        <v>352000</v>
      </c>
      <c r="N798" s="34">
        <f t="shared" si="24"/>
        <v>1144.8</v>
      </c>
      <c r="O798" s="36">
        <f t="shared" si="25"/>
        <v>71.55</v>
      </c>
      <c r="P798" s="35">
        <v>500</v>
      </c>
    </row>
    <row r="799" spans="1:16" x14ac:dyDescent="0.25">
      <c r="A799" s="37" t="s">
        <v>908</v>
      </c>
      <c r="B799" s="37"/>
      <c r="C799" s="40" t="s">
        <v>32</v>
      </c>
      <c r="D799" s="39">
        <v>45499</v>
      </c>
      <c r="E799" s="39">
        <v>45864</v>
      </c>
      <c r="F799" s="37" t="s">
        <v>1623</v>
      </c>
      <c r="G799" s="37" t="s">
        <v>63</v>
      </c>
      <c r="H799" s="41">
        <v>19145</v>
      </c>
      <c r="I799" s="42">
        <v>16073</v>
      </c>
      <c r="J799" s="37" t="s">
        <v>2369</v>
      </c>
      <c r="K799" s="39">
        <v>45499</v>
      </c>
      <c r="L799" s="33" t="s">
        <v>58</v>
      </c>
      <c r="M799" s="41">
        <v>547000</v>
      </c>
      <c r="N799" s="34">
        <f t="shared" si="24"/>
        <v>2571.6799999999998</v>
      </c>
      <c r="O799" s="36">
        <f t="shared" si="25"/>
        <v>160.72999999999999</v>
      </c>
      <c r="P799" s="35">
        <v>500</v>
      </c>
    </row>
    <row r="800" spans="1:16" x14ac:dyDescent="0.25">
      <c r="A800" s="37" t="s">
        <v>909</v>
      </c>
      <c r="B800" s="37"/>
      <c r="C800" s="40" t="s">
        <v>34</v>
      </c>
      <c r="D800" s="39">
        <v>45499</v>
      </c>
      <c r="E800" s="39">
        <v>45864</v>
      </c>
      <c r="F800" s="37" t="s">
        <v>1624</v>
      </c>
      <c r="G800" s="37" t="s">
        <v>61</v>
      </c>
      <c r="H800" s="41">
        <v>8800</v>
      </c>
      <c r="I800" s="42">
        <v>7155</v>
      </c>
      <c r="J800" s="37" t="s">
        <v>2370</v>
      </c>
      <c r="K800" s="39">
        <v>45499</v>
      </c>
      <c r="L800" s="33" t="s">
        <v>58</v>
      </c>
      <c r="M800" s="41">
        <v>352000</v>
      </c>
      <c r="N800" s="34">
        <f t="shared" si="24"/>
        <v>1144.8</v>
      </c>
      <c r="O800" s="36">
        <f t="shared" si="25"/>
        <v>71.55</v>
      </c>
      <c r="P800" s="35">
        <v>500</v>
      </c>
    </row>
    <row r="801" spans="1:16" x14ac:dyDescent="0.25">
      <c r="A801" s="37" t="s">
        <v>910</v>
      </c>
      <c r="B801" s="37"/>
      <c r="C801" s="40" t="s">
        <v>38</v>
      </c>
      <c r="D801" s="39">
        <v>45499</v>
      </c>
      <c r="E801" s="39">
        <v>45864</v>
      </c>
      <c r="F801" s="37" t="s">
        <v>1625</v>
      </c>
      <c r="G801" s="37" t="s">
        <v>61</v>
      </c>
      <c r="H801" s="41">
        <v>12320</v>
      </c>
      <c r="I801" s="42">
        <v>10190</v>
      </c>
      <c r="J801" s="37" t="s">
        <v>2099</v>
      </c>
      <c r="K801" s="39">
        <v>45499</v>
      </c>
      <c r="L801" s="33" t="s">
        <v>58</v>
      </c>
      <c r="M801" s="41">
        <v>352000</v>
      </c>
      <c r="N801" s="34">
        <f t="shared" si="24"/>
        <v>1630.4</v>
      </c>
      <c r="O801" s="36">
        <f t="shared" si="25"/>
        <v>101.9</v>
      </c>
      <c r="P801" s="35">
        <v>500</v>
      </c>
    </row>
    <row r="802" spans="1:16" x14ac:dyDescent="0.25">
      <c r="A802" s="37" t="s">
        <v>911</v>
      </c>
      <c r="B802" s="37"/>
      <c r="C802" s="40" t="s">
        <v>34</v>
      </c>
      <c r="D802" s="39">
        <v>45499</v>
      </c>
      <c r="E802" s="39">
        <v>45864</v>
      </c>
      <c r="F802" s="37" t="s">
        <v>1626</v>
      </c>
      <c r="G802" s="37" t="s">
        <v>61</v>
      </c>
      <c r="H802" s="41">
        <v>8800</v>
      </c>
      <c r="I802" s="42">
        <v>7155</v>
      </c>
      <c r="J802" s="37" t="s">
        <v>2312</v>
      </c>
      <c r="K802" s="39">
        <v>45499</v>
      </c>
      <c r="L802" s="33" t="s">
        <v>58</v>
      </c>
      <c r="M802" s="41">
        <v>352000</v>
      </c>
      <c r="N802" s="34">
        <f t="shared" si="24"/>
        <v>1144.8</v>
      </c>
      <c r="O802" s="36">
        <f t="shared" si="25"/>
        <v>71.55</v>
      </c>
      <c r="P802" s="35">
        <v>500</v>
      </c>
    </row>
    <row r="803" spans="1:16" x14ac:dyDescent="0.25">
      <c r="A803" s="37" t="s">
        <v>912</v>
      </c>
      <c r="B803" s="37"/>
      <c r="C803" s="40" t="s">
        <v>38</v>
      </c>
      <c r="D803" s="39">
        <v>45499</v>
      </c>
      <c r="E803" s="39">
        <v>45864</v>
      </c>
      <c r="F803" s="37" t="s">
        <v>1627</v>
      </c>
      <c r="G803" s="37" t="s">
        <v>63</v>
      </c>
      <c r="H803" s="41">
        <v>19145</v>
      </c>
      <c r="I803" s="42">
        <v>16073</v>
      </c>
      <c r="J803" s="37" t="s">
        <v>2371</v>
      </c>
      <c r="K803" s="39">
        <v>45499</v>
      </c>
      <c r="L803" s="33" t="s">
        <v>58</v>
      </c>
      <c r="M803" s="41">
        <v>547000</v>
      </c>
      <c r="N803" s="34">
        <f t="shared" si="24"/>
        <v>2571.6799999999998</v>
      </c>
      <c r="O803" s="36">
        <f t="shared" si="25"/>
        <v>160.72999999999999</v>
      </c>
      <c r="P803" s="35">
        <v>500</v>
      </c>
    </row>
    <row r="804" spans="1:16" x14ac:dyDescent="0.25">
      <c r="A804" s="37" t="s">
        <v>913</v>
      </c>
      <c r="B804" s="37"/>
      <c r="C804" s="40" t="s">
        <v>38</v>
      </c>
      <c r="D804" s="39">
        <v>45865</v>
      </c>
      <c r="E804" s="39">
        <v>46230</v>
      </c>
      <c r="F804" s="37" t="s">
        <v>1627</v>
      </c>
      <c r="G804" s="37" t="s">
        <v>63</v>
      </c>
      <c r="H804" s="41">
        <v>19145</v>
      </c>
      <c r="I804" s="42">
        <v>16073</v>
      </c>
      <c r="J804" s="37" t="s">
        <v>2371</v>
      </c>
      <c r="K804" s="39">
        <v>45499</v>
      </c>
      <c r="L804" s="33" t="s">
        <v>58</v>
      </c>
      <c r="M804" s="41">
        <v>547000</v>
      </c>
      <c r="N804" s="34">
        <f t="shared" si="24"/>
        <v>2571.6799999999998</v>
      </c>
      <c r="O804" s="36">
        <f t="shared" si="25"/>
        <v>160.72999999999999</v>
      </c>
      <c r="P804" s="35">
        <v>500</v>
      </c>
    </row>
    <row r="805" spans="1:16" x14ac:dyDescent="0.25">
      <c r="A805" s="37" t="s">
        <v>914</v>
      </c>
      <c r="B805" s="37"/>
      <c r="C805" s="40" t="s">
        <v>55</v>
      </c>
      <c r="D805" s="39">
        <v>45499</v>
      </c>
      <c r="E805" s="39">
        <v>45864</v>
      </c>
      <c r="F805" s="37" t="s">
        <v>1628</v>
      </c>
      <c r="G805" s="37" t="s">
        <v>62</v>
      </c>
      <c r="H805" s="41">
        <v>9550</v>
      </c>
      <c r="I805" s="42">
        <v>7802</v>
      </c>
      <c r="J805" s="37" t="s">
        <v>2372</v>
      </c>
      <c r="K805" s="39">
        <v>45499</v>
      </c>
      <c r="L805" s="33" t="s">
        <v>58</v>
      </c>
      <c r="M805" s="41">
        <v>382000</v>
      </c>
      <c r="N805" s="34">
        <f t="shared" si="24"/>
        <v>1248.32</v>
      </c>
      <c r="O805" s="36">
        <f t="shared" si="25"/>
        <v>78.02</v>
      </c>
      <c r="P805" s="35">
        <v>500</v>
      </c>
    </row>
    <row r="806" spans="1:16" x14ac:dyDescent="0.25">
      <c r="A806" s="37" t="s">
        <v>915</v>
      </c>
      <c r="B806" s="37"/>
      <c r="C806" s="40" t="s">
        <v>35</v>
      </c>
      <c r="D806" s="39">
        <v>45499</v>
      </c>
      <c r="E806" s="39">
        <v>45864</v>
      </c>
      <c r="F806" s="37" t="s">
        <v>1629</v>
      </c>
      <c r="G806" s="37" t="s">
        <v>61</v>
      </c>
      <c r="H806" s="41">
        <v>12320</v>
      </c>
      <c r="I806" s="42">
        <v>10190</v>
      </c>
      <c r="J806" s="37" t="s">
        <v>2373</v>
      </c>
      <c r="K806" s="39">
        <v>45499</v>
      </c>
      <c r="L806" s="33" t="s">
        <v>58</v>
      </c>
      <c r="M806" s="41">
        <v>352000</v>
      </c>
      <c r="N806" s="34">
        <f t="shared" si="24"/>
        <v>1630.4</v>
      </c>
      <c r="O806" s="36">
        <f t="shared" si="25"/>
        <v>101.9</v>
      </c>
      <c r="P806" s="35">
        <v>500</v>
      </c>
    </row>
    <row r="807" spans="1:16" x14ac:dyDescent="0.25">
      <c r="A807" s="37" t="s">
        <v>916</v>
      </c>
      <c r="B807" s="37"/>
      <c r="C807" s="40" t="s">
        <v>35</v>
      </c>
      <c r="D807" s="39">
        <v>45865</v>
      </c>
      <c r="E807" s="39">
        <v>46230</v>
      </c>
      <c r="F807" s="37" t="s">
        <v>1629</v>
      </c>
      <c r="G807" s="37" t="s">
        <v>61</v>
      </c>
      <c r="H807" s="41">
        <v>12320</v>
      </c>
      <c r="I807" s="42">
        <v>10190</v>
      </c>
      <c r="J807" s="37" t="s">
        <v>2373</v>
      </c>
      <c r="K807" s="39">
        <v>45499</v>
      </c>
      <c r="L807" s="33" t="s">
        <v>58</v>
      </c>
      <c r="M807" s="41">
        <v>352000</v>
      </c>
      <c r="N807" s="34">
        <f t="shared" si="24"/>
        <v>1630.4</v>
      </c>
      <c r="O807" s="36">
        <f t="shared" si="25"/>
        <v>101.9</v>
      </c>
      <c r="P807" s="35">
        <v>500</v>
      </c>
    </row>
    <row r="808" spans="1:16" x14ac:dyDescent="0.25">
      <c r="A808" s="37" t="s">
        <v>917</v>
      </c>
      <c r="B808" s="37"/>
      <c r="C808" s="40" t="s">
        <v>38</v>
      </c>
      <c r="D808" s="39">
        <v>45499</v>
      </c>
      <c r="E808" s="39">
        <v>45864</v>
      </c>
      <c r="F808" s="37" t="s">
        <v>1630</v>
      </c>
      <c r="G808" s="37" t="s">
        <v>61</v>
      </c>
      <c r="H808" s="41">
        <v>12320</v>
      </c>
      <c r="I808" s="42">
        <v>10190</v>
      </c>
      <c r="J808" s="37" t="s">
        <v>2374</v>
      </c>
      <c r="K808" s="39">
        <v>45499</v>
      </c>
      <c r="L808" s="33" t="s">
        <v>58</v>
      </c>
      <c r="M808" s="41">
        <v>352000</v>
      </c>
      <c r="N808" s="34">
        <f t="shared" si="24"/>
        <v>1630.4</v>
      </c>
      <c r="O808" s="36">
        <f t="shared" si="25"/>
        <v>101.9</v>
      </c>
      <c r="P808" s="35">
        <v>500</v>
      </c>
    </row>
    <row r="809" spans="1:16" x14ac:dyDescent="0.25">
      <c r="A809" s="37" t="s">
        <v>918</v>
      </c>
      <c r="B809" s="37"/>
      <c r="C809" s="40" t="s">
        <v>38</v>
      </c>
      <c r="D809" s="39">
        <v>45865</v>
      </c>
      <c r="E809" s="39">
        <v>46230</v>
      </c>
      <c r="F809" s="37" t="s">
        <v>1630</v>
      </c>
      <c r="G809" s="37" t="s">
        <v>61</v>
      </c>
      <c r="H809" s="41">
        <v>12320</v>
      </c>
      <c r="I809" s="42">
        <v>10190</v>
      </c>
      <c r="J809" s="37" t="s">
        <v>2374</v>
      </c>
      <c r="K809" s="39">
        <v>45499</v>
      </c>
      <c r="L809" s="33" t="s">
        <v>58</v>
      </c>
      <c r="M809" s="41">
        <v>352000</v>
      </c>
      <c r="N809" s="34">
        <f t="shared" si="24"/>
        <v>1630.4</v>
      </c>
      <c r="O809" s="36">
        <f t="shared" si="25"/>
        <v>101.9</v>
      </c>
      <c r="P809" s="35">
        <v>500</v>
      </c>
    </row>
    <row r="810" spans="1:16" x14ac:dyDescent="0.25">
      <c r="A810" s="37" t="s">
        <v>919</v>
      </c>
      <c r="B810" s="37"/>
      <c r="C810" s="40" t="s">
        <v>38</v>
      </c>
      <c r="D810" s="39">
        <v>45499</v>
      </c>
      <c r="E810" s="39">
        <v>45864</v>
      </c>
      <c r="F810" s="37" t="s">
        <v>1631</v>
      </c>
      <c r="G810" s="37" t="s">
        <v>61</v>
      </c>
      <c r="H810" s="41">
        <v>12320</v>
      </c>
      <c r="I810" s="42">
        <v>10190</v>
      </c>
      <c r="J810" s="37" t="s">
        <v>2261</v>
      </c>
      <c r="K810" s="39">
        <v>45499</v>
      </c>
      <c r="L810" s="33" t="s">
        <v>58</v>
      </c>
      <c r="M810" s="41">
        <v>352000</v>
      </c>
      <c r="N810" s="34">
        <f t="shared" si="24"/>
        <v>1630.4</v>
      </c>
      <c r="O810" s="36">
        <f t="shared" si="25"/>
        <v>101.9</v>
      </c>
      <c r="P810" s="35">
        <v>500</v>
      </c>
    </row>
    <row r="811" spans="1:16" x14ac:dyDescent="0.25">
      <c r="A811" s="37" t="s">
        <v>920</v>
      </c>
      <c r="B811" s="37"/>
      <c r="C811" s="40" t="s">
        <v>53</v>
      </c>
      <c r="D811" s="39">
        <v>45499</v>
      </c>
      <c r="E811" s="39">
        <v>45864</v>
      </c>
      <c r="F811" s="37" t="s">
        <v>1632</v>
      </c>
      <c r="G811" s="37" t="s">
        <v>61</v>
      </c>
      <c r="H811" s="41">
        <v>8800</v>
      </c>
      <c r="I811" s="42">
        <v>7155</v>
      </c>
      <c r="J811" s="37" t="s">
        <v>2375</v>
      </c>
      <c r="K811" s="39">
        <v>45499</v>
      </c>
      <c r="L811" s="33" t="s">
        <v>58</v>
      </c>
      <c r="M811" s="41">
        <v>352000</v>
      </c>
      <c r="N811" s="34">
        <f t="shared" si="24"/>
        <v>1144.8</v>
      </c>
      <c r="O811" s="36">
        <f t="shared" si="25"/>
        <v>71.55</v>
      </c>
      <c r="P811" s="35">
        <v>500</v>
      </c>
    </row>
    <row r="812" spans="1:16" x14ac:dyDescent="0.25">
      <c r="A812" s="37" t="s">
        <v>921</v>
      </c>
      <c r="B812" s="37"/>
      <c r="C812" s="40" t="s">
        <v>53</v>
      </c>
      <c r="D812" s="39">
        <v>45499</v>
      </c>
      <c r="E812" s="39">
        <v>45864</v>
      </c>
      <c r="F812" s="37" t="s">
        <v>1632</v>
      </c>
      <c r="G812" s="37" t="s">
        <v>61</v>
      </c>
      <c r="H812" s="41">
        <v>8800</v>
      </c>
      <c r="I812" s="42">
        <v>7155</v>
      </c>
      <c r="J812" s="37" t="s">
        <v>2375</v>
      </c>
      <c r="K812" s="39">
        <v>45499</v>
      </c>
      <c r="L812" s="33" t="s">
        <v>58</v>
      </c>
      <c r="M812" s="41">
        <v>352000</v>
      </c>
      <c r="N812" s="34">
        <f t="shared" si="24"/>
        <v>1144.8</v>
      </c>
      <c r="O812" s="36">
        <f t="shared" si="25"/>
        <v>71.55</v>
      </c>
      <c r="P812" s="35">
        <v>500</v>
      </c>
    </row>
    <row r="813" spans="1:16" x14ac:dyDescent="0.25">
      <c r="A813" s="37" t="s">
        <v>922</v>
      </c>
      <c r="B813" s="37"/>
      <c r="C813" s="40" t="s">
        <v>38</v>
      </c>
      <c r="D813" s="39">
        <v>45499</v>
      </c>
      <c r="E813" s="39">
        <v>45864</v>
      </c>
      <c r="F813" s="37" t="s">
        <v>1633</v>
      </c>
      <c r="G813" s="37" t="s">
        <v>61</v>
      </c>
      <c r="H813" s="41">
        <v>12320</v>
      </c>
      <c r="I813" s="42">
        <v>10190</v>
      </c>
      <c r="J813" s="37" t="s">
        <v>2376</v>
      </c>
      <c r="K813" s="39">
        <v>45499</v>
      </c>
      <c r="L813" s="33" t="s">
        <v>58</v>
      </c>
      <c r="M813" s="41">
        <v>352000</v>
      </c>
      <c r="N813" s="34">
        <f t="shared" si="24"/>
        <v>1630.4</v>
      </c>
      <c r="O813" s="36">
        <f t="shared" si="25"/>
        <v>101.9</v>
      </c>
      <c r="P813" s="35">
        <v>500</v>
      </c>
    </row>
    <row r="814" spans="1:16" x14ac:dyDescent="0.25">
      <c r="A814" s="37" t="s">
        <v>923</v>
      </c>
      <c r="B814" s="37"/>
      <c r="C814" s="40" t="s">
        <v>38</v>
      </c>
      <c r="D814" s="39">
        <v>45865</v>
      </c>
      <c r="E814" s="39">
        <v>46230</v>
      </c>
      <c r="F814" s="37" t="s">
        <v>1633</v>
      </c>
      <c r="G814" s="37" t="s">
        <v>61</v>
      </c>
      <c r="H814" s="41">
        <v>12320</v>
      </c>
      <c r="I814" s="42">
        <v>10190</v>
      </c>
      <c r="J814" s="37" t="s">
        <v>2376</v>
      </c>
      <c r="K814" s="39">
        <v>45499</v>
      </c>
      <c r="L814" s="33" t="s">
        <v>58</v>
      </c>
      <c r="M814" s="41">
        <v>352000</v>
      </c>
      <c r="N814" s="34">
        <f t="shared" si="24"/>
        <v>1630.4</v>
      </c>
      <c r="O814" s="36">
        <f t="shared" si="25"/>
        <v>101.9</v>
      </c>
      <c r="P814" s="35">
        <v>500</v>
      </c>
    </row>
    <row r="815" spans="1:16" x14ac:dyDescent="0.25">
      <c r="A815" s="37" t="s">
        <v>924</v>
      </c>
      <c r="B815" s="37"/>
      <c r="C815" s="40" t="s">
        <v>38</v>
      </c>
      <c r="D815" s="39">
        <v>45499</v>
      </c>
      <c r="E815" s="39">
        <v>45864</v>
      </c>
      <c r="F815" s="37" t="s">
        <v>1634</v>
      </c>
      <c r="G815" s="37" t="s">
        <v>62</v>
      </c>
      <c r="H815" s="41">
        <v>13370</v>
      </c>
      <c r="I815" s="42">
        <v>11095</v>
      </c>
      <c r="J815" s="37" t="s">
        <v>2377</v>
      </c>
      <c r="K815" s="39">
        <v>45499</v>
      </c>
      <c r="L815" s="33" t="s">
        <v>58</v>
      </c>
      <c r="M815" s="41">
        <v>382000</v>
      </c>
      <c r="N815" s="34">
        <f t="shared" si="24"/>
        <v>1775.2</v>
      </c>
      <c r="O815" s="36">
        <f t="shared" si="25"/>
        <v>110.95</v>
      </c>
      <c r="P815" s="35">
        <v>500</v>
      </c>
    </row>
    <row r="816" spans="1:16" x14ac:dyDescent="0.25">
      <c r="A816" s="37" t="s">
        <v>925</v>
      </c>
      <c r="B816" s="37"/>
      <c r="C816" s="40" t="s">
        <v>38</v>
      </c>
      <c r="D816" s="39">
        <v>45865</v>
      </c>
      <c r="E816" s="39">
        <v>46230</v>
      </c>
      <c r="F816" s="37" t="s">
        <v>1634</v>
      </c>
      <c r="G816" s="37" t="s">
        <v>62</v>
      </c>
      <c r="H816" s="41">
        <v>13370</v>
      </c>
      <c r="I816" s="42">
        <v>11095</v>
      </c>
      <c r="J816" s="37" t="s">
        <v>2377</v>
      </c>
      <c r="K816" s="39">
        <v>45499</v>
      </c>
      <c r="L816" s="33" t="s">
        <v>58</v>
      </c>
      <c r="M816" s="41">
        <v>382000</v>
      </c>
      <c r="N816" s="34">
        <f t="shared" si="24"/>
        <v>1775.2</v>
      </c>
      <c r="O816" s="36">
        <f t="shared" si="25"/>
        <v>110.95</v>
      </c>
      <c r="P816" s="35">
        <v>500</v>
      </c>
    </row>
    <row r="817" spans="1:16" x14ac:dyDescent="0.25">
      <c r="A817" s="37" t="s">
        <v>926</v>
      </c>
      <c r="B817" s="37"/>
      <c r="C817" s="40" t="s">
        <v>36</v>
      </c>
      <c r="D817" s="39">
        <v>45499</v>
      </c>
      <c r="E817" s="39">
        <v>45864</v>
      </c>
      <c r="F817" s="37" t="s">
        <v>1635</v>
      </c>
      <c r="G817" s="37" t="s">
        <v>62</v>
      </c>
      <c r="H817" s="41">
        <v>13370</v>
      </c>
      <c r="I817" s="42">
        <v>11095</v>
      </c>
      <c r="J817" s="37" t="s">
        <v>2378</v>
      </c>
      <c r="K817" s="39">
        <v>45499</v>
      </c>
      <c r="L817" s="33" t="s">
        <v>58</v>
      </c>
      <c r="M817" s="41">
        <v>382000</v>
      </c>
      <c r="N817" s="34">
        <f t="shared" si="24"/>
        <v>1775.2</v>
      </c>
      <c r="O817" s="36">
        <f t="shared" si="25"/>
        <v>110.95</v>
      </c>
      <c r="P817" s="35">
        <v>500</v>
      </c>
    </row>
    <row r="818" spans="1:16" x14ac:dyDescent="0.25">
      <c r="A818" s="37" t="s">
        <v>927</v>
      </c>
      <c r="B818" s="37"/>
      <c r="C818" s="40" t="s">
        <v>36</v>
      </c>
      <c r="D818" s="39">
        <v>45865</v>
      </c>
      <c r="E818" s="39">
        <v>46230</v>
      </c>
      <c r="F818" s="37" t="s">
        <v>1635</v>
      </c>
      <c r="G818" s="37" t="s">
        <v>62</v>
      </c>
      <c r="H818" s="41">
        <v>13370</v>
      </c>
      <c r="I818" s="42">
        <v>11095</v>
      </c>
      <c r="J818" s="37" t="s">
        <v>2378</v>
      </c>
      <c r="K818" s="39">
        <v>45499</v>
      </c>
      <c r="L818" s="33" t="s">
        <v>58</v>
      </c>
      <c r="M818" s="41">
        <v>382000</v>
      </c>
      <c r="N818" s="34">
        <f t="shared" si="24"/>
        <v>1775.2</v>
      </c>
      <c r="O818" s="36">
        <f t="shared" si="25"/>
        <v>110.95</v>
      </c>
      <c r="P818" s="35">
        <v>500</v>
      </c>
    </row>
    <row r="819" spans="1:16" x14ac:dyDescent="0.25">
      <c r="A819" s="37" t="s">
        <v>928</v>
      </c>
      <c r="B819" s="37"/>
      <c r="C819" s="40" t="s">
        <v>53</v>
      </c>
      <c r="D819" s="39">
        <v>45499</v>
      </c>
      <c r="E819" s="39">
        <v>45864</v>
      </c>
      <c r="F819" s="37" t="s">
        <v>97</v>
      </c>
      <c r="G819" s="37" t="s">
        <v>61</v>
      </c>
      <c r="H819" s="41">
        <v>8800</v>
      </c>
      <c r="I819" s="42">
        <v>7155</v>
      </c>
      <c r="J819" s="37" t="s">
        <v>2379</v>
      </c>
      <c r="K819" s="39">
        <v>45499</v>
      </c>
      <c r="L819" s="33" t="s">
        <v>58</v>
      </c>
      <c r="M819" s="41">
        <v>352000</v>
      </c>
      <c r="N819" s="34">
        <f t="shared" si="24"/>
        <v>1144.8</v>
      </c>
      <c r="O819" s="36">
        <f t="shared" si="25"/>
        <v>71.55</v>
      </c>
      <c r="P819" s="35">
        <v>500</v>
      </c>
    </row>
    <row r="820" spans="1:16" x14ac:dyDescent="0.25">
      <c r="A820" s="37" t="s">
        <v>929</v>
      </c>
      <c r="B820" s="37"/>
      <c r="C820" s="40" t="s">
        <v>38</v>
      </c>
      <c r="D820" s="39">
        <v>45499</v>
      </c>
      <c r="E820" s="39">
        <v>45864</v>
      </c>
      <c r="F820" s="37" t="s">
        <v>1636</v>
      </c>
      <c r="G820" s="37" t="s">
        <v>62</v>
      </c>
      <c r="H820" s="41">
        <v>13370</v>
      </c>
      <c r="I820" s="42">
        <v>11095</v>
      </c>
      <c r="J820" s="37" t="s">
        <v>2380</v>
      </c>
      <c r="K820" s="39">
        <v>45499</v>
      </c>
      <c r="L820" s="33" t="s">
        <v>58</v>
      </c>
      <c r="M820" s="41">
        <v>382000</v>
      </c>
      <c r="N820" s="34">
        <f t="shared" si="24"/>
        <v>1775.2</v>
      </c>
      <c r="O820" s="36">
        <f t="shared" si="25"/>
        <v>110.95</v>
      </c>
      <c r="P820" s="35">
        <v>500</v>
      </c>
    </row>
    <row r="821" spans="1:16" x14ac:dyDescent="0.25">
      <c r="A821" s="37" t="s">
        <v>930</v>
      </c>
      <c r="B821" s="37"/>
      <c r="C821" s="40" t="s">
        <v>38</v>
      </c>
      <c r="D821" s="39">
        <v>45865</v>
      </c>
      <c r="E821" s="39">
        <v>46230</v>
      </c>
      <c r="F821" s="37" t="s">
        <v>1636</v>
      </c>
      <c r="G821" s="37" t="s">
        <v>62</v>
      </c>
      <c r="H821" s="41">
        <v>13370</v>
      </c>
      <c r="I821" s="42">
        <v>11095</v>
      </c>
      <c r="J821" s="37" t="s">
        <v>2380</v>
      </c>
      <c r="K821" s="39">
        <v>45499</v>
      </c>
      <c r="L821" s="33" t="s">
        <v>58</v>
      </c>
      <c r="M821" s="41">
        <v>382000</v>
      </c>
      <c r="N821" s="34">
        <f t="shared" si="24"/>
        <v>1775.2</v>
      </c>
      <c r="O821" s="36">
        <f t="shared" si="25"/>
        <v>110.95</v>
      </c>
      <c r="P821" s="35">
        <v>500</v>
      </c>
    </row>
    <row r="822" spans="1:16" x14ac:dyDescent="0.25">
      <c r="A822" s="37" t="s">
        <v>931</v>
      </c>
      <c r="B822" s="37"/>
      <c r="C822" s="40" t="s">
        <v>38</v>
      </c>
      <c r="D822" s="39">
        <v>45499</v>
      </c>
      <c r="E822" s="39">
        <v>45864</v>
      </c>
      <c r="F822" s="37" t="s">
        <v>1637</v>
      </c>
      <c r="G822" s="37" t="s">
        <v>62</v>
      </c>
      <c r="H822" s="41">
        <v>13370</v>
      </c>
      <c r="I822" s="42">
        <v>11095</v>
      </c>
      <c r="J822" s="37" t="s">
        <v>2381</v>
      </c>
      <c r="K822" s="39">
        <v>45499</v>
      </c>
      <c r="L822" s="33" t="s">
        <v>58</v>
      </c>
      <c r="M822" s="41">
        <v>382000</v>
      </c>
      <c r="N822" s="34">
        <f t="shared" si="24"/>
        <v>1775.2</v>
      </c>
      <c r="O822" s="36">
        <f t="shared" si="25"/>
        <v>110.95</v>
      </c>
      <c r="P822" s="35">
        <v>500</v>
      </c>
    </row>
    <row r="823" spans="1:16" x14ac:dyDescent="0.25">
      <c r="A823" s="37" t="s">
        <v>932</v>
      </c>
      <c r="B823" s="37"/>
      <c r="C823" s="40" t="s">
        <v>38</v>
      </c>
      <c r="D823" s="39">
        <v>45865</v>
      </c>
      <c r="E823" s="39">
        <v>46230</v>
      </c>
      <c r="F823" s="37" t="s">
        <v>1637</v>
      </c>
      <c r="G823" s="37" t="s">
        <v>62</v>
      </c>
      <c r="H823" s="41">
        <v>13370</v>
      </c>
      <c r="I823" s="42">
        <v>11095</v>
      </c>
      <c r="J823" s="37" t="s">
        <v>2381</v>
      </c>
      <c r="K823" s="39">
        <v>45499</v>
      </c>
      <c r="L823" s="33" t="s">
        <v>58</v>
      </c>
      <c r="M823" s="41">
        <v>382000</v>
      </c>
      <c r="N823" s="34">
        <f t="shared" si="24"/>
        <v>1775.2</v>
      </c>
      <c r="O823" s="36">
        <f t="shared" si="25"/>
        <v>110.95</v>
      </c>
      <c r="P823" s="35">
        <v>500</v>
      </c>
    </row>
    <row r="824" spans="1:16" x14ac:dyDescent="0.25">
      <c r="A824" s="37" t="s">
        <v>933</v>
      </c>
      <c r="B824" s="37"/>
      <c r="C824" s="40" t="s">
        <v>39</v>
      </c>
      <c r="D824" s="39">
        <v>45499</v>
      </c>
      <c r="E824" s="39">
        <v>45864</v>
      </c>
      <c r="F824" s="37" t="s">
        <v>1638</v>
      </c>
      <c r="G824" s="37" t="s">
        <v>61</v>
      </c>
      <c r="H824" s="41">
        <v>12320</v>
      </c>
      <c r="I824" s="42">
        <v>10190</v>
      </c>
      <c r="J824" s="37" t="s">
        <v>2382</v>
      </c>
      <c r="K824" s="39">
        <v>45499</v>
      </c>
      <c r="L824" s="33" t="s">
        <v>58</v>
      </c>
      <c r="M824" s="41">
        <v>352000</v>
      </c>
      <c r="N824" s="34">
        <f t="shared" si="24"/>
        <v>1630.4</v>
      </c>
      <c r="O824" s="36">
        <f t="shared" si="25"/>
        <v>101.9</v>
      </c>
      <c r="P824" s="35">
        <v>500</v>
      </c>
    </row>
    <row r="825" spans="1:16" x14ac:dyDescent="0.25">
      <c r="A825" s="37" t="s">
        <v>934</v>
      </c>
      <c r="B825" s="37"/>
      <c r="C825" s="40" t="s">
        <v>39</v>
      </c>
      <c r="D825" s="39">
        <v>45865</v>
      </c>
      <c r="E825" s="39">
        <v>46230</v>
      </c>
      <c r="F825" s="37" t="s">
        <v>1638</v>
      </c>
      <c r="G825" s="37" t="s">
        <v>61</v>
      </c>
      <c r="H825" s="41">
        <v>12320</v>
      </c>
      <c r="I825" s="42">
        <v>10190</v>
      </c>
      <c r="J825" s="37" t="s">
        <v>2382</v>
      </c>
      <c r="K825" s="39">
        <v>45499</v>
      </c>
      <c r="L825" s="33" t="s">
        <v>58</v>
      </c>
      <c r="M825" s="41">
        <v>352000</v>
      </c>
      <c r="N825" s="34">
        <f t="shared" si="24"/>
        <v>1630.4</v>
      </c>
      <c r="O825" s="36">
        <f t="shared" si="25"/>
        <v>101.9</v>
      </c>
      <c r="P825" s="35">
        <v>500</v>
      </c>
    </row>
    <row r="826" spans="1:16" x14ac:dyDescent="0.25">
      <c r="A826" s="37" t="s">
        <v>935</v>
      </c>
      <c r="B826" s="37"/>
      <c r="C826" s="40" t="s">
        <v>53</v>
      </c>
      <c r="D826" s="39">
        <v>45499</v>
      </c>
      <c r="E826" s="39">
        <v>45864</v>
      </c>
      <c r="F826" s="37" t="s">
        <v>1639</v>
      </c>
      <c r="G826" s="37" t="s">
        <v>61</v>
      </c>
      <c r="H826" s="41">
        <v>8800</v>
      </c>
      <c r="I826" s="42">
        <v>7155</v>
      </c>
      <c r="J826" s="37" t="s">
        <v>2383</v>
      </c>
      <c r="K826" s="39">
        <v>45499</v>
      </c>
      <c r="L826" s="33" t="s">
        <v>58</v>
      </c>
      <c r="M826" s="41">
        <v>352000</v>
      </c>
      <c r="N826" s="34">
        <f t="shared" si="24"/>
        <v>1144.8</v>
      </c>
      <c r="O826" s="36">
        <f t="shared" si="25"/>
        <v>71.55</v>
      </c>
      <c r="P826" s="35">
        <v>500</v>
      </c>
    </row>
    <row r="827" spans="1:16" x14ac:dyDescent="0.25">
      <c r="A827" s="37" t="s">
        <v>936</v>
      </c>
      <c r="B827" s="37"/>
      <c r="C827" s="40" t="s">
        <v>31</v>
      </c>
      <c r="D827" s="39">
        <v>45499</v>
      </c>
      <c r="E827" s="39">
        <v>45864</v>
      </c>
      <c r="F827" s="37" t="s">
        <v>1640</v>
      </c>
      <c r="G827" s="37" t="s">
        <v>61</v>
      </c>
      <c r="H827" s="41">
        <v>12320</v>
      </c>
      <c r="I827" s="42">
        <v>10190</v>
      </c>
      <c r="J827" s="37" t="s">
        <v>2384</v>
      </c>
      <c r="K827" s="39">
        <v>45499</v>
      </c>
      <c r="L827" s="33" t="s">
        <v>58</v>
      </c>
      <c r="M827" s="41">
        <v>352000</v>
      </c>
      <c r="N827" s="34">
        <f t="shared" si="24"/>
        <v>1630.4</v>
      </c>
      <c r="O827" s="36">
        <f t="shared" si="25"/>
        <v>101.9</v>
      </c>
      <c r="P827" s="35">
        <v>500</v>
      </c>
    </row>
    <row r="828" spans="1:16" x14ac:dyDescent="0.25">
      <c r="A828" s="37" t="s">
        <v>937</v>
      </c>
      <c r="B828" s="37"/>
      <c r="C828" s="40" t="s">
        <v>39</v>
      </c>
      <c r="D828" s="39">
        <v>45499</v>
      </c>
      <c r="E828" s="39">
        <v>45864</v>
      </c>
      <c r="F828" s="37" t="s">
        <v>1641</v>
      </c>
      <c r="G828" s="37" t="s">
        <v>62</v>
      </c>
      <c r="H828" s="41">
        <v>13370</v>
      </c>
      <c r="I828" s="42">
        <v>11095</v>
      </c>
      <c r="J828" s="37" t="s">
        <v>2386</v>
      </c>
      <c r="K828" s="39">
        <v>45499</v>
      </c>
      <c r="L828" s="33" t="s">
        <v>58</v>
      </c>
      <c r="M828" s="41">
        <v>382000</v>
      </c>
      <c r="N828" s="34">
        <f t="shared" si="24"/>
        <v>1775.2</v>
      </c>
      <c r="O828" s="36">
        <f t="shared" si="25"/>
        <v>110.95</v>
      </c>
      <c r="P828" s="35">
        <v>500</v>
      </c>
    </row>
    <row r="829" spans="1:16" x14ac:dyDescent="0.25">
      <c r="A829" s="37" t="s">
        <v>938</v>
      </c>
      <c r="B829" s="37"/>
      <c r="C829" s="40" t="s">
        <v>39</v>
      </c>
      <c r="D829" s="39">
        <v>45865</v>
      </c>
      <c r="E829" s="39">
        <v>46230</v>
      </c>
      <c r="F829" s="37" t="s">
        <v>1641</v>
      </c>
      <c r="G829" s="37" t="s">
        <v>62</v>
      </c>
      <c r="H829" s="41">
        <v>13370</v>
      </c>
      <c r="I829" s="42">
        <v>11095</v>
      </c>
      <c r="J829" s="37" t="s">
        <v>2386</v>
      </c>
      <c r="K829" s="39">
        <v>45499</v>
      </c>
      <c r="L829" s="33" t="s">
        <v>58</v>
      </c>
      <c r="M829" s="41">
        <v>382000</v>
      </c>
      <c r="N829" s="34">
        <f t="shared" ref="N829:N892" si="26">I829*16/100</f>
        <v>1775.2</v>
      </c>
      <c r="O829" s="36">
        <f t="shared" ref="O829:O892" si="27">I829*1/100</f>
        <v>110.95</v>
      </c>
      <c r="P829" s="35">
        <v>500</v>
      </c>
    </row>
    <row r="830" spans="1:16" x14ac:dyDescent="0.25">
      <c r="A830" s="37" t="s">
        <v>939</v>
      </c>
      <c r="B830" s="37"/>
      <c r="C830" s="40" t="s">
        <v>39</v>
      </c>
      <c r="D830" s="39">
        <v>45499</v>
      </c>
      <c r="E830" s="39">
        <v>45864</v>
      </c>
      <c r="F830" s="37" t="s">
        <v>1642</v>
      </c>
      <c r="G830" s="37" t="s">
        <v>61</v>
      </c>
      <c r="H830" s="41">
        <v>12320</v>
      </c>
      <c r="I830" s="42">
        <v>10190</v>
      </c>
      <c r="J830" s="37" t="s">
        <v>2387</v>
      </c>
      <c r="K830" s="39">
        <v>45499</v>
      </c>
      <c r="L830" s="33" t="s">
        <v>58</v>
      </c>
      <c r="M830" s="41">
        <v>352000</v>
      </c>
      <c r="N830" s="34">
        <f t="shared" si="26"/>
        <v>1630.4</v>
      </c>
      <c r="O830" s="36">
        <f t="shared" si="27"/>
        <v>101.9</v>
      </c>
      <c r="P830" s="35">
        <v>500</v>
      </c>
    </row>
    <row r="831" spans="1:16" x14ac:dyDescent="0.25">
      <c r="A831" s="37" t="s">
        <v>940</v>
      </c>
      <c r="B831" s="37"/>
      <c r="C831" s="40" t="s">
        <v>31</v>
      </c>
      <c r="D831" s="39">
        <v>45499</v>
      </c>
      <c r="E831" s="39">
        <v>45864</v>
      </c>
      <c r="F831" s="37" t="s">
        <v>1643</v>
      </c>
      <c r="G831" s="37" t="s">
        <v>61</v>
      </c>
      <c r="H831" s="41">
        <v>12320</v>
      </c>
      <c r="I831" s="42">
        <v>10190</v>
      </c>
      <c r="J831" s="37" t="s">
        <v>2385</v>
      </c>
      <c r="K831" s="39">
        <v>45499</v>
      </c>
      <c r="L831" s="33" t="s">
        <v>58</v>
      </c>
      <c r="M831" s="41">
        <v>352000</v>
      </c>
      <c r="N831" s="34">
        <f t="shared" si="26"/>
        <v>1630.4</v>
      </c>
      <c r="O831" s="36">
        <f t="shared" si="27"/>
        <v>101.9</v>
      </c>
      <c r="P831" s="35">
        <v>500</v>
      </c>
    </row>
    <row r="832" spans="1:16" x14ac:dyDescent="0.25">
      <c r="A832" s="37" t="s">
        <v>941</v>
      </c>
      <c r="B832" s="37"/>
      <c r="C832" s="40" t="s">
        <v>31</v>
      </c>
      <c r="D832" s="39">
        <v>45865</v>
      </c>
      <c r="E832" s="39">
        <v>46230</v>
      </c>
      <c r="F832" s="37" t="s">
        <v>1643</v>
      </c>
      <c r="G832" s="37" t="s">
        <v>61</v>
      </c>
      <c r="H832" s="41">
        <v>12320</v>
      </c>
      <c r="I832" s="42">
        <v>10190</v>
      </c>
      <c r="J832" s="37" t="s">
        <v>2385</v>
      </c>
      <c r="K832" s="39">
        <v>45499</v>
      </c>
      <c r="L832" s="33" t="s">
        <v>58</v>
      </c>
      <c r="M832" s="41">
        <v>352000</v>
      </c>
      <c r="N832" s="34">
        <f t="shared" si="26"/>
        <v>1630.4</v>
      </c>
      <c r="O832" s="36">
        <f t="shared" si="27"/>
        <v>101.9</v>
      </c>
      <c r="P832" s="35">
        <v>500</v>
      </c>
    </row>
    <row r="833" spans="1:16" x14ac:dyDescent="0.25">
      <c r="A833" s="37" t="s">
        <v>942</v>
      </c>
      <c r="B833" s="37"/>
      <c r="C833" s="40" t="s">
        <v>36</v>
      </c>
      <c r="D833" s="39">
        <v>45500</v>
      </c>
      <c r="E833" s="39">
        <v>45865</v>
      </c>
      <c r="F833" s="37" t="s">
        <v>1248</v>
      </c>
      <c r="G833" s="37" t="s">
        <v>61</v>
      </c>
      <c r="H833" s="41">
        <v>12320</v>
      </c>
      <c r="I833" s="42">
        <v>10190</v>
      </c>
      <c r="J833" s="37" t="s">
        <v>2388</v>
      </c>
      <c r="K833" s="39">
        <v>45500</v>
      </c>
      <c r="L833" s="33" t="s">
        <v>58</v>
      </c>
      <c r="M833" s="41">
        <v>352000</v>
      </c>
      <c r="N833" s="34">
        <f t="shared" si="26"/>
        <v>1630.4</v>
      </c>
      <c r="O833" s="36">
        <f t="shared" si="27"/>
        <v>101.9</v>
      </c>
      <c r="P833" s="35">
        <v>500</v>
      </c>
    </row>
    <row r="834" spans="1:16" x14ac:dyDescent="0.25">
      <c r="A834" s="37" t="s">
        <v>943</v>
      </c>
      <c r="B834" s="37"/>
      <c r="C834" s="40" t="s">
        <v>36</v>
      </c>
      <c r="D834" s="39">
        <v>45866</v>
      </c>
      <c r="E834" s="39">
        <v>46231</v>
      </c>
      <c r="F834" s="37" t="s">
        <v>1248</v>
      </c>
      <c r="G834" s="37" t="s">
        <v>61</v>
      </c>
      <c r="H834" s="41">
        <v>12320</v>
      </c>
      <c r="I834" s="42">
        <v>10190</v>
      </c>
      <c r="J834" s="37" t="s">
        <v>2388</v>
      </c>
      <c r="K834" s="39">
        <v>45500</v>
      </c>
      <c r="L834" s="33" t="s">
        <v>58</v>
      </c>
      <c r="M834" s="41">
        <v>352000</v>
      </c>
      <c r="N834" s="34">
        <f t="shared" si="26"/>
        <v>1630.4</v>
      </c>
      <c r="O834" s="36">
        <f t="shared" si="27"/>
        <v>101.9</v>
      </c>
      <c r="P834" s="35">
        <v>500</v>
      </c>
    </row>
    <row r="835" spans="1:16" x14ac:dyDescent="0.25">
      <c r="A835" s="37" t="s">
        <v>944</v>
      </c>
      <c r="B835" s="37"/>
      <c r="C835" s="40" t="s">
        <v>36</v>
      </c>
      <c r="D835" s="39">
        <v>45500</v>
      </c>
      <c r="E835" s="39">
        <v>45865</v>
      </c>
      <c r="F835" s="37" t="s">
        <v>1464</v>
      </c>
      <c r="G835" s="37" t="s">
        <v>63</v>
      </c>
      <c r="H835" s="41">
        <v>19145</v>
      </c>
      <c r="I835" s="42">
        <v>16073</v>
      </c>
      <c r="J835" s="37" t="s">
        <v>2389</v>
      </c>
      <c r="K835" s="39">
        <v>45500</v>
      </c>
      <c r="L835" s="33" t="s">
        <v>58</v>
      </c>
      <c r="M835" s="41">
        <v>547000</v>
      </c>
      <c r="N835" s="34">
        <f t="shared" si="26"/>
        <v>2571.6799999999998</v>
      </c>
      <c r="O835" s="36">
        <f t="shared" si="27"/>
        <v>160.72999999999999</v>
      </c>
      <c r="P835" s="35">
        <v>500</v>
      </c>
    </row>
    <row r="836" spans="1:16" x14ac:dyDescent="0.25">
      <c r="A836" s="37" t="s">
        <v>945</v>
      </c>
      <c r="B836" s="37"/>
      <c r="C836" s="40" t="s">
        <v>36</v>
      </c>
      <c r="D836" s="39">
        <v>45866</v>
      </c>
      <c r="E836" s="39">
        <v>46231</v>
      </c>
      <c r="F836" s="37" t="s">
        <v>1464</v>
      </c>
      <c r="G836" s="37" t="s">
        <v>63</v>
      </c>
      <c r="H836" s="41">
        <v>19145</v>
      </c>
      <c r="I836" s="42">
        <v>16073</v>
      </c>
      <c r="J836" s="37" t="s">
        <v>2389</v>
      </c>
      <c r="K836" s="39">
        <v>45500</v>
      </c>
      <c r="L836" s="33" t="s">
        <v>58</v>
      </c>
      <c r="M836" s="41">
        <v>547000</v>
      </c>
      <c r="N836" s="34">
        <f t="shared" si="26"/>
        <v>2571.6799999999998</v>
      </c>
      <c r="O836" s="36">
        <f t="shared" si="27"/>
        <v>160.72999999999999</v>
      </c>
      <c r="P836" s="35">
        <v>500</v>
      </c>
    </row>
    <row r="837" spans="1:16" x14ac:dyDescent="0.25">
      <c r="A837" s="37" t="s">
        <v>946</v>
      </c>
      <c r="B837" s="37"/>
      <c r="C837" s="40" t="s">
        <v>32</v>
      </c>
      <c r="D837" s="39">
        <v>45500</v>
      </c>
      <c r="E837" s="39">
        <v>45865</v>
      </c>
      <c r="F837" s="37" t="s">
        <v>1644</v>
      </c>
      <c r="G837" s="37" t="s">
        <v>63</v>
      </c>
      <c r="H837" s="41">
        <v>19145</v>
      </c>
      <c r="I837" s="42">
        <v>16073</v>
      </c>
      <c r="J837" s="37" t="s">
        <v>2390</v>
      </c>
      <c r="K837" s="39">
        <v>45500</v>
      </c>
      <c r="L837" s="33" t="s">
        <v>58</v>
      </c>
      <c r="M837" s="41">
        <v>547000</v>
      </c>
      <c r="N837" s="34">
        <f t="shared" si="26"/>
        <v>2571.6799999999998</v>
      </c>
      <c r="O837" s="36">
        <f t="shared" si="27"/>
        <v>160.72999999999999</v>
      </c>
      <c r="P837" s="35">
        <v>500</v>
      </c>
    </row>
    <row r="838" spans="1:16" x14ac:dyDescent="0.25">
      <c r="A838" s="37" t="s">
        <v>947</v>
      </c>
      <c r="B838" s="37"/>
      <c r="C838" s="40" t="s">
        <v>32</v>
      </c>
      <c r="D838" s="39">
        <v>45866</v>
      </c>
      <c r="E838" s="39">
        <v>46231</v>
      </c>
      <c r="F838" s="37" t="s">
        <v>1644</v>
      </c>
      <c r="G838" s="37" t="s">
        <v>63</v>
      </c>
      <c r="H838" s="41">
        <v>19145</v>
      </c>
      <c r="I838" s="42">
        <v>16073</v>
      </c>
      <c r="J838" s="37" t="s">
        <v>2390</v>
      </c>
      <c r="K838" s="39">
        <v>45500</v>
      </c>
      <c r="L838" s="33" t="s">
        <v>58</v>
      </c>
      <c r="M838" s="41">
        <v>547000</v>
      </c>
      <c r="N838" s="34">
        <f t="shared" si="26"/>
        <v>2571.6799999999998</v>
      </c>
      <c r="O838" s="36">
        <f t="shared" si="27"/>
        <v>160.72999999999999</v>
      </c>
      <c r="P838" s="35">
        <v>500</v>
      </c>
    </row>
    <row r="839" spans="1:16" x14ac:dyDescent="0.25">
      <c r="A839" s="37" t="s">
        <v>948</v>
      </c>
      <c r="B839" s="37"/>
      <c r="C839" s="40" t="s">
        <v>32</v>
      </c>
      <c r="D839" s="39">
        <v>45500</v>
      </c>
      <c r="E839" s="39">
        <v>45865</v>
      </c>
      <c r="F839" s="37" t="s">
        <v>1645</v>
      </c>
      <c r="G839" s="37" t="s">
        <v>63</v>
      </c>
      <c r="H839" s="41">
        <v>19145</v>
      </c>
      <c r="I839" s="42">
        <v>16073</v>
      </c>
      <c r="J839" s="37" t="s">
        <v>2192</v>
      </c>
      <c r="K839" s="39">
        <v>45500</v>
      </c>
      <c r="L839" s="33" t="s">
        <v>58</v>
      </c>
      <c r="M839" s="41">
        <v>547000</v>
      </c>
      <c r="N839" s="34">
        <f t="shared" si="26"/>
        <v>2571.6799999999998</v>
      </c>
      <c r="O839" s="36">
        <f t="shared" si="27"/>
        <v>160.72999999999999</v>
      </c>
      <c r="P839" s="35">
        <v>500</v>
      </c>
    </row>
    <row r="840" spans="1:16" x14ac:dyDescent="0.25">
      <c r="A840" s="37" t="s">
        <v>949</v>
      </c>
      <c r="B840" s="37"/>
      <c r="C840" s="40" t="s">
        <v>32</v>
      </c>
      <c r="D840" s="39">
        <v>45866</v>
      </c>
      <c r="E840" s="39">
        <v>46231</v>
      </c>
      <c r="F840" s="37" t="s">
        <v>1645</v>
      </c>
      <c r="G840" s="37" t="s">
        <v>63</v>
      </c>
      <c r="H840" s="41">
        <v>19145</v>
      </c>
      <c r="I840" s="42">
        <v>16073</v>
      </c>
      <c r="J840" s="37" t="s">
        <v>2192</v>
      </c>
      <c r="K840" s="39">
        <v>45500</v>
      </c>
      <c r="L840" s="33" t="s">
        <v>58</v>
      </c>
      <c r="M840" s="41">
        <v>547000</v>
      </c>
      <c r="N840" s="34">
        <f t="shared" si="26"/>
        <v>2571.6799999999998</v>
      </c>
      <c r="O840" s="36">
        <f t="shared" si="27"/>
        <v>160.72999999999999</v>
      </c>
      <c r="P840" s="35">
        <v>500</v>
      </c>
    </row>
    <row r="841" spans="1:16" x14ac:dyDescent="0.25">
      <c r="A841" s="37" t="s">
        <v>950</v>
      </c>
      <c r="B841" s="37"/>
      <c r="C841" s="40" t="s">
        <v>35</v>
      </c>
      <c r="D841" s="39">
        <v>45500</v>
      </c>
      <c r="E841" s="39">
        <v>45865</v>
      </c>
      <c r="F841" s="37" t="s">
        <v>1646</v>
      </c>
      <c r="G841" s="37" t="s">
        <v>61</v>
      </c>
      <c r="H841" s="41">
        <v>12320</v>
      </c>
      <c r="I841" s="42">
        <v>10190</v>
      </c>
      <c r="J841" s="37" t="s">
        <v>2391</v>
      </c>
      <c r="K841" s="39">
        <v>45500</v>
      </c>
      <c r="L841" s="33" t="s">
        <v>58</v>
      </c>
      <c r="M841" s="41">
        <v>352000</v>
      </c>
      <c r="N841" s="34">
        <f t="shared" si="26"/>
        <v>1630.4</v>
      </c>
      <c r="O841" s="36">
        <f t="shared" si="27"/>
        <v>101.9</v>
      </c>
      <c r="P841" s="35">
        <v>500</v>
      </c>
    </row>
    <row r="842" spans="1:16" x14ac:dyDescent="0.25">
      <c r="A842" s="37" t="s">
        <v>951</v>
      </c>
      <c r="B842" s="37"/>
      <c r="C842" s="40" t="s">
        <v>35</v>
      </c>
      <c r="D842" s="39">
        <v>45866</v>
      </c>
      <c r="E842" s="39">
        <v>46231</v>
      </c>
      <c r="F842" s="37" t="s">
        <v>1646</v>
      </c>
      <c r="G842" s="37" t="s">
        <v>61</v>
      </c>
      <c r="H842" s="41">
        <v>12320</v>
      </c>
      <c r="I842" s="42">
        <v>10190</v>
      </c>
      <c r="J842" s="37" t="s">
        <v>2391</v>
      </c>
      <c r="K842" s="39">
        <v>45500</v>
      </c>
      <c r="L842" s="33" t="s">
        <v>58</v>
      </c>
      <c r="M842" s="41">
        <v>352000</v>
      </c>
      <c r="N842" s="34">
        <f t="shared" si="26"/>
        <v>1630.4</v>
      </c>
      <c r="O842" s="36">
        <f t="shared" si="27"/>
        <v>101.9</v>
      </c>
      <c r="P842" s="35">
        <v>500</v>
      </c>
    </row>
    <row r="843" spans="1:16" x14ac:dyDescent="0.25">
      <c r="A843" s="37" t="s">
        <v>952</v>
      </c>
      <c r="B843" s="37"/>
      <c r="C843" s="40" t="s">
        <v>32</v>
      </c>
      <c r="D843" s="39">
        <v>45500</v>
      </c>
      <c r="E843" s="39">
        <v>45865</v>
      </c>
      <c r="F843" s="37" t="s">
        <v>1647</v>
      </c>
      <c r="G843" s="37" t="s">
        <v>63</v>
      </c>
      <c r="H843" s="41">
        <v>19145</v>
      </c>
      <c r="I843" s="42">
        <v>16073</v>
      </c>
      <c r="J843" s="37" t="s">
        <v>2303</v>
      </c>
      <c r="K843" s="39">
        <v>45500</v>
      </c>
      <c r="L843" s="33" t="s">
        <v>58</v>
      </c>
      <c r="M843" s="41">
        <v>547000</v>
      </c>
      <c r="N843" s="34">
        <f t="shared" si="26"/>
        <v>2571.6799999999998</v>
      </c>
      <c r="O843" s="36">
        <f t="shared" si="27"/>
        <v>160.72999999999999</v>
      </c>
      <c r="P843" s="35">
        <v>500</v>
      </c>
    </row>
    <row r="844" spans="1:16" x14ac:dyDescent="0.25">
      <c r="A844" s="37" t="s">
        <v>953</v>
      </c>
      <c r="B844" s="37"/>
      <c r="C844" s="40" t="s">
        <v>32</v>
      </c>
      <c r="D844" s="39">
        <v>45500</v>
      </c>
      <c r="E844" s="39">
        <v>45865</v>
      </c>
      <c r="F844" s="37" t="s">
        <v>1648</v>
      </c>
      <c r="G844" s="37" t="s">
        <v>62</v>
      </c>
      <c r="H844" s="41">
        <v>13370</v>
      </c>
      <c r="I844" s="42">
        <v>11095</v>
      </c>
      <c r="J844" s="37" t="s">
        <v>2392</v>
      </c>
      <c r="K844" s="39">
        <v>45500</v>
      </c>
      <c r="L844" s="33" t="s">
        <v>58</v>
      </c>
      <c r="M844" s="41">
        <v>382000</v>
      </c>
      <c r="N844" s="34">
        <f t="shared" si="26"/>
        <v>1775.2</v>
      </c>
      <c r="O844" s="36">
        <f t="shared" si="27"/>
        <v>110.95</v>
      </c>
      <c r="P844" s="35">
        <v>500</v>
      </c>
    </row>
    <row r="845" spans="1:16" x14ac:dyDescent="0.25">
      <c r="A845" s="37" t="s">
        <v>954</v>
      </c>
      <c r="B845" s="37"/>
      <c r="C845" s="40" t="s">
        <v>32</v>
      </c>
      <c r="D845" s="39">
        <v>45866</v>
      </c>
      <c r="E845" s="39">
        <v>46231</v>
      </c>
      <c r="F845" s="37" t="s">
        <v>1648</v>
      </c>
      <c r="G845" s="37" t="s">
        <v>62</v>
      </c>
      <c r="H845" s="41">
        <v>13370</v>
      </c>
      <c r="I845" s="42">
        <v>11095</v>
      </c>
      <c r="J845" s="37" t="s">
        <v>2392</v>
      </c>
      <c r="K845" s="39">
        <v>45500</v>
      </c>
      <c r="L845" s="33" t="s">
        <v>58</v>
      </c>
      <c r="M845" s="41">
        <v>382000</v>
      </c>
      <c r="N845" s="34">
        <f t="shared" si="26"/>
        <v>1775.2</v>
      </c>
      <c r="O845" s="36">
        <f t="shared" si="27"/>
        <v>110.95</v>
      </c>
      <c r="P845" s="35">
        <v>500</v>
      </c>
    </row>
    <row r="846" spans="1:16" x14ac:dyDescent="0.25">
      <c r="A846" s="37" t="s">
        <v>955</v>
      </c>
      <c r="B846" s="37"/>
      <c r="C846" s="40" t="s">
        <v>32</v>
      </c>
      <c r="D846" s="39">
        <v>45500</v>
      </c>
      <c r="E846" s="39">
        <v>45865</v>
      </c>
      <c r="F846" s="37" t="s">
        <v>1649</v>
      </c>
      <c r="G846" s="37" t="s">
        <v>62</v>
      </c>
      <c r="H846" s="41">
        <v>13370</v>
      </c>
      <c r="I846" s="42">
        <v>11095</v>
      </c>
      <c r="J846" s="37" t="s">
        <v>2393</v>
      </c>
      <c r="K846" s="39">
        <v>45500</v>
      </c>
      <c r="L846" s="33" t="s">
        <v>58</v>
      </c>
      <c r="M846" s="41">
        <v>382000</v>
      </c>
      <c r="N846" s="34">
        <f t="shared" si="26"/>
        <v>1775.2</v>
      </c>
      <c r="O846" s="36">
        <f t="shared" si="27"/>
        <v>110.95</v>
      </c>
      <c r="P846" s="35">
        <v>500</v>
      </c>
    </row>
    <row r="847" spans="1:16" x14ac:dyDescent="0.25">
      <c r="A847" s="37" t="s">
        <v>956</v>
      </c>
      <c r="B847" s="37"/>
      <c r="C847" s="40" t="s">
        <v>32</v>
      </c>
      <c r="D847" s="39">
        <v>45866</v>
      </c>
      <c r="E847" s="39">
        <v>46231</v>
      </c>
      <c r="F847" s="37" t="s">
        <v>1649</v>
      </c>
      <c r="G847" s="37" t="s">
        <v>62</v>
      </c>
      <c r="H847" s="41">
        <v>13370</v>
      </c>
      <c r="I847" s="42">
        <v>11095</v>
      </c>
      <c r="J847" s="37" t="s">
        <v>2393</v>
      </c>
      <c r="K847" s="39">
        <v>45500</v>
      </c>
      <c r="L847" s="33" t="s">
        <v>58</v>
      </c>
      <c r="M847" s="41">
        <v>382000</v>
      </c>
      <c r="N847" s="34">
        <f t="shared" si="26"/>
        <v>1775.2</v>
      </c>
      <c r="O847" s="36">
        <f t="shared" si="27"/>
        <v>110.95</v>
      </c>
      <c r="P847" s="35">
        <v>500</v>
      </c>
    </row>
    <row r="848" spans="1:16" x14ac:dyDescent="0.25">
      <c r="A848" s="37" t="s">
        <v>957</v>
      </c>
      <c r="B848" s="37"/>
      <c r="C848" s="40" t="s">
        <v>32</v>
      </c>
      <c r="D848" s="39">
        <v>45500</v>
      </c>
      <c r="E848" s="39">
        <v>45865</v>
      </c>
      <c r="F848" s="37" t="s">
        <v>1650</v>
      </c>
      <c r="G848" s="37" t="s">
        <v>61</v>
      </c>
      <c r="H848" s="41">
        <v>12320</v>
      </c>
      <c r="I848" s="42">
        <v>10190</v>
      </c>
      <c r="J848" s="37" t="s">
        <v>2394</v>
      </c>
      <c r="K848" s="39">
        <v>45500</v>
      </c>
      <c r="L848" s="33" t="s">
        <v>58</v>
      </c>
      <c r="M848" s="41">
        <v>352000</v>
      </c>
      <c r="N848" s="34">
        <f t="shared" si="26"/>
        <v>1630.4</v>
      </c>
      <c r="O848" s="36">
        <f t="shared" si="27"/>
        <v>101.9</v>
      </c>
      <c r="P848" s="35">
        <v>500</v>
      </c>
    </row>
    <row r="849" spans="1:16" x14ac:dyDescent="0.25">
      <c r="A849" s="37" t="s">
        <v>958</v>
      </c>
      <c r="B849" s="37"/>
      <c r="C849" s="40" t="s">
        <v>32</v>
      </c>
      <c r="D849" s="39">
        <v>45866</v>
      </c>
      <c r="E849" s="39">
        <v>46231</v>
      </c>
      <c r="F849" s="37" t="s">
        <v>1650</v>
      </c>
      <c r="G849" s="37" t="s">
        <v>61</v>
      </c>
      <c r="H849" s="41">
        <v>12320</v>
      </c>
      <c r="I849" s="42">
        <v>10190</v>
      </c>
      <c r="J849" s="37" t="s">
        <v>2394</v>
      </c>
      <c r="K849" s="39">
        <v>45500</v>
      </c>
      <c r="L849" s="33" t="s">
        <v>58</v>
      </c>
      <c r="M849" s="41">
        <v>352000</v>
      </c>
      <c r="N849" s="34">
        <f t="shared" si="26"/>
        <v>1630.4</v>
      </c>
      <c r="O849" s="36">
        <f t="shared" si="27"/>
        <v>101.9</v>
      </c>
      <c r="P849" s="35">
        <v>500</v>
      </c>
    </row>
    <row r="850" spans="1:16" x14ac:dyDescent="0.25">
      <c r="A850" s="37" t="s">
        <v>959</v>
      </c>
      <c r="B850" s="37"/>
      <c r="C850" s="40" t="s">
        <v>34</v>
      </c>
      <c r="D850" s="39">
        <v>45500</v>
      </c>
      <c r="E850" s="39">
        <v>45865</v>
      </c>
      <c r="F850" s="37" t="s">
        <v>1651</v>
      </c>
      <c r="G850" s="37" t="s">
        <v>61</v>
      </c>
      <c r="H850" s="41">
        <v>8800</v>
      </c>
      <c r="I850" s="42">
        <v>7155</v>
      </c>
      <c r="J850" s="37" t="s">
        <v>2395</v>
      </c>
      <c r="K850" s="39">
        <v>45500</v>
      </c>
      <c r="L850" s="33" t="s">
        <v>58</v>
      </c>
      <c r="M850" s="41">
        <v>352000</v>
      </c>
      <c r="N850" s="34">
        <f t="shared" si="26"/>
        <v>1144.8</v>
      </c>
      <c r="O850" s="36">
        <f t="shared" si="27"/>
        <v>71.55</v>
      </c>
      <c r="P850" s="35">
        <v>500</v>
      </c>
    </row>
    <row r="851" spans="1:16" x14ac:dyDescent="0.25">
      <c r="A851" s="37" t="s">
        <v>960</v>
      </c>
      <c r="B851" s="37"/>
      <c r="C851" s="40" t="s">
        <v>34</v>
      </c>
      <c r="D851" s="39">
        <v>45500</v>
      </c>
      <c r="E851" s="39">
        <v>45865</v>
      </c>
      <c r="F851" s="37" t="s">
        <v>1652</v>
      </c>
      <c r="G851" s="37" t="s">
        <v>61</v>
      </c>
      <c r="H851" s="41">
        <v>8800</v>
      </c>
      <c r="I851" s="42">
        <v>7155</v>
      </c>
      <c r="J851" s="37" t="s">
        <v>2396</v>
      </c>
      <c r="K851" s="39">
        <v>45500</v>
      </c>
      <c r="L851" s="33" t="s">
        <v>58</v>
      </c>
      <c r="M851" s="41">
        <v>352000</v>
      </c>
      <c r="N851" s="34">
        <f t="shared" si="26"/>
        <v>1144.8</v>
      </c>
      <c r="O851" s="36">
        <f t="shared" si="27"/>
        <v>71.55</v>
      </c>
      <c r="P851" s="35">
        <v>500</v>
      </c>
    </row>
    <row r="852" spans="1:16" x14ac:dyDescent="0.25">
      <c r="A852" s="37" t="s">
        <v>961</v>
      </c>
      <c r="B852" s="37"/>
      <c r="C852" s="40" t="s">
        <v>34</v>
      </c>
      <c r="D852" s="39">
        <v>45500</v>
      </c>
      <c r="E852" s="39">
        <v>45865</v>
      </c>
      <c r="F852" s="37" t="s">
        <v>105</v>
      </c>
      <c r="G852" s="37" t="s">
        <v>61</v>
      </c>
      <c r="H852" s="41">
        <v>8800</v>
      </c>
      <c r="I852" s="42">
        <v>7155</v>
      </c>
      <c r="J852" s="37" t="s">
        <v>2397</v>
      </c>
      <c r="K852" s="39">
        <v>45500</v>
      </c>
      <c r="L852" s="33" t="s">
        <v>58</v>
      </c>
      <c r="M852" s="41">
        <v>352000</v>
      </c>
      <c r="N852" s="34">
        <f t="shared" si="26"/>
        <v>1144.8</v>
      </c>
      <c r="O852" s="36">
        <f t="shared" si="27"/>
        <v>71.55</v>
      </c>
      <c r="P852" s="35">
        <v>500</v>
      </c>
    </row>
    <row r="853" spans="1:16" x14ac:dyDescent="0.25">
      <c r="A853" s="37" t="s">
        <v>962</v>
      </c>
      <c r="B853" s="37"/>
      <c r="C853" s="40" t="s">
        <v>34</v>
      </c>
      <c r="D853" s="39">
        <v>45500</v>
      </c>
      <c r="E853" s="39">
        <v>45865</v>
      </c>
      <c r="F853" s="37" t="s">
        <v>1653</v>
      </c>
      <c r="G853" s="37" t="s">
        <v>65</v>
      </c>
      <c r="H853" s="41">
        <v>9550</v>
      </c>
      <c r="I853" s="42">
        <v>7802</v>
      </c>
      <c r="J853" s="37" t="s">
        <v>2398</v>
      </c>
      <c r="K853" s="39">
        <v>45500</v>
      </c>
      <c r="L853" s="33" t="s">
        <v>58</v>
      </c>
      <c r="M853" s="41">
        <v>382000</v>
      </c>
      <c r="N853" s="34">
        <f t="shared" si="26"/>
        <v>1248.32</v>
      </c>
      <c r="O853" s="36">
        <f t="shared" si="27"/>
        <v>78.02</v>
      </c>
      <c r="P853" s="35">
        <v>500</v>
      </c>
    </row>
    <row r="854" spans="1:16" x14ac:dyDescent="0.25">
      <c r="A854" s="37" t="s">
        <v>963</v>
      </c>
      <c r="B854" s="37"/>
      <c r="C854" s="40" t="s">
        <v>34</v>
      </c>
      <c r="D854" s="39">
        <v>45500</v>
      </c>
      <c r="E854" s="39">
        <v>45865</v>
      </c>
      <c r="F854" s="37" t="s">
        <v>1654</v>
      </c>
      <c r="G854" s="37" t="s">
        <v>61</v>
      </c>
      <c r="H854" s="41">
        <v>8800</v>
      </c>
      <c r="I854" s="42">
        <v>7155</v>
      </c>
      <c r="J854" s="37" t="s">
        <v>2399</v>
      </c>
      <c r="K854" s="39">
        <v>45500</v>
      </c>
      <c r="L854" s="33" t="s">
        <v>58</v>
      </c>
      <c r="M854" s="41">
        <v>352000</v>
      </c>
      <c r="N854" s="34">
        <f t="shared" si="26"/>
        <v>1144.8</v>
      </c>
      <c r="O854" s="36">
        <f t="shared" si="27"/>
        <v>71.55</v>
      </c>
      <c r="P854" s="35">
        <v>500</v>
      </c>
    </row>
    <row r="855" spans="1:16" x14ac:dyDescent="0.25">
      <c r="A855" s="37" t="s">
        <v>964</v>
      </c>
      <c r="B855" s="37"/>
      <c r="C855" s="40" t="s">
        <v>34</v>
      </c>
      <c r="D855" s="39">
        <v>45500</v>
      </c>
      <c r="E855" s="39">
        <v>45865</v>
      </c>
      <c r="F855" s="37" t="s">
        <v>1655</v>
      </c>
      <c r="G855" s="37" t="s">
        <v>61</v>
      </c>
      <c r="H855" s="41">
        <v>8800</v>
      </c>
      <c r="I855" s="42">
        <v>7155</v>
      </c>
      <c r="J855" s="37" t="s">
        <v>1808</v>
      </c>
      <c r="K855" s="39">
        <v>45500</v>
      </c>
      <c r="L855" s="33" t="s">
        <v>58</v>
      </c>
      <c r="M855" s="41">
        <v>352000</v>
      </c>
      <c r="N855" s="34">
        <f t="shared" si="26"/>
        <v>1144.8</v>
      </c>
      <c r="O855" s="36">
        <f t="shared" si="27"/>
        <v>71.55</v>
      </c>
      <c r="P855" s="35">
        <v>500</v>
      </c>
    </row>
    <row r="856" spans="1:16" x14ac:dyDescent="0.25">
      <c r="A856" s="37" t="s">
        <v>965</v>
      </c>
      <c r="B856" s="37"/>
      <c r="C856" s="40" t="s">
        <v>34</v>
      </c>
      <c r="D856" s="39">
        <v>45500</v>
      </c>
      <c r="E856" s="39">
        <v>45865</v>
      </c>
      <c r="F856" s="37" t="s">
        <v>1656</v>
      </c>
      <c r="G856" s="37" t="s">
        <v>61</v>
      </c>
      <c r="H856" s="41">
        <v>8800</v>
      </c>
      <c r="I856" s="42">
        <v>7155</v>
      </c>
      <c r="J856" s="37" t="s">
        <v>2400</v>
      </c>
      <c r="K856" s="39">
        <v>45500</v>
      </c>
      <c r="L856" s="33" t="s">
        <v>58</v>
      </c>
      <c r="M856" s="41">
        <v>352000</v>
      </c>
      <c r="N856" s="34">
        <f t="shared" si="26"/>
        <v>1144.8</v>
      </c>
      <c r="O856" s="36">
        <f t="shared" si="27"/>
        <v>71.55</v>
      </c>
      <c r="P856" s="35">
        <v>500</v>
      </c>
    </row>
    <row r="857" spans="1:16" x14ac:dyDescent="0.25">
      <c r="A857" s="37" t="s">
        <v>966</v>
      </c>
      <c r="B857" s="37"/>
      <c r="C857" s="40" t="s">
        <v>32</v>
      </c>
      <c r="D857" s="39">
        <v>45500</v>
      </c>
      <c r="E857" s="39">
        <v>45865</v>
      </c>
      <c r="F857" s="37" t="s">
        <v>1657</v>
      </c>
      <c r="G857" s="37" t="s">
        <v>61</v>
      </c>
      <c r="H857" s="41">
        <v>12320</v>
      </c>
      <c r="I857" s="42">
        <v>10190</v>
      </c>
      <c r="J857" s="37" t="s">
        <v>2401</v>
      </c>
      <c r="K857" s="39">
        <v>45500</v>
      </c>
      <c r="L857" s="33" t="s">
        <v>58</v>
      </c>
      <c r="M857" s="41">
        <v>352000</v>
      </c>
      <c r="N857" s="34">
        <f t="shared" si="26"/>
        <v>1630.4</v>
      </c>
      <c r="O857" s="36">
        <f t="shared" si="27"/>
        <v>101.9</v>
      </c>
      <c r="P857" s="35">
        <v>500</v>
      </c>
    </row>
    <row r="858" spans="1:16" x14ac:dyDescent="0.25">
      <c r="A858" s="37" t="s">
        <v>967</v>
      </c>
      <c r="B858" s="37"/>
      <c r="C858" s="40" t="s">
        <v>32</v>
      </c>
      <c r="D858" s="39">
        <v>45866</v>
      </c>
      <c r="E858" s="39">
        <v>46231</v>
      </c>
      <c r="F858" s="37" t="s">
        <v>1657</v>
      </c>
      <c r="G858" s="37" t="s">
        <v>61</v>
      </c>
      <c r="H858" s="41">
        <v>12320</v>
      </c>
      <c r="I858" s="42">
        <v>10190</v>
      </c>
      <c r="J858" s="37" t="s">
        <v>2401</v>
      </c>
      <c r="K858" s="39">
        <v>45500</v>
      </c>
      <c r="L858" s="33" t="s">
        <v>58</v>
      </c>
      <c r="M858" s="41">
        <v>352000</v>
      </c>
      <c r="N858" s="34">
        <f t="shared" si="26"/>
        <v>1630.4</v>
      </c>
      <c r="O858" s="36">
        <f t="shared" si="27"/>
        <v>101.9</v>
      </c>
      <c r="P858" s="35">
        <v>500</v>
      </c>
    </row>
    <row r="859" spans="1:16" x14ac:dyDescent="0.25">
      <c r="A859" s="37" t="s">
        <v>968</v>
      </c>
      <c r="B859" s="37"/>
      <c r="C859" s="40" t="s">
        <v>32</v>
      </c>
      <c r="D859" s="39">
        <v>45500</v>
      </c>
      <c r="E859" s="39">
        <v>45865</v>
      </c>
      <c r="F859" s="37" t="s">
        <v>1658</v>
      </c>
      <c r="G859" s="37" t="s">
        <v>61</v>
      </c>
      <c r="H859" s="41">
        <v>12320</v>
      </c>
      <c r="I859" s="42">
        <v>10190</v>
      </c>
      <c r="J859" s="37" t="s">
        <v>2402</v>
      </c>
      <c r="K859" s="39">
        <v>45500</v>
      </c>
      <c r="L859" s="33" t="s">
        <v>58</v>
      </c>
      <c r="M859" s="41">
        <v>352000</v>
      </c>
      <c r="N859" s="34">
        <f t="shared" si="26"/>
        <v>1630.4</v>
      </c>
      <c r="O859" s="36">
        <f t="shared" si="27"/>
        <v>101.9</v>
      </c>
      <c r="P859" s="35">
        <v>500</v>
      </c>
    </row>
    <row r="860" spans="1:16" x14ac:dyDescent="0.25">
      <c r="A860" s="37" t="s">
        <v>969</v>
      </c>
      <c r="B860" s="37"/>
      <c r="C860" s="40" t="s">
        <v>32</v>
      </c>
      <c r="D860" s="39">
        <v>45866</v>
      </c>
      <c r="E860" s="39">
        <v>46231</v>
      </c>
      <c r="F860" s="37" t="s">
        <v>1658</v>
      </c>
      <c r="G860" s="37" t="s">
        <v>61</v>
      </c>
      <c r="H860" s="41">
        <v>12320</v>
      </c>
      <c r="I860" s="42">
        <v>10190</v>
      </c>
      <c r="J860" s="37" t="s">
        <v>2402</v>
      </c>
      <c r="K860" s="39">
        <v>45500</v>
      </c>
      <c r="L860" s="33" t="s">
        <v>58</v>
      </c>
      <c r="M860" s="41">
        <v>352000</v>
      </c>
      <c r="N860" s="34">
        <f t="shared" si="26"/>
        <v>1630.4</v>
      </c>
      <c r="O860" s="36">
        <f t="shared" si="27"/>
        <v>101.9</v>
      </c>
      <c r="P860" s="35">
        <v>500</v>
      </c>
    </row>
    <row r="861" spans="1:16" x14ac:dyDescent="0.25">
      <c r="A861" s="37" t="s">
        <v>970</v>
      </c>
      <c r="B861" s="37"/>
      <c r="C861" s="40" t="s">
        <v>37</v>
      </c>
      <c r="D861" s="39">
        <v>45502</v>
      </c>
      <c r="E861" s="39">
        <v>45867</v>
      </c>
      <c r="F861" s="37" t="s">
        <v>1659</v>
      </c>
      <c r="G861" s="37" t="s">
        <v>61</v>
      </c>
      <c r="H861" s="41">
        <v>8800</v>
      </c>
      <c r="I861" s="42">
        <v>7155</v>
      </c>
      <c r="J861" s="37" t="s">
        <v>2403</v>
      </c>
      <c r="K861" s="39">
        <v>45502</v>
      </c>
      <c r="L861" s="33" t="s">
        <v>58</v>
      </c>
      <c r="M861" s="41">
        <v>352000</v>
      </c>
      <c r="N861" s="34">
        <f t="shared" si="26"/>
        <v>1144.8</v>
      </c>
      <c r="O861" s="36">
        <f t="shared" si="27"/>
        <v>71.55</v>
      </c>
      <c r="P861" s="35">
        <v>500</v>
      </c>
    </row>
    <row r="862" spans="1:16" x14ac:dyDescent="0.25">
      <c r="A862" s="37" t="s">
        <v>971</v>
      </c>
      <c r="B862" s="37"/>
      <c r="C862" s="40" t="s">
        <v>35</v>
      </c>
      <c r="D862" s="39">
        <v>45502</v>
      </c>
      <c r="E862" s="39">
        <v>45867</v>
      </c>
      <c r="F862" s="37" t="s">
        <v>1660</v>
      </c>
      <c r="G862" s="37" t="s">
        <v>61</v>
      </c>
      <c r="H862" s="41">
        <v>12320</v>
      </c>
      <c r="I862" s="42">
        <v>10190</v>
      </c>
      <c r="J862" s="37" t="s">
        <v>2404</v>
      </c>
      <c r="K862" s="39">
        <v>45502</v>
      </c>
      <c r="L862" s="33" t="s">
        <v>58</v>
      </c>
      <c r="M862" s="41">
        <v>352000</v>
      </c>
      <c r="N862" s="34">
        <f t="shared" si="26"/>
        <v>1630.4</v>
      </c>
      <c r="O862" s="36">
        <f t="shared" si="27"/>
        <v>101.9</v>
      </c>
      <c r="P862" s="35">
        <v>500</v>
      </c>
    </row>
    <row r="863" spans="1:16" x14ac:dyDescent="0.25">
      <c r="A863" s="37" t="s">
        <v>972</v>
      </c>
      <c r="B863" s="37"/>
      <c r="C863" s="40" t="s">
        <v>35</v>
      </c>
      <c r="D863" s="39">
        <v>45868</v>
      </c>
      <c r="E863" s="39">
        <v>46233</v>
      </c>
      <c r="F863" s="37" t="s">
        <v>1660</v>
      </c>
      <c r="G863" s="37" t="s">
        <v>61</v>
      </c>
      <c r="H863" s="41">
        <v>12320</v>
      </c>
      <c r="I863" s="42">
        <v>10190</v>
      </c>
      <c r="J863" s="37" t="s">
        <v>2404</v>
      </c>
      <c r="K863" s="39">
        <v>45502</v>
      </c>
      <c r="L863" s="33" t="s">
        <v>58</v>
      </c>
      <c r="M863" s="41">
        <v>352000</v>
      </c>
      <c r="N863" s="34">
        <f t="shared" si="26"/>
        <v>1630.4</v>
      </c>
      <c r="O863" s="36">
        <f t="shared" si="27"/>
        <v>101.9</v>
      </c>
      <c r="P863" s="35">
        <v>500</v>
      </c>
    </row>
    <row r="864" spans="1:16" x14ac:dyDescent="0.25">
      <c r="A864" s="37" t="s">
        <v>973</v>
      </c>
      <c r="B864" s="37"/>
      <c r="C864" s="40" t="s">
        <v>37</v>
      </c>
      <c r="D864" s="39">
        <v>45502</v>
      </c>
      <c r="E864" s="39">
        <v>45867</v>
      </c>
      <c r="F864" s="37" t="s">
        <v>1661</v>
      </c>
      <c r="G864" s="37" t="s">
        <v>61</v>
      </c>
      <c r="H864" s="41">
        <v>8800</v>
      </c>
      <c r="I864" s="42">
        <v>7155</v>
      </c>
      <c r="J864" s="37" t="s">
        <v>2405</v>
      </c>
      <c r="K864" s="39">
        <v>45502</v>
      </c>
      <c r="L864" s="33" t="s">
        <v>58</v>
      </c>
      <c r="M864" s="41">
        <v>352000</v>
      </c>
      <c r="N864" s="34">
        <f t="shared" si="26"/>
        <v>1144.8</v>
      </c>
      <c r="O864" s="36">
        <f t="shared" si="27"/>
        <v>71.55</v>
      </c>
      <c r="P864" s="35">
        <v>500</v>
      </c>
    </row>
    <row r="865" spans="1:16" x14ac:dyDescent="0.25">
      <c r="A865" s="37" t="s">
        <v>974</v>
      </c>
      <c r="B865" s="37"/>
      <c r="C865" s="40" t="s">
        <v>37</v>
      </c>
      <c r="D865" s="39">
        <v>45502</v>
      </c>
      <c r="E865" s="39">
        <v>45867</v>
      </c>
      <c r="F865" s="37" t="s">
        <v>1662</v>
      </c>
      <c r="G865" s="37" t="s">
        <v>61</v>
      </c>
      <c r="H865" s="41">
        <v>8800</v>
      </c>
      <c r="I865" s="42">
        <v>7155</v>
      </c>
      <c r="J865" s="37" t="s">
        <v>2330</v>
      </c>
      <c r="K865" s="39">
        <v>45502</v>
      </c>
      <c r="L865" s="33" t="s">
        <v>58</v>
      </c>
      <c r="M865" s="41">
        <v>352000</v>
      </c>
      <c r="N865" s="34">
        <f t="shared" si="26"/>
        <v>1144.8</v>
      </c>
      <c r="O865" s="36">
        <f t="shared" si="27"/>
        <v>71.55</v>
      </c>
      <c r="P865" s="35">
        <v>500</v>
      </c>
    </row>
    <row r="866" spans="1:16" x14ac:dyDescent="0.25">
      <c r="A866" s="37" t="s">
        <v>975</v>
      </c>
      <c r="B866" s="37"/>
      <c r="C866" s="40" t="s">
        <v>37</v>
      </c>
      <c r="D866" s="39">
        <v>45502</v>
      </c>
      <c r="E866" s="39">
        <v>45867</v>
      </c>
      <c r="F866" s="37" t="s">
        <v>1663</v>
      </c>
      <c r="G866" s="37" t="s">
        <v>61</v>
      </c>
      <c r="H866" s="41">
        <v>8800</v>
      </c>
      <c r="I866" s="42">
        <v>7155</v>
      </c>
      <c r="J866" s="37" t="s">
        <v>2406</v>
      </c>
      <c r="K866" s="39">
        <v>45502</v>
      </c>
      <c r="L866" s="33" t="s">
        <v>58</v>
      </c>
      <c r="M866" s="41">
        <v>352000</v>
      </c>
      <c r="N866" s="34">
        <f t="shared" si="26"/>
        <v>1144.8</v>
      </c>
      <c r="O866" s="36">
        <f t="shared" si="27"/>
        <v>71.55</v>
      </c>
      <c r="P866" s="35">
        <v>500</v>
      </c>
    </row>
    <row r="867" spans="1:16" x14ac:dyDescent="0.25">
      <c r="A867" s="37" t="s">
        <v>976</v>
      </c>
      <c r="B867" s="37"/>
      <c r="C867" s="40" t="s">
        <v>37</v>
      </c>
      <c r="D867" s="39">
        <v>45502</v>
      </c>
      <c r="E867" s="39">
        <v>45867</v>
      </c>
      <c r="F867" s="37" t="s">
        <v>1664</v>
      </c>
      <c r="G867" s="37" t="s">
        <v>61</v>
      </c>
      <c r="H867" s="41">
        <v>8800</v>
      </c>
      <c r="I867" s="42">
        <v>7155</v>
      </c>
      <c r="J867" s="37" t="s">
        <v>2337</v>
      </c>
      <c r="K867" s="39">
        <v>45502</v>
      </c>
      <c r="L867" s="33" t="s">
        <v>58</v>
      </c>
      <c r="M867" s="41">
        <v>352000</v>
      </c>
      <c r="N867" s="34">
        <f t="shared" si="26"/>
        <v>1144.8</v>
      </c>
      <c r="O867" s="36">
        <f t="shared" si="27"/>
        <v>71.55</v>
      </c>
      <c r="P867" s="35">
        <v>500</v>
      </c>
    </row>
    <row r="868" spans="1:16" x14ac:dyDescent="0.25">
      <c r="A868" s="37" t="s">
        <v>977</v>
      </c>
      <c r="B868" s="37"/>
      <c r="C868" s="40" t="s">
        <v>37</v>
      </c>
      <c r="D868" s="39">
        <v>45502</v>
      </c>
      <c r="E868" s="39">
        <v>45867</v>
      </c>
      <c r="F868" s="37" t="s">
        <v>1665</v>
      </c>
      <c r="G868" s="37" t="s">
        <v>61</v>
      </c>
      <c r="H868" s="41">
        <v>8800</v>
      </c>
      <c r="I868" s="42">
        <v>7155</v>
      </c>
      <c r="J868" s="37" t="s">
        <v>2407</v>
      </c>
      <c r="K868" s="39">
        <v>45502</v>
      </c>
      <c r="L868" s="33" t="s">
        <v>58</v>
      </c>
      <c r="M868" s="41">
        <v>352000</v>
      </c>
      <c r="N868" s="34">
        <f t="shared" si="26"/>
        <v>1144.8</v>
      </c>
      <c r="O868" s="36">
        <f t="shared" si="27"/>
        <v>71.55</v>
      </c>
      <c r="P868" s="35">
        <v>500</v>
      </c>
    </row>
    <row r="869" spans="1:16" x14ac:dyDescent="0.25">
      <c r="A869" s="37" t="s">
        <v>978</v>
      </c>
      <c r="B869" s="37"/>
      <c r="C869" s="40" t="s">
        <v>49</v>
      </c>
      <c r="D869" s="39">
        <v>45502</v>
      </c>
      <c r="E869" s="39">
        <v>45867</v>
      </c>
      <c r="F869" s="37" t="s">
        <v>1666</v>
      </c>
      <c r="G869" s="37" t="s">
        <v>61</v>
      </c>
      <c r="H869" s="41">
        <v>8800</v>
      </c>
      <c r="I869" s="42">
        <v>7155</v>
      </c>
      <c r="J869" s="37" t="s">
        <v>2408</v>
      </c>
      <c r="K869" s="39">
        <v>45502</v>
      </c>
      <c r="L869" s="33" t="s">
        <v>58</v>
      </c>
      <c r="M869" s="41">
        <v>352000</v>
      </c>
      <c r="N869" s="34">
        <f t="shared" si="26"/>
        <v>1144.8</v>
      </c>
      <c r="O869" s="36">
        <f t="shared" si="27"/>
        <v>71.55</v>
      </c>
      <c r="P869" s="35">
        <v>500</v>
      </c>
    </row>
    <row r="870" spans="1:16" x14ac:dyDescent="0.25">
      <c r="A870" s="37" t="s">
        <v>979</v>
      </c>
      <c r="B870" s="37"/>
      <c r="C870" s="40" t="s">
        <v>37</v>
      </c>
      <c r="D870" s="39">
        <v>45502</v>
      </c>
      <c r="E870" s="39">
        <v>45867</v>
      </c>
      <c r="F870" s="37" t="s">
        <v>78</v>
      </c>
      <c r="G870" s="37" t="s">
        <v>61</v>
      </c>
      <c r="H870" s="41">
        <v>8800</v>
      </c>
      <c r="I870" s="42">
        <v>7155</v>
      </c>
      <c r="J870" s="37" t="s">
        <v>2409</v>
      </c>
      <c r="K870" s="39">
        <v>45502</v>
      </c>
      <c r="L870" s="33" t="s">
        <v>58</v>
      </c>
      <c r="M870" s="41">
        <v>352000</v>
      </c>
      <c r="N870" s="34">
        <f t="shared" si="26"/>
        <v>1144.8</v>
      </c>
      <c r="O870" s="36">
        <f t="shared" si="27"/>
        <v>71.55</v>
      </c>
      <c r="P870" s="35">
        <v>500</v>
      </c>
    </row>
    <row r="871" spans="1:16" x14ac:dyDescent="0.25">
      <c r="A871" s="37" t="s">
        <v>980</v>
      </c>
      <c r="B871" s="37"/>
      <c r="C871" s="40" t="s">
        <v>53</v>
      </c>
      <c r="D871" s="39">
        <v>45502</v>
      </c>
      <c r="E871" s="39">
        <v>45867</v>
      </c>
      <c r="F871" s="37" t="s">
        <v>1667</v>
      </c>
      <c r="G871" s="37" t="s">
        <v>61</v>
      </c>
      <c r="H871" s="41">
        <v>8800</v>
      </c>
      <c r="I871" s="42">
        <v>7155</v>
      </c>
      <c r="J871" s="37" t="s">
        <v>2410</v>
      </c>
      <c r="K871" s="39">
        <v>45502</v>
      </c>
      <c r="L871" s="33" t="s">
        <v>58</v>
      </c>
      <c r="M871" s="41">
        <v>352000</v>
      </c>
      <c r="N871" s="34">
        <f t="shared" si="26"/>
        <v>1144.8</v>
      </c>
      <c r="O871" s="36">
        <f t="shared" si="27"/>
        <v>71.55</v>
      </c>
      <c r="P871" s="35">
        <v>500</v>
      </c>
    </row>
    <row r="872" spans="1:16" x14ac:dyDescent="0.25">
      <c r="A872" s="37" t="s">
        <v>981</v>
      </c>
      <c r="B872" s="37"/>
      <c r="C872" s="40" t="s">
        <v>37</v>
      </c>
      <c r="D872" s="39">
        <v>45502</v>
      </c>
      <c r="E872" s="39">
        <v>45867</v>
      </c>
      <c r="F872" s="37" t="s">
        <v>1668</v>
      </c>
      <c r="G872" s="37" t="s">
        <v>61</v>
      </c>
      <c r="H872" s="41">
        <v>8800</v>
      </c>
      <c r="I872" s="42">
        <v>7155</v>
      </c>
      <c r="J872" s="37" t="s">
        <v>2189</v>
      </c>
      <c r="K872" s="39">
        <v>45502</v>
      </c>
      <c r="L872" s="33" t="s">
        <v>58</v>
      </c>
      <c r="M872" s="41">
        <v>352000</v>
      </c>
      <c r="N872" s="34">
        <f t="shared" si="26"/>
        <v>1144.8</v>
      </c>
      <c r="O872" s="36">
        <f t="shared" si="27"/>
        <v>71.55</v>
      </c>
      <c r="P872" s="35">
        <v>500</v>
      </c>
    </row>
    <row r="873" spans="1:16" x14ac:dyDescent="0.25">
      <c r="A873" s="37" t="s">
        <v>982</v>
      </c>
      <c r="B873" s="37"/>
      <c r="C873" s="40" t="s">
        <v>33</v>
      </c>
      <c r="D873" s="39">
        <v>45502</v>
      </c>
      <c r="E873" s="39">
        <v>45867</v>
      </c>
      <c r="F873" s="37" t="s">
        <v>1669</v>
      </c>
      <c r="G873" s="37" t="s">
        <v>62</v>
      </c>
      <c r="H873" s="41">
        <v>13370</v>
      </c>
      <c r="I873" s="42">
        <v>11095</v>
      </c>
      <c r="J873" s="37" t="s">
        <v>2411</v>
      </c>
      <c r="K873" s="39">
        <v>45502</v>
      </c>
      <c r="L873" s="33" t="s">
        <v>58</v>
      </c>
      <c r="M873" s="41">
        <v>382000</v>
      </c>
      <c r="N873" s="34">
        <f t="shared" si="26"/>
        <v>1775.2</v>
      </c>
      <c r="O873" s="36">
        <f t="shared" si="27"/>
        <v>110.95</v>
      </c>
      <c r="P873" s="35">
        <v>500</v>
      </c>
    </row>
    <row r="874" spans="1:16" x14ac:dyDescent="0.25">
      <c r="A874" s="37" t="s">
        <v>983</v>
      </c>
      <c r="B874" s="37"/>
      <c r="C874" s="40" t="s">
        <v>33</v>
      </c>
      <c r="D874" s="39">
        <v>45868</v>
      </c>
      <c r="E874" s="39">
        <v>46233</v>
      </c>
      <c r="F874" s="37" t="s">
        <v>1669</v>
      </c>
      <c r="G874" s="37" t="s">
        <v>62</v>
      </c>
      <c r="H874" s="41">
        <v>13370</v>
      </c>
      <c r="I874" s="42">
        <v>11095</v>
      </c>
      <c r="J874" s="37" t="s">
        <v>2411</v>
      </c>
      <c r="K874" s="39">
        <v>45502</v>
      </c>
      <c r="L874" s="33" t="s">
        <v>58</v>
      </c>
      <c r="M874" s="41">
        <v>382000</v>
      </c>
      <c r="N874" s="34">
        <f t="shared" si="26"/>
        <v>1775.2</v>
      </c>
      <c r="O874" s="36">
        <f t="shared" si="27"/>
        <v>110.95</v>
      </c>
      <c r="P874" s="35">
        <v>500</v>
      </c>
    </row>
    <row r="875" spans="1:16" x14ac:dyDescent="0.25">
      <c r="A875" s="37" t="s">
        <v>984</v>
      </c>
      <c r="B875" s="37"/>
      <c r="C875" s="40" t="s">
        <v>37</v>
      </c>
      <c r="D875" s="39">
        <v>45502</v>
      </c>
      <c r="E875" s="39">
        <v>45867</v>
      </c>
      <c r="F875" s="37" t="s">
        <v>1670</v>
      </c>
      <c r="G875" s="37" t="s">
        <v>63</v>
      </c>
      <c r="H875" s="41">
        <v>13675</v>
      </c>
      <c r="I875" s="42">
        <v>11358</v>
      </c>
      <c r="J875" s="37" t="s">
        <v>2412</v>
      </c>
      <c r="K875" s="39">
        <v>45502</v>
      </c>
      <c r="L875" s="33" t="s">
        <v>58</v>
      </c>
      <c r="M875" s="41">
        <v>547000</v>
      </c>
      <c r="N875" s="34">
        <f t="shared" si="26"/>
        <v>1817.28</v>
      </c>
      <c r="O875" s="36">
        <f t="shared" si="27"/>
        <v>113.58</v>
      </c>
      <c r="P875" s="35">
        <v>500</v>
      </c>
    </row>
    <row r="876" spans="1:16" x14ac:dyDescent="0.25">
      <c r="A876" s="37" t="s">
        <v>985</v>
      </c>
      <c r="B876" s="37"/>
      <c r="C876" s="40" t="s">
        <v>37</v>
      </c>
      <c r="D876" s="39">
        <v>45502</v>
      </c>
      <c r="E876" s="39">
        <v>45867</v>
      </c>
      <c r="F876" s="37" t="s">
        <v>1671</v>
      </c>
      <c r="G876" s="37" t="s">
        <v>64</v>
      </c>
      <c r="H876" s="41">
        <v>12475</v>
      </c>
      <c r="I876" s="42">
        <v>10323</v>
      </c>
      <c r="J876" s="37" t="s">
        <v>2413</v>
      </c>
      <c r="K876" s="39">
        <v>45502</v>
      </c>
      <c r="L876" s="33" t="s">
        <v>58</v>
      </c>
      <c r="M876" s="41">
        <v>499000</v>
      </c>
      <c r="N876" s="34">
        <f t="shared" si="26"/>
        <v>1651.68</v>
      </c>
      <c r="O876" s="36">
        <f t="shared" si="27"/>
        <v>103.23</v>
      </c>
      <c r="P876" s="35">
        <v>500</v>
      </c>
    </row>
    <row r="877" spans="1:16" x14ac:dyDescent="0.25">
      <c r="A877" s="37" t="s">
        <v>986</v>
      </c>
      <c r="B877" s="37"/>
      <c r="C877" s="40" t="s">
        <v>33</v>
      </c>
      <c r="D877" s="39">
        <v>45502</v>
      </c>
      <c r="E877" s="39">
        <v>45867</v>
      </c>
      <c r="F877" s="37" t="s">
        <v>99</v>
      </c>
      <c r="G877" s="37" t="s">
        <v>62</v>
      </c>
      <c r="H877" s="41">
        <v>13370</v>
      </c>
      <c r="I877" s="42">
        <v>11095</v>
      </c>
      <c r="J877" s="37" t="s">
        <v>2414</v>
      </c>
      <c r="K877" s="39">
        <v>45502</v>
      </c>
      <c r="L877" s="33" t="s">
        <v>58</v>
      </c>
      <c r="M877" s="41">
        <v>382000</v>
      </c>
      <c r="N877" s="34">
        <f t="shared" si="26"/>
        <v>1775.2</v>
      </c>
      <c r="O877" s="36">
        <f t="shared" si="27"/>
        <v>110.95</v>
      </c>
      <c r="P877" s="35">
        <v>500</v>
      </c>
    </row>
    <row r="878" spans="1:16" x14ac:dyDescent="0.25">
      <c r="A878" s="37" t="s">
        <v>987</v>
      </c>
      <c r="B878" s="37"/>
      <c r="C878" s="40" t="s">
        <v>33</v>
      </c>
      <c r="D878" s="39">
        <v>45868</v>
      </c>
      <c r="E878" s="39">
        <v>46233</v>
      </c>
      <c r="F878" s="37" t="s">
        <v>99</v>
      </c>
      <c r="G878" s="37" t="s">
        <v>62</v>
      </c>
      <c r="H878" s="41">
        <v>13370</v>
      </c>
      <c r="I878" s="42">
        <v>11095</v>
      </c>
      <c r="J878" s="37" t="s">
        <v>2414</v>
      </c>
      <c r="K878" s="39">
        <v>45502</v>
      </c>
      <c r="L878" s="33" t="s">
        <v>58</v>
      </c>
      <c r="M878" s="41">
        <v>382000</v>
      </c>
      <c r="N878" s="34">
        <f t="shared" si="26"/>
        <v>1775.2</v>
      </c>
      <c r="O878" s="36">
        <f t="shared" si="27"/>
        <v>110.95</v>
      </c>
      <c r="P878" s="35">
        <v>500</v>
      </c>
    </row>
    <row r="879" spans="1:16" x14ac:dyDescent="0.25">
      <c r="A879" s="37" t="s">
        <v>988</v>
      </c>
      <c r="B879" s="37"/>
      <c r="C879" s="40" t="s">
        <v>30</v>
      </c>
      <c r="D879" s="39">
        <v>45502</v>
      </c>
      <c r="E879" s="39">
        <v>45867</v>
      </c>
      <c r="F879" s="37" t="s">
        <v>1397</v>
      </c>
      <c r="G879" s="37" t="s">
        <v>61</v>
      </c>
      <c r="H879" s="41">
        <v>12320</v>
      </c>
      <c r="I879" s="42">
        <v>10190</v>
      </c>
      <c r="J879" s="37" t="s">
        <v>2415</v>
      </c>
      <c r="K879" s="39">
        <v>45502</v>
      </c>
      <c r="L879" s="33" t="s">
        <v>58</v>
      </c>
      <c r="M879" s="41">
        <v>352000</v>
      </c>
      <c r="N879" s="34">
        <f t="shared" si="26"/>
        <v>1630.4</v>
      </c>
      <c r="O879" s="36">
        <f t="shared" si="27"/>
        <v>101.9</v>
      </c>
      <c r="P879" s="35">
        <v>500</v>
      </c>
    </row>
    <row r="880" spans="1:16" x14ac:dyDescent="0.25">
      <c r="A880" s="37" t="s">
        <v>989</v>
      </c>
      <c r="B880" s="37"/>
      <c r="C880" s="40" t="s">
        <v>30</v>
      </c>
      <c r="D880" s="39">
        <v>45868</v>
      </c>
      <c r="E880" s="39">
        <v>46233</v>
      </c>
      <c r="F880" s="37" t="s">
        <v>1397</v>
      </c>
      <c r="G880" s="37" t="s">
        <v>61</v>
      </c>
      <c r="H880" s="41">
        <v>12320</v>
      </c>
      <c r="I880" s="42">
        <v>10190</v>
      </c>
      <c r="J880" s="37" t="s">
        <v>2415</v>
      </c>
      <c r="K880" s="39">
        <v>45502</v>
      </c>
      <c r="L880" s="33" t="s">
        <v>58</v>
      </c>
      <c r="M880" s="41">
        <v>352000</v>
      </c>
      <c r="N880" s="34">
        <f t="shared" si="26"/>
        <v>1630.4</v>
      </c>
      <c r="O880" s="36">
        <f t="shared" si="27"/>
        <v>101.9</v>
      </c>
      <c r="P880" s="35">
        <v>500</v>
      </c>
    </row>
    <row r="881" spans="1:16" x14ac:dyDescent="0.25">
      <c r="A881" s="37" t="s">
        <v>990</v>
      </c>
      <c r="B881" s="37"/>
      <c r="C881" s="40" t="s">
        <v>73</v>
      </c>
      <c r="D881" s="39">
        <v>45502</v>
      </c>
      <c r="E881" s="39">
        <v>45867</v>
      </c>
      <c r="F881" s="37" t="s">
        <v>1672</v>
      </c>
      <c r="G881" s="37" t="s">
        <v>61</v>
      </c>
      <c r="H881" s="41">
        <v>8800</v>
      </c>
      <c r="I881" s="42">
        <v>7155</v>
      </c>
      <c r="J881" s="37" t="s">
        <v>2416</v>
      </c>
      <c r="K881" s="39">
        <v>45502</v>
      </c>
      <c r="L881" s="33" t="s">
        <v>58</v>
      </c>
      <c r="M881" s="41">
        <v>352000</v>
      </c>
      <c r="N881" s="34">
        <f t="shared" si="26"/>
        <v>1144.8</v>
      </c>
      <c r="O881" s="36">
        <f t="shared" si="27"/>
        <v>71.55</v>
      </c>
      <c r="P881" s="35">
        <v>500</v>
      </c>
    </row>
    <row r="882" spans="1:16" x14ac:dyDescent="0.25">
      <c r="A882" s="37" t="s">
        <v>991</v>
      </c>
      <c r="B882" s="37"/>
      <c r="C882" s="40" t="s">
        <v>88</v>
      </c>
      <c r="D882" s="39">
        <v>45502</v>
      </c>
      <c r="E882" s="39">
        <v>45867</v>
      </c>
      <c r="F882" s="37" t="s">
        <v>1673</v>
      </c>
      <c r="G882" s="37" t="s">
        <v>61</v>
      </c>
      <c r="H882" s="41">
        <v>8800</v>
      </c>
      <c r="I882" s="42">
        <v>7155</v>
      </c>
      <c r="J882" s="37" t="s">
        <v>1894</v>
      </c>
      <c r="K882" s="39">
        <v>45502</v>
      </c>
      <c r="L882" s="33" t="s">
        <v>58</v>
      </c>
      <c r="M882" s="41">
        <v>352000</v>
      </c>
      <c r="N882" s="34">
        <f t="shared" si="26"/>
        <v>1144.8</v>
      </c>
      <c r="O882" s="36">
        <f t="shared" si="27"/>
        <v>71.55</v>
      </c>
      <c r="P882" s="35">
        <v>500</v>
      </c>
    </row>
    <row r="883" spans="1:16" x14ac:dyDescent="0.25">
      <c r="A883" s="37" t="s">
        <v>992</v>
      </c>
      <c r="B883" s="37"/>
      <c r="C883" s="40" t="s">
        <v>50</v>
      </c>
      <c r="D883" s="39">
        <v>45502</v>
      </c>
      <c r="E883" s="39">
        <v>45867</v>
      </c>
      <c r="F883" s="37" t="s">
        <v>1674</v>
      </c>
      <c r="G883" s="37" t="s">
        <v>62</v>
      </c>
      <c r="H883" s="41">
        <v>9550</v>
      </c>
      <c r="I883" s="42">
        <v>7802</v>
      </c>
      <c r="J883" s="37" t="s">
        <v>2417</v>
      </c>
      <c r="K883" s="39">
        <v>45502</v>
      </c>
      <c r="L883" s="33" t="s">
        <v>58</v>
      </c>
      <c r="M883" s="41">
        <v>382000</v>
      </c>
      <c r="N883" s="34">
        <f t="shared" si="26"/>
        <v>1248.32</v>
      </c>
      <c r="O883" s="36">
        <f t="shared" si="27"/>
        <v>78.02</v>
      </c>
      <c r="P883" s="35">
        <v>500</v>
      </c>
    </row>
    <row r="884" spans="1:16" x14ac:dyDescent="0.25">
      <c r="A884" s="37" t="s">
        <v>993</v>
      </c>
      <c r="B884" s="37"/>
      <c r="C884" s="40" t="s">
        <v>35</v>
      </c>
      <c r="D884" s="39">
        <v>45502</v>
      </c>
      <c r="E884" s="39">
        <v>45867</v>
      </c>
      <c r="F884" s="37" t="s">
        <v>1675</v>
      </c>
      <c r="G884" s="37" t="s">
        <v>61</v>
      </c>
      <c r="H884" s="41">
        <v>12320</v>
      </c>
      <c r="I884" s="42">
        <v>10190</v>
      </c>
      <c r="J884" s="37" t="s">
        <v>2418</v>
      </c>
      <c r="K884" s="39">
        <v>45502</v>
      </c>
      <c r="L884" s="33" t="s">
        <v>58</v>
      </c>
      <c r="M884" s="41">
        <v>352000</v>
      </c>
      <c r="N884" s="34">
        <f t="shared" si="26"/>
        <v>1630.4</v>
      </c>
      <c r="O884" s="36">
        <f t="shared" si="27"/>
        <v>101.9</v>
      </c>
      <c r="P884" s="35">
        <v>500</v>
      </c>
    </row>
    <row r="885" spans="1:16" x14ac:dyDescent="0.25">
      <c r="A885" s="37" t="s">
        <v>994</v>
      </c>
      <c r="B885" s="37"/>
      <c r="C885" s="40" t="s">
        <v>30</v>
      </c>
      <c r="D885" s="39">
        <v>45502</v>
      </c>
      <c r="E885" s="39">
        <v>45867</v>
      </c>
      <c r="F885" s="37" t="s">
        <v>1676</v>
      </c>
      <c r="G885" s="37" t="s">
        <v>63</v>
      </c>
      <c r="H885" s="41">
        <v>19145</v>
      </c>
      <c r="I885" s="42">
        <v>16073</v>
      </c>
      <c r="J885" s="37" t="s">
        <v>2419</v>
      </c>
      <c r="K885" s="39">
        <v>45502</v>
      </c>
      <c r="L885" s="33" t="s">
        <v>58</v>
      </c>
      <c r="M885" s="41">
        <v>547000</v>
      </c>
      <c r="N885" s="34">
        <f t="shared" si="26"/>
        <v>2571.6799999999998</v>
      </c>
      <c r="O885" s="36">
        <f t="shared" si="27"/>
        <v>160.72999999999999</v>
      </c>
      <c r="P885" s="35">
        <v>500</v>
      </c>
    </row>
    <row r="886" spans="1:16" x14ac:dyDescent="0.25">
      <c r="A886" s="37" t="s">
        <v>995</v>
      </c>
      <c r="B886" s="37"/>
      <c r="C886" s="40" t="s">
        <v>30</v>
      </c>
      <c r="D886" s="39">
        <v>45868</v>
      </c>
      <c r="E886" s="39">
        <v>46233</v>
      </c>
      <c r="F886" s="37" t="s">
        <v>1676</v>
      </c>
      <c r="G886" s="37" t="s">
        <v>63</v>
      </c>
      <c r="H886" s="41">
        <v>19145</v>
      </c>
      <c r="I886" s="42">
        <v>16073</v>
      </c>
      <c r="J886" s="37" t="s">
        <v>2419</v>
      </c>
      <c r="K886" s="39">
        <v>45502</v>
      </c>
      <c r="L886" s="33" t="s">
        <v>58</v>
      </c>
      <c r="M886" s="41">
        <v>547000</v>
      </c>
      <c r="N886" s="34">
        <f t="shared" si="26"/>
        <v>2571.6799999999998</v>
      </c>
      <c r="O886" s="36">
        <f t="shared" si="27"/>
        <v>160.72999999999999</v>
      </c>
      <c r="P886" s="35">
        <v>500</v>
      </c>
    </row>
    <row r="887" spans="1:16" x14ac:dyDescent="0.25">
      <c r="A887" s="37" t="s">
        <v>996</v>
      </c>
      <c r="B887" s="37"/>
      <c r="C887" s="40" t="s">
        <v>37</v>
      </c>
      <c r="D887" s="39">
        <v>45502</v>
      </c>
      <c r="E887" s="39">
        <v>45867</v>
      </c>
      <c r="F887" s="37" t="s">
        <v>1677</v>
      </c>
      <c r="G887" s="37" t="s">
        <v>61</v>
      </c>
      <c r="H887" s="41">
        <v>8800</v>
      </c>
      <c r="I887" s="42">
        <v>7155</v>
      </c>
      <c r="J887" s="37" t="s">
        <v>2420</v>
      </c>
      <c r="K887" s="39">
        <v>45502</v>
      </c>
      <c r="L887" s="33" t="s">
        <v>58</v>
      </c>
      <c r="M887" s="41">
        <v>352000</v>
      </c>
      <c r="N887" s="34">
        <f t="shared" si="26"/>
        <v>1144.8</v>
      </c>
      <c r="O887" s="36">
        <f t="shared" si="27"/>
        <v>71.55</v>
      </c>
      <c r="P887" s="35">
        <v>500</v>
      </c>
    </row>
    <row r="888" spans="1:16" x14ac:dyDescent="0.25">
      <c r="A888" s="37" t="s">
        <v>997</v>
      </c>
      <c r="B888" s="37"/>
      <c r="C888" s="40" t="s">
        <v>37</v>
      </c>
      <c r="D888" s="39">
        <v>45502</v>
      </c>
      <c r="E888" s="39">
        <v>45867</v>
      </c>
      <c r="F888" s="37" t="s">
        <v>106</v>
      </c>
      <c r="G888" s="37" t="s">
        <v>61</v>
      </c>
      <c r="H888" s="41">
        <v>8800</v>
      </c>
      <c r="I888" s="42">
        <v>7155</v>
      </c>
      <c r="J888" s="37" t="s">
        <v>2421</v>
      </c>
      <c r="K888" s="39">
        <v>45502</v>
      </c>
      <c r="L888" s="33" t="s">
        <v>58</v>
      </c>
      <c r="M888" s="41">
        <v>352000</v>
      </c>
      <c r="N888" s="34">
        <f t="shared" si="26"/>
        <v>1144.8</v>
      </c>
      <c r="O888" s="36">
        <f t="shared" si="27"/>
        <v>71.55</v>
      </c>
      <c r="P888" s="35">
        <v>500</v>
      </c>
    </row>
    <row r="889" spans="1:16" x14ac:dyDescent="0.25">
      <c r="A889" s="37" t="s">
        <v>998</v>
      </c>
      <c r="B889" s="37"/>
      <c r="C889" s="40" t="s">
        <v>37</v>
      </c>
      <c r="D889" s="39">
        <v>45502</v>
      </c>
      <c r="E889" s="39">
        <v>45867</v>
      </c>
      <c r="F889" s="37" t="s">
        <v>1678</v>
      </c>
      <c r="G889" s="37" t="s">
        <v>61</v>
      </c>
      <c r="H889" s="41">
        <v>8800</v>
      </c>
      <c r="I889" s="42">
        <v>7155</v>
      </c>
      <c r="J889" s="37" t="s">
        <v>2422</v>
      </c>
      <c r="K889" s="39">
        <v>45502</v>
      </c>
      <c r="L889" s="33" t="s">
        <v>58</v>
      </c>
      <c r="M889" s="41">
        <v>352000</v>
      </c>
      <c r="N889" s="34">
        <f t="shared" si="26"/>
        <v>1144.8</v>
      </c>
      <c r="O889" s="36">
        <f t="shared" si="27"/>
        <v>71.55</v>
      </c>
      <c r="P889" s="35">
        <v>500</v>
      </c>
    </row>
    <row r="890" spans="1:16" x14ac:dyDescent="0.25">
      <c r="A890" s="37" t="s">
        <v>999</v>
      </c>
      <c r="B890" s="37"/>
      <c r="C890" s="40" t="s">
        <v>37</v>
      </c>
      <c r="D890" s="39">
        <v>45502</v>
      </c>
      <c r="E890" s="39">
        <v>45867</v>
      </c>
      <c r="F890" s="37" t="s">
        <v>1679</v>
      </c>
      <c r="G890" s="37" t="s">
        <v>61</v>
      </c>
      <c r="H890" s="41">
        <v>8800</v>
      </c>
      <c r="I890" s="42">
        <v>7155</v>
      </c>
      <c r="J890" s="37" t="s">
        <v>2423</v>
      </c>
      <c r="K890" s="39">
        <v>45502</v>
      </c>
      <c r="L890" s="33" t="s">
        <v>58</v>
      </c>
      <c r="M890" s="41">
        <v>352000</v>
      </c>
      <c r="N890" s="34">
        <f t="shared" si="26"/>
        <v>1144.8</v>
      </c>
      <c r="O890" s="36">
        <f t="shared" si="27"/>
        <v>71.55</v>
      </c>
      <c r="P890" s="35">
        <v>500</v>
      </c>
    </row>
    <row r="891" spans="1:16" x14ac:dyDescent="0.25">
      <c r="A891" s="37" t="s">
        <v>1000</v>
      </c>
      <c r="B891" s="37"/>
      <c r="C891" s="40" t="s">
        <v>37</v>
      </c>
      <c r="D891" s="39">
        <v>45502</v>
      </c>
      <c r="E891" s="39">
        <v>45867</v>
      </c>
      <c r="F891" s="37" t="s">
        <v>1680</v>
      </c>
      <c r="G891" s="37" t="s">
        <v>61</v>
      </c>
      <c r="H891" s="41">
        <v>8800</v>
      </c>
      <c r="I891" s="42">
        <v>7155</v>
      </c>
      <c r="J891" s="37" t="s">
        <v>2424</v>
      </c>
      <c r="K891" s="39">
        <v>45502</v>
      </c>
      <c r="L891" s="33" t="s">
        <v>58</v>
      </c>
      <c r="M891" s="41">
        <v>352000</v>
      </c>
      <c r="N891" s="34">
        <f t="shared" si="26"/>
        <v>1144.8</v>
      </c>
      <c r="O891" s="36">
        <f t="shared" si="27"/>
        <v>71.55</v>
      </c>
      <c r="P891" s="35">
        <v>500</v>
      </c>
    </row>
    <row r="892" spans="1:16" x14ac:dyDescent="0.25">
      <c r="A892" s="37" t="s">
        <v>1001</v>
      </c>
      <c r="B892" s="37"/>
      <c r="C892" s="40" t="s">
        <v>37</v>
      </c>
      <c r="D892" s="39">
        <v>45502</v>
      </c>
      <c r="E892" s="39">
        <v>45867</v>
      </c>
      <c r="F892" s="37" t="s">
        <v>1681</v>
      </c>
      <c r="G892" s="37" t="s">
        <v>61</v>
      </c>
      <c r="H892" s="41">
        <v>8800</v>
      </c>
      <c r="I892" s="42">
        <v>7155</v>
      </c>
      <c r="J892" s="37" t="s">
        <v>2425</v>
      </c>
      <c r="K892" s="39">
        <v>45502</v>
      </c>
      <c r="L892" s="33" t="s">
        <v>58</v>
      </c>
      <c r="M892" s="41">
        <v>352000</v>
      </c>
      <c r="N892" s="34">
        <f t="shared" si="26"/>
        <v>1144.8</v>
      </c>
      <c r="O892" s="36">
        <f t="shared" si="27"/>
        <v>71.55</v>
      </c>
      <c r="P892" s="35">
        <v>500</v>
      </c>
    </row>
    <row r="893" spans="1:16" x14ac:dyDescent="0.25">
      <c r="A893" s="37" t="s">
        <v>1002</v>
      </c>
      <c r="B893" s="37"/>
      <c r="C893" s="40" t="s">
        <v>37</v>
      </c>
      <c r="D893" s="39">
        <v>45503</v>
      </c>
      <c r="E893" s="39">
        <v>45868</v>
      </c>
      <c r="F893" s="37" t="s">
        <v>59</v>
      </c>
      <c r="G893" s="37" t="s">
        <v>61</v>
      </c>
      <c r="H893" s="41">
        <v>8800</v>
      </c>
      <c r="I893" s="42">
        <v>7155</v>
      </c>
      <c r="J893" s="37" t="s">
        <v>2426</v>
      </c>
      <c r="K893" s="39">
        <v>45503</v>
      </c>
      <c r="L893" s="33" t="s">
        <v>58</v>
      </c>
      <c r="M893" s="41">
        <v>352000</v>
      </c>
      <c r="N893" s="34">
        <f t="shared" ref="N893:N950" si="28">I893*16/100</f>
        <v>1144.8</v>
      </c>
      <c r="O893" s="36">
        <f t="shared" ref="O893:O950" si="29">I893*1/100</f>
        <v>71.55</v>
      </c>
      <c r="P893" s="35">
        <v>500</v>
      </c>
    </row>
    <row r="894" spans="1:16" x14ac:dyDescent="0.25">
      <c r="A894" s="37" t="s">
        <v>1003</v>
      </c>
      <c r="B894" s="37"/>
      <c r="C894" s="40" t="s">
        <v>31</v>
      </c>
      <c r="D894" s="39">
        <v>45503</v>
      </c>
      <c r="E894" s="39">
        <v>45868</v>
      </c>
      <c r="F894" s="37" t="s">
        <v>83</v>
      </c>
      <c r="G894" s="37" t="s">
        <v>61</v>
      </c>
      <c r="H894" s="41">
        <v>12320</v>
      </c>
      <c r="I894" s="42">
        <v>10190</v>
      </c>
      <c r="J894" s="37" t="s">
        <v>2427</v>
      </c>
      <c r="K894" s="39">
        <v>45503</v>
      </c>
      <c r="L894" s="33" t="s">
        <v>58</v>
      </c>
      <c r="M894" s="41">
        <v>352000</v>
      </c>
      <c r="N894" s="34">
        <f t="shared" si="28"/>
        <v>1630.4</v>
      </c>
      <c r="O894" s="36">
        <f t="shared" si="29"/>
        <v>101.9</v>
      </c>
      <c r="P894" s="35">
        <v>500</v>
      </c>
    </row>
    <row r="895" spans="1:16" x14ac:dyDescent="0.25">
      <c r="A895" s="37" t="s">
        <v>1004</v>
      </c>
      <c r="B895" s="37"/>
      <c r="C895" s="40" t="s">
        <v>49</v>
      </c>
      <c r="D895" s="39">
        <v>45503</v>
      </c>
      <c r="E895" s="39">
        <v>45868</v>
      </c>
      <c r="F895" s="37" t="s">
        <v>1682</v>
      </c>
      <c r="G895" s="37" t="s">
        <v>62</v>
      </c>
      <c r="H895" s="41">
        <v>9550</v>
      </c>
      <c r="I895" s="42">
        <v>7802</v>
      </c>
      <c r="J895" s="37" t="s">
        <v>2428</v>
      </c>
      <c r="K895" s="39">
        <v>45503</v>
      </c>
      <c r="L895" s="33" t="s">
        <v>58</v>
      </c>
      <c r="M895" s="41">
        <v>382000</v>
      </c>
      <c r="N895" s="34">
        <f t="shared" si="28"/>
        <v>1248.32</v>
      </c>
      <c r="O895" s="36">
        <f t="shared" si="29"/>
        <v>78.02</v>
      </c>
      <c r="P895" s="35">
        <v>500</v>
      </c>
    </row>
    <row r="896" spans="1:16" x14ac:dyDescent="0.25">
      <c r="A896" s="37" t="s">
        <v>1005</v>
      </c>
      <c r="B896" s="37"/>
      <c r="C896" s="40" t="s">
        <v>74</v>
      </c>
      <c r="D896" s="39">
        <v>45503</v>
      </c>
      <c r="E896" s="39">
        <v>45868</v>
      </c>
      <c r="F896" s="37" t="s">
        <v>1683</v>
      </c>
      <c r="G896" s="37" t="s">
        <v>62</v>
      </c>
      <c r="H896" s="41">
        <v>9550</v>
      </c>
      <c r="I896" s="42">
        <v>7802</v>
      </c>
      <c r="J896" s="37" t="s">
        <v>2429</v>
      </c>
      <c r="K896" s="39">
        <v>45503</v>
      </c>
      <c r="L896" s="33" t="s">
        <v>58</v>
      </c>
      <c r="M896" s="41">
        <v>382000</v>
      </c>
      <c r="N896" s="34">
        <f t="shared" si="28"/>
        <v>1248.32</v>
      </c>
      <c r="O896" s="36">
        <f t="shared" si="29"/>
        <v>78.02</v>
      </c>
      <c r="P896" s="35">
        <v>500</v>
      </c>
    </row>
    <row r="897" spans="1:16" x14ac:dyDescent="0.25">
      <c r="A897" s="37" t="s">
        <v>1006</v>
      </c>
      <c r="B897" s="37"/>
      <c r="C897" s="40" t="s">
        <v>74</v>
      </c>
      <c r="D897" s="39">
        <v>45503</v>
      </c>
      <c r="E897" s="39">
        <v>45868</v>
      </c>
      <c r="F897" s="37" t="s">
        <v>1684</v>
      </c>
      <c r="G897" s="37" t="s">
        <v>61</v>
      </c>
      <c r="H897" s="41">
        <v>8800</v>
      </c>
      <c r="I897" s="42">
        <v>7155</v>
      </c>
      <c r="J897" s="37" t="s">
        <v>2430</v>
      </c>
      <c r="K897" s="39">
        <v>45503</v>
      </c>
      <c r="L897" s="33" t="s">
        <v>58</v>
      </c>
      <c r="M897" s="41">
        <v>352000</v>
      </c>
      <c r="N897" s="34">
        <f t="shared" si="28"/>
        <v>1144.8</v>
      </c>
      <c r="O897" s="36">
        <f t="shared" si="29"/>
        <v>71.55</v>
      </c>
      <c r="P897" s="35">
        <v>500</v>
      </c>
    </row>
    <row r="898" spans="1:16" x14ac:dyDescent="0.25">
      <c r="A898" s="37" t="s">
        <v>1007</v>
      </c>
      <c r="B898" s="37"/>
      <c r="C898" s="40" t="s">
        <v>74</v>
      </c>
      <c r="D898" s="39">
        <v>45503</v>
      </c>
      <c r="E898" s="39">
        <v>45868</v>
      </c>
      <c r="F898" s="37" t="s">
        <v>1685</v>
      </c>
      <c r="G898" s="37" t="s">
        <v>63</v>
      </c>
      <c r="H898" s="41">
        <v>13675</v>
      </c>
      <c r="I898" s="42">
        <v>11358</v>
      </c>
      <c r="J898" s="37" t="s">
        <v>2431</v>
      </c>
      <c r="K898" s="39">
        <v>45503</v>
      </c>
      <c r="L898" s="33" t="s">
        <v>58</v>
      </c>
      <c r="M898" s="41">
        <v>547000</v>
      </c>
      <c r="N898" s="34">
        <f t="shared" si="28"/>
        <v>1817.28</v>
      </c>
      <c r="O898" s="36">
        <f t="shared" si="29"/>
        <v>113.58</v>
      </c>
      <c r="P898" s="35">
        <v>500</v>
      </c>
    </row>
    <row r="899" spans="1:16" x14ac:dyDescent="0.25">
      <c r="A899" s="37" t="s">
        <v>1008</v>
      </c>
      <c r="B899" s="37"/>
      <c r="C899" s="40" t="s">
        <v>74</v>
      </c>
      <c r="D899" s="39">
        <v>45503</v>
      </c>
      <c r="E899" s="39">
        <v>45868</v>
      </c>
      <c r="F899" s="37" t="s">
        <v>1685</v>
      </c>
      <c r="G899" s="37" t="s">
        <v>63</v>
      </c>
      <c r="H899" s="41">
        <v>13675</v>
      </c>
      <c r="I899" s="42">
        <v>11358</v>
      </c>
      <c r="J899" s="37" t="s">
        <v>2431</v>
      </c>
      <c r="K899" s="39">
        <v>45503</v>
      </c>
      <c r="L899" s="33" t="s">
        <v>58</v>
      </c>
      <c r="M899" s="41">
        <v>547000</v>
      </c>
      <c r="N899" s="34">
        <f t="shared" si="28"/>
        <v>1817.28</v>
      </c>
      <c r="O899" s="36">
        <f t="shared" si="29"/>
        <v>113.58</v>
      </c>
      <c r="P899" s="35">
        <v>500</v>
      </c>
    </row>
    <row r="900" spans="1:16" x14ac:dyDescent="0.25">
      <c r="A900" s="37" t="s">
        <v>1009</v>
      </c>
      <c r="B900" s="37"/>
      <c r="C900" s="40" t="s">
        <v>74</v>
      </c>
      <c r="D900" s="39">
        <v>45503</v>
      </c>
      <c r="E900" s="39">
        <v>45868</v>
      </c>
      <c r="F900" s="37" t="s">
        <v>1686</v>
      </c>
      <c r="G900" s="37" t="s">
        <v>61</v>
      </c>
      <c r="H900" s="41">
        <v>8800</v>
      </c>
      <c r="I900" s="42">
        <v>7155</v>
      </c>
      <c r="J900" s="37" t="s">
        <v>2432</v>
      </c>
      <c r="K900" s="39">
        <v>45503</v>
      </c>
      <c r="L900" s="33" t="s">
        <v>58</v>
      </c>
      <c r="M900" s="41">
        <v>352000</v>
      </c>
      <c r="N900" s="34">
        <f t="shared" si="28"/>
        <v>1144.8</v>
      </c>
      <c r="O900" s="36">
        <f t="shared" si="29"/>
        <v>71.55</v>
      </c>
      <c r="P900" s="35">
        <v>500</v>
      </c>
    </row>
    <row r="901" spans="1:16" x14ac:dyDescent="0.25">
      <c r="A901" s="37" t="s">
        <v>1010</v>
      </c>
      <c r="B901" s="37"/>
      <c r="C901" s="40" t="s">
        <v>74</v>
      </c>
      <c r="D901" s="39">
        <v>45503</v>
      </c>
      <c r="E901" s="39">
        <v>45868</v>
      </c>
      <c r="F901" s="37" t="s">
        <v>1687</v>
      </c>
      <c r="G901" s="37" t="s">
        <v>62</v>
      </c>
      <c r="H901" s="41">
        <v>9550</v>
      </c>
      <c r="I901" s="42">
        <v>7802</v>
      </c>
      <c r="J901" s="37" t="s">
        <v>2433</v>
      </c>
      <c r="K901" s="39">
        <v>45503</v>
      </c>
      <c r="L901" s="33" t="s">
        <v>58</v>
      </c>
      <c r="M901" s="41">
        <v>382000</v>
      </c>
      <c r="N901" s="34">
        <f t="shared" si="28"/>
        <v>1248.32</v>
      </c>
      <c r="O901" s="36">
        <f t="shared" si="29"/>
        <v>78.02</v>
      </c>
      <c r="P901" s="35">
        <v>500</v>
      </c>
    </row>
    <row r="902" spans="1:16" x14ac:dyDescent="0.25">
      <c r="A902" s="37" t="s">
        <v>1011</v>
      </c>
      <c r="B902" s="37"/>
      <c r="C902" s="40" t="s">
        <v>74</v>
      </c>
      <c r="D902" s="39">
        <v>45503</v>
      </c>
      <c r="E902" s="39">
        <v>45868</v>
      </c>
      <c r="F902" s="37" t="s">
        <v>1688</v>
      </c>
      <c r="G902" s="37" t="s">
        <v>63</v>
      </c>
      <c r="H902" s="41">
        <v>13675</v>
      </c>
      <c r="I902" s="42">
        <v>11358</v>
      </c>
      <c r="J902" s="37" t="s">
        <v>2434</v>
      </c>
      <c r="K902" s="39">
        <v>45503</v>
      </c>
      <c r="L902" s="33" t="s">
        <v>58</v>
      </c>
      <c r="M902" s="41">
        <v>547000</v>
      </c>
      <c r="N902" s="34">
        <f t="shared" si="28"/>
        <v>1817.28</v>
      </c>
      <c r="O902" s="36">
        <f t="shared" si="29"/>
        <v>113.58</v>
      </c>
      <c r="P902" s="35">
        <v>500</v>
      </c>
    </row>
    <row r="903" spans="1:16" x14ac:dyDescent="0.25">
      <c r="A903" s="37" t="s">
        <v>1012</v>
      </c>
      <c r="B903" s="37"/>
      <c r="C903" s="40" t="s">
        <v>74</v>
      </c>
      <c r="D903" s="39">
        <v>45503</v>
      </c>
      <c r="E903" s="39">
        <v>45868</v>
      </c>
      <c r="F903" s="37" t="s">
        <v>1689</v>
      </c>
      <c r="G903" s="37" t="s">
        <v>63</v>
      </c>
      <c r="H903" s="41">
        <v>13675</v>
      </c>
      <c r="I903" s="42">
        <v>11358</v>
      </c>
      <c r="J903" s="37" t="s">
        <v>2435</v>
      </c>
      <c r="K903" s="39">
        <v>45503</v>
      </c>
      <c r="L903" s="33" t="s">
        <v>58</v>
      </c>
      <c r="M903" s="41">
        <v>547000</v>
      </c>
      <c r="N903" s="34">
        <f t="shared" si="28"/>
        <v>1817.28</v>
      </c>
      <c r="O903" s="36">
        <f t="shared" si="29"/>
        <v>113.58</v>
      </c>
      <c r="P903" s="35">
        <v>500</v>
      </c>
    </row>
    <row r="904" spans="1:16" x14ac:dyDescent="0.25">
      <c r="A904" s="37" t="s">
        <v>1013</v>
      </c>
      <c r="B904" s="37"/>
      <c r="C904" s="40" t="s">
        <v>39</v>
      </c>
      <c r="D904" s="39">
        <v>45503</v>
      </c>
      <c r="E904" s="39">
        <v>45868</v>
      </c>
      <c r="F904" s="37" t="s">
        <v>1690</v>
      </c>
      <c r="G904" s="37" t="s">
        <v>61</v>
      </c>
      <c r="H904" s="41">
        <v>12320</v>
      </c>
      <c r="I904" s="42">
        <v>10190</v>
      </c>
      <c r="J904" s="37" t="s">
        <v>2436</v>
      </c>
      <c r="K904" s="39">
        <v>45503</v>
      </c>
      <c r="L904" s="33" t="s">
        <v>58</v>
      </c>
      <c r="M904" s="41">
        <v>352000</v>
      </c>
      <c r="N904" s="34">
        <f t="shared" si="28"/>
        <v>1630.4</v>
      </c>
      <c r="O904" s="36">
        <f t="shared" si="29"/>
        <v>101.9</v>
      </c>
      <c r="P904" s="35">
        <v>500</v>
      </c>
    </row>
    <row r="905" spans="1:16" x14ac:dyDescent="0.25">
      <c r="A905" s="37" t="s">
        <v>1014</v>
      </c>
      <c r="B905" s="37"/>
      <c r="C905" s="40" t="s">
        <v>39</v>
      </c>
      <c r="D905" s="39">
        <v>45869</v>
      </c>
      <c r="E905" s="39">
        <v>46234</v>
      </c>
      <c r="F905" s="37" t="s">
        <v>1690</v>
      </c>
      <c r="G905" s="37" t="s">
        <v>61</v>
      </c>
      <c r="H905" s="41">
        <v>12320</v>
      </c>
      <c r="I905" s="42">
        <v>10190</v>
      </c>
      <c r="J905" s="37" t="s">
        <v>2436</v>
      </c>
      <c r="K905" s="39">
        <v>45503</v>
      </c>
      <c r="L905" s="33" t="s">
        <v>58</v>
      </c>
      <c r="M905" s="41">
        <v>352000</v>
      </c>
      <c r="N905" s="34">
        <f t="shared" si="28"/>
        <v>1630.4</v>
      </c>
      <c r="O905" s="36">
        <f t="shared" si="29"/>
        <v>101.9</v>
      </c>
      <c r="P905" s="35">
        <v>500</v>
      </c>
    </row>
    <row r="906" spans="1:16" x14ac:dyDescent="0.25">
      <c r="A906" s="37" t="s">
        <v>1015</v>
      </c>
      <c r="B906" s="37"/>
      <c r="C906" s="40" t="s">
        <v>30</v>
      </c>
      <c r="D906" s="39">
        <v>45503</v>
      </c>
      <c r="E906" s="39">
        <v>45868</v>
      </c>
      <c r="F906" s="37" t="s">
        <v>1691</v>
      </c>
      <c r="G906" s="37" t="s">
        <v>61</v>
      </c>
      <c r="H906" s="41">
        <v>12320</v>
      </c>
      <c r="I906" s="42">
        <v>10190</v>
      </c>
      <c r="J906" s="37" t="s">
        <v>2437</v>
      </c>
      <c r="K906" s="39">
        <v>45503</v>
      </c>
      <c r="L906" s="33" t="s">
        <v>58</v>
      </c>
      <c r="M906" s="41">
        <v>352000</v>
      </c>
      <c r="N906" s="34">
        <f t="shared" si="28"/>
        <v>1630.4</v>
      </c>
      <c r="O906" s="36">
        <f t="shared" si="29"/>
        <v>101.9</v>
      </c>
      <c r="P906" s="35">
        <v>500</v>
      </c>
    </row>
    <row r="907" spans="1:16" x14ac:dyDescent="0.25">
      <c r="A907" s="37" t="s">
        <v>1016</v>
      </c>
      <c r="B907" s="37"/>
      <c r="C907" s="40" t="s">
        <v>30</v>
      </c>
      <c r="D907" s="39">
        <v>45869</v>
      </c>
      <c r="E907" s="39">
        <v>46234</v>
      </c>
      <c r="F907" s="37" t="s">
        <v>1691</v>
      </c>
      <c r="G907" s="37" t="s">
        <v>61</v>
      </c>
      <c r="H907" s="41">
        <v>12320</v>
      </c>
      <c r="I907" s="42">
        <v>10190</v>
      </c>
      <c r="J907" s="37" t="s">
        <v>2437</v>
      </c>
      <c r="K907" s="39">
        <v>45503</v>
      </c>
      <c r="L907" s="33" t="s">
        <v>58</v>
      </c>
      <c r="M907" s="41">
        <v>352000</v>
      </c>
      <c r="N907" s="34">
        <f t="shared" si="28"/>
        <v>1630.4</v>
      </c>
      <c r="O907" s="36">
        <f t="shared" si="29"/>
        <v>101.9</v>
      </c>
      <c r="P907" s="35">
        <v>500</v>
      </c>
    </row>
    <row r="908" spans="1:16" x14ac:dyDescent="0.25">
      <c r="A908" s="37" t="s">
        <v>1017</v>
      </c>
      <c r="B908" s="37"/>
      <c r="C908" s="40" t="s">
        <v>72</v>
      </c>
      <c r="D908" s="39">
        <v>45503</v>
      </c>
      <c r="E908" s="39">
        <v>45868</v>
      </c>
      <c r="F908" s="37" t="s">
        <v>1692</v>
      </c>
      <c r="G908" s="37" t="s">
        <v>61</v>
      </c>
      <c r="H908" s="41">
        <v>8800</v>
      </c>
      <c r="I908" s="42">
        <v>7155</v>
      </c>
      <c r="J908" s="37" t="s">
        <v>2438</v>
      </c>
      <c r="K908" s="39">
        <v>45503</v>
      </c>
      <c r="L908" s="33" t="s">
        <v>58</v>
      </c>
      <c r="M908" s="41">
        <v>352000</v>
      </c>
      <c r="N908" s="34">
        <f t="shared" si="28"/>
        <v>1144.8</v>
      </c>
      <c r="O908" s="36">
        <f t="shared" si="29"/>
        <v>71.55</v>
      </c>
      <c r="P908" s="35">
        <v>500</v>
      </c>
    </row>
    <row r="909" spans="1:16" x14ac:dyDescent="0.25">
      <c r="A909" s="37" t="s">
        <v>1018</v>
      </c>
      <c r="B909" s="37"/>
      <c r="C909" s="40" t="s">
        <v>87</v>
      </c>
      <c r="D909" s="39">
        <v>45503</v>
      </c>
      <c r="E909" s="39">
        <v>45868</v>
      </c>
      <c r="F909" s="37" t="s">
        <v>1693</v>
      </c>
      <c r="G909" s="37" t="s">
        <v>61</v>
      </c>
      <c r="H909" s="41">
        <v>8800</v>
      </c>
      <c r="I909" s="42">
        <v>7155</v>
      </c>
      <c r="J909" s="37" t="s">
        <v>2439</v>
      </c>
      <c r="K909" s="39">
        <v>45503</v>
      </c>
      <c r="L909" s="33" t="s">
        <v>58</v>
      </c>
      <c r="M909" s="41">
        <v>352000</v>
      </c>
      <c r="N909" s="34">
        <f t="shared" si="28"/>
        <v>1144.8</v>
      </c>
      <c r="O909" s="36">
        <f t="shared" si="29"/>
        <v>71.55</v>
      </c>
      <c r="P909" s="35">
        <v>500</v>
      </c>
    </row>
    <row r="910" spans="1:16" x14ac:dyDescent="0.25">
      <c r="A910" s="37" t="s">
        <v>1019</v>
      </c>
      <c r="B910" s="37"/>
      <c r="C910" s="40" t="s">
        <v>87</v>
      </c>
      <c r="D910" s="39">
        <v>45503</v>
      </c>
      <c r="E910" s="39">
        <v>45868</v>
      </c>
      <c r="F910" s="37" t="s">
        <v>1694</v>
      </c>
      <c r="G910" s="37" t="s">
        <v>61</v>
      </c>
      <c r="H910" s="41">
        <v>8800</v>
      </c>
      <c r="I910" s="42">
        <v>7155</v>
      </c>
      <c r="J910" s="37" t="s">
        <v>2440</v>
      </c>
      <c r="K910" s="39">
        <v>45503</v>
      </c>
      <c r="L910" s="33" t="s">
        <v>58</v>
      </c>
      <c r="M910" s="41">
        <v>352000</v>
      </c>
      <c r="N910" s="34">
        <f t="shared" si="28"/>
        <v>1144.8</v>
      </c>
      <c r="O910" s="36">
        <f t="shared" si="29"/>
        <v>71.55</v>
      </c>
      <c r="P910" s="35">
        <v>500</v>
      </c>
    </row>
    <row r="911" spans="1:16" x14ac:dyDescent="0.25">
      <c r="A911" s="37" t="s">
        <v>1020</v>
      </c>
      <c r="B911" s="37"/>
      <c r="C911" s="40" t="s">
        <v>87</v>
      </c>
      <c r="D911" s="39">
        <v>45503</v>
      </c>
      <c r="E911" s="39">
        <v>45868</v>
      </c>
      <c r="F911" s="37" t="s">
        <v>1695</v>
      </c>
      <c r="G911" s="37" t="s">
        <v>61</v>
      </c>
      <c r="H911" s="41">
        <v>8800</v>
      </c>
      <c r="I911" s="42">
        <v>7155</v>
      </c>
      <c r="J911" s="37" t="s">
        <v>2441</v>
      </c>
      <c r="K911" s="39">
        <v>45503</v>
      </c>
      <c r="L911" s="33" t="s">
        <v>58</v>
      </c>
      <c r="M911" s="41">
        <v>352000</v>
      </c>
      <c r="N911" s="34">
        <f t="shared" si="28"/>
        <v>1144.8</v>
      </c>
      <c r="O911" s="36">
        <f t="shared" si="29"/>
        <v>71.55</v>
      </c>
      <c r="P911" s="35">
        <v>500</v>
      </c>
    </row>
    <row r="912" spans="1:16" x14ac:dyDescent="0.25">
      <c r="A912" s="37" t="s">
        <v>1021</v>
      </c>
      <c r="B912" s="37"/>
      <c r="C912" s="40" t="s">
        <v>39</v>
      </c>
      <c r="D912" s="39">
        <v>45503</v>
      </c>
      <c r="E912" s="39">
        <v>45868</v>
      </c>
      <c r="F912" s="37" t="s">
        <v>1696</v>
      </c>
      <c r="G912" s="37" t="s">
        <v>61</v>
      </c>
      <c r="H912" s="41">
        <v>12320</v>
      </c>
      <c r="I912" s="42">
        <v>10190</v>
      </c>
      <c r="J912" s="37" t="s">
        <v>2442</v>
      </c>
      <c r="K912" s="39">
        <v>45503</v>
      </c>
      <c r="L912" s="33" t="s">
        <v>58</v>
      </c>
      <c r="M912" s="41">
        <v>352000</v>
      </c>
      <c r="N912" s="34">
        <f t="shared" si="28"/>
        <v>1630.4</v>
      </c>
      <c r="O912" s="36">
        <f t="shared" si="29"/>
        <v>101.9</v>
      </c>
      <c r="P912" s="35">
        <v>500</v>
      </c>
    </row>
    <row r="913" spans="1:16" x14ac:dyDescent="0.25">
      <c r="A913" s="37" t="s">
        <v>1022</v>
      </c>
      <c r="B913" s="37"/>
      <c r="C913" s="40" t="s">
        <v>30</v>
      </c>
      <c r="D913" s="39">
        <v>45503</v>
      </c>
      <c r="E913" s="39">
        <v>45868</v>
      </c>
      <c r="F913" s="37" t="s">
        <v>60</v>
      </c>
      <c r="G913" s="37" t="s">
        <v>63</v>
      </c>
      <c r="H913" s="41">
        <v>19145</v>
      </c>
      <c r="I913" s="42">
        <v>16073</v>
      </c>
      <c r="J913" s="37" t="s">
        <v>1758</v>
      </c>
      <c r="K913" s="39">
        <v>45503</v>
      </c>
      <c r="L913" s="33" t="s">
        <v>58</v>
      </c>
      <c r="M913" s="41">
        <v>547000</v>
      </c>
      <c r="N913" s="34">
        <f t="shared" si="28"/>
        <v>2571.6799999999998</v>
      </c>
      <c r="O913" s="36">
        <f t="shared" si="29"/>
        <v>160.72999999999999</v>
      </c>
      <c r="P913" s="35">
        <v>500</v>
      </c>
    </row>
    <row r="914" spans="1:16" x14ac:dyDescent="0.25">
      <c r="A914" s="37" t="s">
        <v>1023</v>
      </c>
      <c r="B914" s="37"/>
      <c r="C914" s="40" t="s">
        <v>30</v>
      </c>
      <c r="D914" s="39">
        <v>45503</v>
      </c>
      <c r="E914" s="39">
        <v>45868</v>
      </c>
      <c r="F914" s="37" t="s">
        <v>1697</v>
      </c>
      <c r="G914" s="37" t="s">
        <v>61</v>
      </c>
      <c r="H914" s="41">
        <v>12320</v>
      </c>
      <c r="I914" s="42">
        <v>10190</v>
      </c>
      <c r="J914" s="37" t="s">
        <v>2443</v>
      </c>
      <c r="K914" s="39">
        <v>45503</v>
      </c>
      <c r="L914" s="33" t="s">
        <v>58</v>
      </c>
      <c r="M914" s="41">
        <v>352000</v>
      </c>
      <c r="N914" s="34">
        <f t="shared" si="28"/>
        <v>1630.4</v>
      </c>
      <c r="O914" s="36">
        <f t="shared" si="29"/>
        <v>101.9</v>
      </c>
      <c r="P914" s="35">
        <v>500</v>
      </c>
    </row>
    <row r="915" spans="1:16" x14ac:dyDescent="0.25">
      <c r="A915" s="37" t="s">
        <v>1024</v>
      </c>
      <c r="B915" s="37"/>
      <c r="C915" s="40" t="s">
        <v>30</v>
      </c>
      <c r="D915" s="39">
        <v>45869</v>
      </c>
      <c r="E915" s="39">
        <v>46234</v>
      </c>
      <c r="F915" s="37" t="s">
        <v>1697</v>
      </c>
      <c r="G915" s="37" t="s">
        <v>61</v>
      </c>
      <c r="H915" s="41">
        <v>12320</v>
      </c>
      <c r="I915" s="42">
        <v>10190</v>
      </c>
      <c r="J915" s="37" t="s">
        <v>2443</v>
      </c>
      <c r="K915" s="39">
        <v>45503</v>
      </c>
      <c r="L915" s="33" t="s">
        <v>58</v>
      </c>
      <c r="M915" s="41">
        <v>352000</v>
      </c>
      <c r="N915" s="34">
        <f t="shared" si="28"/>
        <v>1630.4</v>
      </c>
      <c r="O915" s="36">
        <f t="shared" si="29"/>
        <v>101.9</v>
      </c>
      <c r="P915" s="35">
        <v>500</v>
      </c>
    </row>
    <row r="916" spans="1:16" x14ac:dyDescent="0.25">
      <c r="A916" s="37" t="s">
        <v>1025</v>
      </c>
      <c r="B916" s="37"/>
      <c r="C916" s="40" t="s">
        <v>73</v>
      </c>
      <c r="D916" s="39">
        <v>45503</v>
      </c>
      <c r="E916" s="39">
        <v>45868</v>
      </c>
      <c r="F916" s="37" t="s">
        <v>100</v>
      </c>
      <c r="G916" s="37" t="s">
        <v>61</v>
      </c>
      <c r="H916" s="41">
        <v>8800</v>
      </c>
      <c r="I916" s="42">
        <v>7155</v>
      </c>
      <c r="J916" s="37" t="s">
        <v>2444</v>
      </c>
      <c r="K916" s="39">
        <v>45503</v>
      </c>
      <c r="L916" s="33" t="s">
        <v>58</v>
      </c>
      <c r="M916" s="41">
        <v>352000</v>
      </c>
      <c r="N916" s="34">
        <f t="shared" si="28"/>
        <v>1144.8</v>
      </c>
      <c r="O916" s="36">
        <f t="shared" si="29"/>
        <v>71.55</v>
      </c>
      <c r="P916" s="35">
        <v>500</v>
      </c>
    </row>
    <row r="917" spans="1:16" x14ac:dyDescent="0.25">
      <c r="A917" s="37" t="s">
        <v>1026</v>
      </c>
      <c r="B917" s="37"/>
      <c r="C917" s="40" t="s">
        <v>36</v>
      </c>
      <c r="D917" s="39">
        <v>45503</v>
      </c>
      <c r="E917" s="39">
        <v>45868</v>
      </c>
      <c r="F917" s="37" t="s">
        <v>1698</v>
      </c>
      <c r="G917" s="37" t="s">
        <v>62</v>
      </c>
      <c r="H917" s="41">
        <v>13370</v>
      </c>
      <c r="I917" s="42">
        <v>11095</v>
      </c>
      <c r="J917" s="37" t="s">
        <v>2445</v>
      </c>
      <c r="K917" s="39">
        <v>45503</v>
      </c>
      <c r="L917" s="33" t="s">
        <v>58</v>
      </c>
      <c r="M917" s="41">
        <v>382000</v>
      </c>
      <c r="N917" s="34">
        <f t="shared" si="28"/>
        <v>1775.2</v>
      </c>
      <c r="O917" s="36">
        <f t="shared" si="29"/>
        <v>110.95</v>
      </c>
      <c r="P917" s="35">
        <v>500</v>
      </c>
    </row>
    <row r="918" spans="1:16" x14ac:dyDescent="0.25">
      <c r="A918" s="37" t="s">
        <v>1027</v>
      </c>
      <c r="B918" s="37"/>
      <c r="C918" s="40" t="s">
        <v>39</v>
      </c>
      <c r="D918" s="39">
        <v>45178</v>
      </c>
      <c r="E918" s="39">
        <v>45544</v>
      </c>
      <c r="F918" s="37" t="s">
        <v>1699</v>
      </c>
      <c r="G918" s="37" t="s">
        <v>61</v>
      </c>
      <c r="H918" s="41">
        <v>11725</v>
      </c>
      <c r="I918" s="42">
        <v>9676</v>
      </c>
      <c r="J918" s="37" t="s">
        <v>2446</v>
      </c>
      <c r="K918" s="39">
        <v>45503</v>
      </c>
      <c r="L918" s="33" t="s">
        <v>58</v>
      </c>
      <c r="M918" s="41">
        <v>335000</v>
      </c>
      <c r="N918" s="34">
        <f t="shared" si="28"/>
        <v>1548.16</v>
      </c>
      <c r="O918" s="36">
        <f t="shared" si="29"/>
        <v>96.76</v>
      </c>
      <c r="P918" s="35">
        <v>500</v>
      </c>
    </row>
    <row r="919" spans="1:16" x14ac:dyDescent="0.25">
      <c r="A919" s="37" t="s">
        <v>1028</v>
      </c>
      <c r="B919" s="37"/>
      <c r="C919" s="40" t="s">
        <v>35</v>
      </c>
      <c r="D919" s="39">
        <v>45503</v>
      </c>
      <c r="E919" s="39">
        <v>45868</v>
      </c>
      <c r="F919" s="37" t="s">
        <v>1700</v>
      </c>
      <c r="G919" s="37" t="s">
        <v>64</v>
      </c>
      <c r="H919" s="41">
        <v>17465</v>
      </c>
      <c r="I919" s="42">
        <v>14625</v>
      </c>
      <c r="J919" s="37" t="s">
        <v>2447</v>
      </c>
      <c r="K919" s="39">
        <v>45503</v>
      </c>
      <c r="L919" s="33" t="s">
        <v>58</v>
      </c>
      <c r="M919" s="41">
        <v>499000</v>
      </c>
      <c r="N919" s="34">
        <f t="shared" si="28"/>
        <v>2340</v>
      </c>
      <c r="O919" s="36">
        <f t="shared" si="29"/>
        <v>146.25</v>
      </c>
      <c r="P919" s="35">
        <v>500</v>
      </c>
    </row>
    <row r="920" spans="1:16" x14ac:dyDescent="0.25">
      <c r="A920" s="37" t="s">
        <v>1029</v>
      </c>
      <c r="B920" s="37"/>
      <c r="C920" s="40" t="s">
        <v>39</v>
      </c>
      <c r="D920" s="39">
        <v>44968</v>
      </c>
      <c r="E920" s="39">
        <v>45333</v>
      </c>
      <c r="F920" s="37" t="s">
        <v>1701</v>
      </c>
      <c r="G920" s="37" t="s">
        <v>63</v>
      </c>
      <c r="H920" s="41">
        <v>13475</v>
      </c>
      <c r="I920" s="42">
        <v>11185</v>
      </c>
      <c r="J920" s="37" t="s">
        <v>2448</v>
      </c>
      <c r="K920" s="39">
        <v>45503</v>
      </c>
      <c r="L920" s="33" t="s">
        <v>58</v>
      </c>
      <c r="M920" s="41">
        <v>385000</v>
      </c>
      <c r="N920" s="34">
        <f t="shared" si="28"/>
        <v>1789.6</v>
      </c>
      <c r="O920" s="36">
        <f t="shared" si="29"/>
        <v>111.85</v>
      </c>
      <c r="P920" s="35">
        <v>500</v>
      </c>
    </row>
    <row r="921" spans="1:16" x14ac:dyDescent="0.25">
      <c r="A921" s="37" t="s">
        <v>1030</v>
      </c>
      <c r="B921" s="37"/>
      <c r="C921" s="40" t="s">
        <v>39</v>
      </c>
      <c r="D921" s="39">
        <v>45333</v>
      </c>
      <c r="E921" s="39">
        <v>45699</v>
      </c>
      <c r="F921" s="37" t="s">
        <v>1701</v>
      </c>
      <c r="G921" s="37" t="s">
        <v>63</v>
      </c>
      <c r="H921" s="41">
        <v>13475</v>
      </c>
      <c r="I921" s="42">
        <v>11185</v>
      </c>
      <c r="J921" s="37" t="s">
        <v>2449</v>
      </c>
      <c r="K921" s="39">
        <v>45503</v>
      </c>
      <c r="L921" s="33" t="s">
        <v>58</v>
      </c>
      <c r="M921" s="41">
        <v>385000</v>
      </c>
      <c r="N921" s="34">
        <f t="shared" si="28"/>
        <v>1789.6</v>
      </c>
      <c r="O921" s="36">
        <f t="shared" si="29"/>
        <v>111.85</v>
      </c>
      <c r="P921" s="35">
        <v>500</v>
      </c>
    </row>
    <row r="922" spans="1:16" x14ac:dyDescent="0.25">
      <c r="A922" s="37" t="s">
        <v>1031</v>
      </c>
      <c r="B922" s="37"/>
      <c r="C922" s="40" t="s">
        <v>36</v>
      </c>
      <c r="D922" s="39">
        <v>45503</v>
      </c>
      <c r="E922" s="39">
        <v>45868</v>
      </c>
      <c r="F922" s="37" t="s">
        <v>1702</v>
      </c>
      <c r="G922" s="37" t="s">
        <v>62</v>
      </c>
      <c r="H922" s="41">
        <v>13370</v>
      </c>
      <c r="I922" s="42">
        <v>11095</v>
      </c>
      <c r="J922" s="37" t="s">
        <v>2450</v>
      </c>
      <c r="K922" s="39">
        <v>45503</v>
      </c>
      <c r="L922" s="33" t="s">
        <v>58</v>
      </c>
      <c r="M922" s="41">
        <v>382000</v>
      </c>
      <c r="N922" s="34">
        <f t="shared" si="28"/>
        <v>1775.2</v>
      </c>
      <c r="O922" s="36">
        <f t="shared" si="29"/>
        <v>110.95</v>
      </c>
      <c r="P922" s="35">
        <v>500</v>
      </c>
    </row>
    <row r="923" spans="1:16" x14ac:dyDescent="0.25">
      <c r="A923" s="37" t="s">
        <v>1032</v>
      </c>
      <c r="B923" s="37"/>
      <c r="C923" s="40" t="s">
        <v>36</v>
      </c>
      <c r="D923" s="39">
        <v>45503</v>
      </c>
      <c r="E923" s="39">
        <v>45868</v>
      </c>
      <c r="F923" s="37" t="s">
        <v>1703</v>
      </c>
      <c r="G923" s="37" t="s">
        <v>61</v>
      </c>
      <c r="H923" s="41">
        <v>12320</v>
      </c>
      <c r="I923" s="42">
        <v>10190</v>
      </c>
      <c r="J923" s="37" t="s">
        <v>2451</v>
      </c>
      <c r="K923" s="39">
        <v>45503</v>
      </c>
      <c r="L923" s="33" t="s">
        <v>58</v>
      </c>
      <c r="M923" s="41">
        <v>352000</v>
      </c>
      <c r="N923" s="34">
        <f t="shared" si="28"/>
        <v>1630.4</v>
      </c>
      <c r="O923" s="36">
        <f t="shared" si="29"/>
        <v>101.9</v>
      </c>
      <c r="P923" s="35">
        <v>500</v>
      </c>
    </row>
    <row r="924" spans="1:16" x14ac:dyDescent="0.25">
      <c r="A924" s="37" t="s">
        <v>1033</v>
      </c>
      <c r="B924" s="37"/>
      <c r="C924" s="40" t="s">
        <v>36</v>
      </c>
      <c r="D924" s="39">
        <v>45869</v>
      </c>
      <c r="E924" s="39">
        <v>46234</v>
      </c>
      <c r="F924" s="37" t="s">
        <v>1703</v>
      </c>
      <c r="G924" s="37" t="s">
        <v>61</v>
      </c>
      <c r="H924" s="41">
        <v>12320</v>
      </c>
      <c r="I924" s="42">
        <v>10190</v>
      </c>
      <c r="J924" s="37" t="s">
        <v>2451</v>
      </c>
      <c r="K924" s="39">
        <v>45503</v>
      </c>
      <c r="L924" s="33" t="s">
        <v>58</v>
      </c>
      <c r="M924" s="41">
        <v>352000</v>
      </c>
      <c r="N924" s="34">
        <f t="shared" si="28"/>
        <v>1630.4</v>
      </c>
      <c r="O924" s="36">
        <f t="shared" si="29"/>
        <v>101.9</v>
      </c>
      <c r="P924" s="35">
        <v>500</v>
      </c>
    </row>
    <row r="925" spans="1:16" x14ac:dyDescent="0.25">
      <c r="A925" s="37" t="s">
        <v>1034</v>
      </c>
      <c r="B925" s="37"/>
      <c r="C925" s="40" t="s">
        <v>52</v>
      </c>
      <c r="D925" s="39">
        <v>45503</v>
      </c>
      <c r="E925" s="39">
        <v>45868</v>
      </c>
      <c r="F925" s="37" t="s">
        <v>1704</v>
      </c>
      <c r="G925" s="37" t="s">
        <v>61</v>
      </c>
      <c r="H925" s="41">
        <v>12320</v>
      </c>
      <c r="I925" s="42">
        <v>10190</v>
      </c>
      <c r="J925" s="37" t="s">
        <v>2452</v>
      </c>
      <c r="K925" s="39">
        <v>45503</v>
      </c>
      <c r="L925" s="33" t="s">
        <v>58</v>
      </c>
      <c r="M925" s="41">
        <v>352000</v>
      </c>
      <c r="N925" s="34">
        <f t="shared" si="28"/>
        <v>1630.4</v>
      </c>
      <c r="O925" s="36">
        <f t="shared" si="29"/>
        <v>101.9</v>
      </c>
      <c r="P925" s="35">
        <v>500</v>
      </c>
    </row>
    <row r="926" spans="1:16" x14ac:dyDescent="0.25">
      <c r="A926" s="37" t="s">
        <v>1035</v>
      </c>
      <c r="B926" s="37"/>
      <c r="C926" s="40" t="s">
        <v>52</v>
      </c>
      <c r="D926" s="39">
        <v>45503</v>
      </c>
      <c r="E926" s="39">
        <v>45868</v>
      </c>
      <c r="F926" s="37" t="s">
        <v>1705</v>
      </c>
      <c r="G926" s="37" t="s">
        <v>61</v>
      </c>
      <c r="H926" s="41">
        <v>12320</v>
      </c>
      <c r="I926" s="42">
        <v>10190</v>
      </c>
      <c r="J926" s="37" t="s">
        <v>2453</v>
      </c>
      <c r="K926" s="39">
        <v>45503</v>
      </c>
      <c r="L926" s="33" t="s">
        <v>58</v>
      </c>
      <c r="M926" s="41">
        <v>352000</v>
      </c>
      <c r="N926" s="34">
        <f t="shared" si="28"/>
        <v>1630.4</v>
      </c>
      <c r="O926" s="36">
        <f t="shared" si="29"/>
        <v>101.9</v>
      </c>
      <c r="P926" s="35">
        <v>500</v>
      </c>
    </row>
    <row r="927" spans="1:16" x14ac:dyDescent="0.25">
      <c r="A927" s="37" t="s">
        <v>1036</v>
      </c>
      <c r="B927" s="37"/>
      <c r="C927" s="40" t="s">
        <v>31</v>
      </c>
      <c r="D927" s="39">
        <v>45504</v>
      </c>
      <c r="E927" s="39">
        <v>45869</v>
      </c>
      <c r="F927" s="37" t="s">
        <v>82</v>
      </c>
      <c r="G927" s="37" t="s">
        <v>61</v>
      </c>
      <c r="H927" s="41">
        <v>12320</v>
      </c>
      <c r="I927" s="42">
        <v>10190</v>
      </c>
      <c r="J927" s="37" t="s">
        <v>2454</v>
      </c>
      <c r="K927" s="39">
        <v>45504</v>
      </c>
      <c r="L927" s="33" t="s">
        <v>58</v>
      </c>
      <c r="M927" s="41">
        <v>352000</v>
      </c>
      <c r="N927" s="34">
        <f t="shared" si="28"/>
        <v>1630.4</v>
      </c>
      <c r="O927" s="36">
        <f t="shared" si="29"/>
        <v>101.9</v>
      </c>
      <c r="P927" s="35">
        <v>500</v>
      </c>
    </row>
    <row r="928" spans="1:16" x14ac:dyDescent="0.25">
      <c r="A928" s="37" t="s">
        <v>1037</v>
      </c>
      <c r="B928" s="37"/>
      <c r="C928" s="40" t="s">
        <v>31</v>
      </c>
      <c r="D928" s="39">
        <v>45870</v>
      </c>
      <c r="E928" s="39">
        <v>46235</v>
      </c>
      <c r="F928" s="37" t="s">
        <v>82</v>
      </c>
      <c r="G928" s="37" t="s">
        <v>61</v>
      </c>
      <c r="H928" s="41">
        <v>12320</v>
      </c>
      <c r="I928" s="42">
        <v>10190</v>
      </c>
      <c r="J928" s="37" t="s">
        <v>2454</v>
      </c>
      <c r="K928" s="39">
        <v>45504</v>
      </c>
      <c r="L928" s="33" t="s">
        <v>58</v>
      </c>
      <c r="M928" s="41">
        <v>352000</v>
      </c>
      <c r="N928" s="34">
        <f t="shared" si="28"/>
        <v>1630.4</v>
      </c>
      <c r="O928" s="36">
        <f t="shared" si="29"/>
        <v>101.9</v>
      </c>
      <c r="P928" s="35">
        <v>500</v>
      </c>
    </row>
    <row r="929" spans="1:16" x14ac:dyDescent="0.25">
      <c r="A929" s="37" t="s">
        <v>1038</v>
      </c>
      <c r="B929" s="37"/>
      <c r="C929" s="40" t="s">
        <v>35</v>
      </c>
      <c r="D929" s="39">
        <v>45504</v>
      </c>
      <c r="E929" s="39">
        <v>45869</v>
      </c>
      <c r="F929" s="37" t="s">
        <v>1706</v>
      </c>
      <c r="G929" s="37" t="s">
        <v>61</v>
      </c>
      <c r="H929" s="41">
        <v>12320</v>
      </c>
      <c r="I929" s="42">
        <v>10190</v>
      </c>
      <c r="J929" s="37" t="s">
        <v>2455</v>
      </c>
      <c r="K929" s="39">
        <v>45504</v>
      </c>
      <c r="L929" s="33" t="s">
        <v>58</v>
      </c>
      <c r="M929" s="41">
        <v>352000</v>
      </c>
      <c r="N929" s="34">
        <f t="shared" si="28"/>
        <v>1630.4</v>
      </c>
      <c r="O929" s="36">
        <f t="shared" si="29"/>
        <v>101.9</v>
      </c>
      <c r="P929" s="35">
        <v>500</v>
      </c>
    </row>
    <row r="930" spans="1:16" x14ac:dyDescent="0.25">
      <c r="A930" s="37" t="s">
        <v>1039</v>
      </c>
      <c r="B930" s="37"/>
      <c r="C930" s="40" t="s">
        <v>39</v>
      </c>
      <c r="D930" s="39">
        <v>45504</v>
      </c>
      <c r="E930" s="39">
        <v>45869</v>
      </c>
      <c r="F930" s="37" t="s">
        <v>1707</v>
      </c>
      <c r="G930" s="37" t="s">
        <v>61</v>
      </c>
      <c r="H930" s="41">
        <v>12320</v>
      </c>
      <c r="I930" s="42">
        <v>10190</v>
      </c>
      <c r="J930" s="37" t="s">
        <v>2367</v>
      </c>
      <c r="K930" s="39">
        <v>45504</v>
      </c>
      <c r="L930" s="33" t="s">
        <v>58</v>
      </c>
      <c r="M930" s="41">
        <v>352000</v>
      </c>
      <c r="N930" s="34">
        <f t="shared" si="28"/>
        <v>1630.4</v>
      </c>
      <c r="O930" s="36">
        <f t="shared" si="29"/>
        <v>101.9</v>
      </c>
      <c r="P930" s="35">
        <v>500</v>
      </c>
    </row>
    <row r="931" spans="1:16" x14ac:dyDescent="0.25">
      <c r="A931" s="37" t="s">
        <v>1040</v>
      </c>
      <c r="B931" s="37"/>
      <c r="C931" s="40" t="s">
        <v>39</v>
      </c>
      <c r="D931" s="39">
        <v>45870</v>
      </c>
      <c r="E931" s="39">
        <v>46235</v>
      </c>
      <c r="F931" s="37" t="s">
        <v>1707</v>
      </c>
      <c r="G931" s="37" t="s">
        <v>61</v>
      </c>
      <c r="H931" s="41">
        <v>12320</v>
      </c>
      <c r="I931" s="42">
        <v>10190</v>
      </c>
      <c r="J931" s="37" t="s">
        <v>2367</v>
      </c>
      <c r="K931" s="39">
        <v>45504</v>
      </c>
      <c r="L931" s="33" t="s">
        <v>58</v>
      </c>
      <c r="M931" s="41">
        <v>352000</v>
      </c>
      <c r="N931" s="34">
        <f t="shared" si="28"/>
        <v>1630.4</v>
      </c>
      <c r="O931" s="36">
        <f t="shared" si="29"/>
        <v>101.9</v>
      </c>
      <c r="P931" s="35">
        <v>500</v>
      </c>
    </row>
    <row r="932" spans="1:16" x14ac:dyDescent="0.25">
      <c r="A932" s="37" t="s">
        <v>1041</v>
      </c>
      <c r="B932" s="37"/>
      <c r="C932" s="40" t="s">
        <v>87</v>
      </c>
      <c r="D932" s="39">
        <v>45504</v>
      </c>
      <c r="E932" s="39">
        <v>45869</v>
      </c>
      <c r="F932" s="37" t="s">
        <v>1708</v>
      </c>
      <c r="G932" s="37" t="s">
        <v>61</v>
      </c>
      <c r="H932" s="41">
        <v>8800</v>
      </c>
      <c r="I932" s="42">
        <v>7155</v>
      </c>
      <c r="J932" s="37" t="s">
        <v>2456</v>
      </c>
      <c r="K932" s="39">
        <v>45504</v>
      </c>
      <c r="L932" s="33" t="s">
        <v>58</v>
      </c>
      <c r="M932" s="41">
        <v>352000</v>
      </c>
      <c r="N932" s="34">
        <f t="shared" si="28"/>
        <v>1144.8</v>
      </c>
      <c r="O932" s="36">
        <f t="shared" si="29"/>
        <v>71.55</v>
      </c>
      <c r="P932" s="35">
        <v>500</v>
      </c>
    </row>
    <row r="933" spans="1:16" x14ac:dyDescent="0.25">
      <c r="A933" s="37" t="s">
        <v>1042</v>
      </c>
      <c r="B933" s="37"/>
      <c r="C933" s="40" t="s">
        <v>87</v>
      </c>
      <c r="D933" s="39">
        <v>45504</v>
      </c>
      <c r="E933" s="39">
        <v>45869</v>
      </c>
      <c r="F933" s="37" t="s">
        <v>1709</v>
      </c>
      <c r="G933" s="37" t="s">
        <v>61</v>
      </c>
      <c r="H933" s="41">
        <v>8800</v>
      </c>
      <c r="I933" s="42">
        <v>7155</v>
      </c>
      <c r="J933" s="37" t="s">
        <v>2457</v>
      </c>
      <c r="K933" s="39">
        <v>45504</v>
      </c>
      <c r="L933" s="33" t="s">
        <v>58</v>
      </c>
      <c r="M933" s="41">
        <v>352000</v>
      </c>
      <c r="N933" s="34">
        <f t="shared" si="28"/>
        <v>1144.8</v>
      </c>
      <c r="O933" s="36">
        <f t="shared" si="29"/>
        <v>71.55</v>
      </c>
      <c r="P933" s="35">
        <v>500</v>
      </c>
    </row>
    <row r="934" spans="1:16" x14ac:dyDescent="0.25">
      <c r="A934" s="37" t="s">
        <v>1043</v>
      </c>
      <c r="B934" s="37"/>
      <c r="C934" s="40" t="s">
        <v>87</v>
      </c>
      <c r="D934" s="39">
        <v>45504</v>
      </c>
      <c r="E934" s="39">
        <v>45869</v>
      </c>
      <c r="F934" s="37" t="s">
        <v>1436</v>
      </c>
      <c r="G934" s="37" t="s">
        <v>61</v>
      </c>
      <c r="H934" s="41">
        <v>8800</v>
      </c>
      <c r="I934" s="42">
        <v>7155</v>
      </c>
      <c r="J934" s="37" t="s">
        <v>2458</v>
      </c>
      <c r="K934" s="39">
        <v>45504</v>
      </c>
      <c r="L934" s="33" t="s">
        <v>58</v>
      </c>
      <c r="M934" s="41">
        <v>352000</v>
      </c>
      <c r="N934" s="34">
        <f t="shared" si="28"/>
        <v>1144.8</v>
      </c>
      <c r="O934" s="36">
        <f t="shared" si="29"/>
        <v>71.55</v>
      </c>
      <c r="P934" s="35">
        <v>500</v>
      </c>
    </row>
    <row r="935" spans="1:16" x14ac:dyDescent="0.25">
      <c r="A935" s="37" t="s">
        <v>1044</v>
      </c>
      <c r="B935" s="37"/>
      <c r="C935" s="40" t="s">
        <v>87</v>
      </c>
      <c r="D935" s="39">
        <v>45504</v>
      </c>
      <c r="E935" s="39">
        <v>45869</v>
      </c>
      <c r="F935" s="37" t="s">
        <v>1436</v>
      </c>
      <c r="G935" s="37" t="s">
        <v>61</v>
      </c>
      <c r="H935" s="41">
        <v>8800</v>
      </c>
      <c r="I935" s="42">
        <v>7155</v>
      </c>
      <c r="J935" s="37" t="s">
        <v>2458</v>
      </c>
      <c r="K935" s="39">
        <v>45504</v>
      </c>
      <c r="L935" s="33" t="s">
        <v>58</v>
      </c>
      <c r="M935" s="41">
        <v>352000</v>
      </c>
      <c r="N935" s="34">
        <f t="shared" si="28"/>
        <v>1144.8</v>
      </c>
      <c r="O935" s="36">
        <f t="shared" si="29"/>
        <v>71.55</v>
      </c>
      <c r="P935" s="35">
        <v>500</v>
      </c>
    </row>
    <row r="936" spans="1:16" x14ac:dyDescent="0.25">
      <c r="A936" s="37" t="s">
        <v>1045</v>
      </c>
      <c r="B936" s="37"/>
      <c r="C936" s="40" t="s">
        <v>87</v>
      </c>
      <c r="D936" s="39">
        <v>45504</v>
      </c>
      <c r="E936" s="39">
        <v>45869</v>
      </c>
      <c r="F936" s="37" t="s">
        <v>1710</v>
      </c>
      <c r="G936" s="37" t="s">
        <v>62</v>
      </c>
      <c r="H936" s="41">
        <v>9550</v>
      </c>
      <c r="I936" s="42">
        <v>7802</v>
      </c>
      <c r="J936" s="37" t="s">
        <v>2459</v>
      </c>
      <c r="K936" s="39">
        <v>45504</v>
      </c>
      <c r="L936" s="33" t="s">
        <v>58</v>
      </c>
      <c r="M936" s="41">
        <v>382000</v>
      </c>
      <c r="N936" s="34">
        <f t="shared" si="28"/>
        <v>1248.32</v>
      </c>
      <c r="O936" s="36">
        <f t="shared" si="29"/>
        <v>78.02</v>
      </c>
      <c r="P936" s="35">
        <v>500</v>
      </c>
    </row>
    <row r="937" spans="1:16" x14ac:dyDescent="0.25">
      <c r="A937" s="37" t="s">
        <v>1046</v>
      </c>
      <c r="B937" s="37"/>
      <c r="C937" s="40" t="s">
        <v>87</v>
      </c>
      <c r="D937" s="39">
        <v>45504</v>
      </c>
      <c r="E937" s="39">
        <v>45869</v>
      </c>
      <c r="F937" s="37" t="s">
        <v>1711</v>
      </c>
      <c r="G937" s="37" t="s">
        <v>61</v>
      </c>
      <c r="H937" s="41">
        <v>8800</v>
      </c>
      <c r="I937" s="42">
        <v>7155</v>
      </c>
      <c r="J937" s="37" t="s">
        <v>2460</v>
      </c>
      <c r="K937" s="39">
        <v>45504</v>
      </c>
      <c r="L937" s="33" t="s">
        <v>58</v>
      </c>
      <c r="M937" s="41">
        <v>352000</v>
      </c>
      <c r="N937" s="34">
        <f t="shared" si="28"/>
        <v>1144.8</v>
      </c>
      <c r="O937" s="36">
        <f t="shared" si="29"/>
        <v>71.55</v>
      </c>
      <c r="P937" s="35">
        <v>500</v>
      </c>
    </row>
    <row r="938" spans="1:16" x14ac:dyDescent="0.25">
      <c r="A938" s="37" t="s">
        <v>1047</v>
      </c>
      <c r="B938" s="37"/>
      <c r="C938" s="40" t="s">
        <v>87</v>
      </c>
      <c r="D938" s="39">
        <v>45504</v>
      </c>
      <c r="E938" s="39">
        <v>45869</v>
      </c>
      <c r="F938" s="37" t="s">
        <v>1712</v>
      </c>
      <c r="G938" s="37" t="s">
        <v>62</v>
      </c>
      <c r="H938" s="41">
        <v>9550</v>
      </c>
      <c r="I938" s="42">
        <v>7802</v>
      </c>
      <c r="J938" s="37" t="s">
        <v>2461</v>
      </c>
      <c r="K938" s="39">
        <v>45504</v>
      </c>
      <c r="L938" s="33" t="s">
        <v>58</v>
      </c>
      <c r="M938" s="41">
        <v>382000</v>
      </c>
      <c r="N938" s="34">
        <f t="shared" si="28"/>
        <v>1248.32</v>
      </c>
      <c r="O938" s="36">
        <f t="shared" si="29"/>
        <v>78.02</v>
      </c>
      <c r="P938" s="35">
        <v>500</v>
      </c>
    </row>
    <row r="939" spans="1:16" x14ac:dyDescent="0.25">
      <c r="A939" s="37" t="s">
        <v>1048</v>
      </c>
      <c r="B939" s="37"/>
      <c r="C939" s="40" t="s">
        <v>87</v>
      </c>
      <c r="D939" s="39">
        <v>45504</v>
      </c>
      <c r="E939" s="39">
        <v>45869</v>
      </c>
      <c r="F939" s="37" t="s">
        <v>1713</v>
      </c>
      <c r="G939" s="37" t="s">
        <v>61</v>
      </c>
      <c r="H939" s="41">
        <v>8800</v>
      </c>
      <c r="I939" s="42">
        <v>7155</v>
      </c>
      <c r="J939" s="37" t="s">
        <v>2462</v>
      </c>
      <c r="K939" s="39">
        <v>45504</v>
      </c>
      <c r="L939" s="33" t="s">
        <v>58</v>
      </c>
      <c r="M939" s="41">
        <v>352000</v>
      </c>
      <c r="N939" s="34">
        <f t="shared" si="28"/>
        <v>1144.8</v>
      </c>
      <c r="O939" s="36">
        <f t="shared" si="29"/>
        <v>71.55</v>
      </c>
      <c r="P939" s="35">
        <v>500</v>
      </c>
    </row>
    <row r="940" spans="1:16" x14ac:dyDescent="0.25">
      <c r="A940" s="37" t="s">
        <v>1049</v>
      </c>
      <c r="B940" s="37"/>
      <c r="C940" s="40" t="s">
        <v>87</v>
      </c>
      <c r="D940" s="39">
        <v>45504</v>
      </c>
      <c r="E940" s="39">
        <v>45869</v>
      </c>
      <c r="F940" s="37" t="s">
        <v>1714</v>
      </c>
      <c r="G940" s="37" t="s">
        <v>61</v>
      </c>
      <c r="H940" s="41">
        <v>8800</v>
      </c>
      <c r="I940" s="42">
        <v>7155</v>
      </c>
      <c r="J940" s="37" t="s">
        <v>2087</v>
      </c>
      <c r="K940" s="39">
        <v>45504</v>
      </c>
      <c r="L940" s="33" t="s">
        <v>58</v>
      </c>
      <c r="M940" s="41">
        <v>352000</v>
      </c>
      <c r="N940" s="34">
        <f t="shared" si="28"/>
        <v>1144.8</v>
      </c>
      <c r="O940" s="36">
        <f t="shared" si="29"/>
        <v>71.55</v>
      </c>
      <c r="P940" s="35">
        <v>500</v>
      </c>
    </row>
    <row r="941" spans="1:16" x14ac:dyDescent="0.25">
      <c r="A941" s="37" t="s">
        <v>1050</v>
      </c>
      <c r="B941" s="37"/>
      <c r="C941" s="40" t="s">
        <v>39</v>
      </c>
      <c r="D941" s="39">
        <v>45504</v>
      </c>
      <c r="E941" s="39">
        <v>45869</v>
      </c>
      <c r="F941" s="37" t="s">
        <v>1715</v>
      </c>
      <c r="G941" s="37" t="s">
        <v>62</v>
      </c>
      <c r="H941" s="41">
        <v>13370</v>
      </c>
      <c r="I941" s="42">
        <v>11095</v>
      </c>
      <c r="J941" s="37" t="s">
        <v>2463</v>
      </c>
      <c r="K941" s="39">
        <v>45504</v>
      </c>
      <c r="L941" s="33" t="s">
        <v>58</v>
      </c>
      <c r="M941" s="41">
        <v>382000</v>
      </c>
      <c r="N941" s="34">
        <f t="shared" si="28"/>
        <v>1775.2</v>
      </c>
      <c r="O941" s="36">
        <f t="shared" si="29"/>
        <v>110.95</v>
      </c>
      <c r="P941" s="35">
        <v>500</v>
      </c>
    </row>
    <row r="942" spans="1:16" x14ac:dyDescent="0.25">
      <c r="A942" s="37" t="s">
        <v>1051</v>
      </c>
      <c r="B942" s="37"/>
      <c r="C942" s="40" t="s">
        <v>35</v>
      </c>
      <c r="D942" s="39">
        <v>45504</v>
      </c>
      <c r="E942" s="39">
        <v>45869</v>
      </c>
      <c r="F942" s="37" t="s">
        <v>1716</v>
      </c>
      <c r="G942" s="37" t="s">
        <v>61</v>
      </c>
      <c r="H942" s="41">
        <v>12320</v>
      </c>
      <c r="I942" s="42">
        <v>10190</v>
      </c>
      <c r="J942" s="37" t="s">
        <v>2464</v>
      </c>
      <c r="K942" s="39">
        <v>45504</v>
      </c>
      <c r="L942" s="33" t="s">
        <v>58</v>
      </c>
      <c r="M942" s="41">
        <v>352000</v>
      </c>
      <c r="N942" s="34">
        <f t="shared" si="28"/>
        <v>1630.4</v>
      </c>
      <c r="O942" s="36">
        <f t="shared" si="29"/>
        <v>101.9</v>
      </c>
      <c r="P942" s="35">
        <v>500</v>
      </c>
    </row>
    <row r="943" spans="1:16" x14ac:dyDescent="0.25">
      <c r="A943" s="37" t="s">
        <v>1052</v>
      </c>
      <c r="B943" s="37"/>
      <c r="C943" s="40" t="s">
        <v>35</v>
      </c>
      <c r="D943" s="39">
        <v>45870</v>
      </c>
      <c r="E943" s="39">
        <v>46235</v>
      </c>
      <c r="F943" s="37" t="s">
        <v>1716</v>
      </c>
      <c r="G943" s="37" t="s">
        <v>61</v>
      </c>
      <c r="H943" s="41">
        <v>12320</v>
      </c>
      <c r="I943" s="42">
        <v>10190</v>
      </c>
      <c r="J943" s="37" t="s">
        <v>2464</v>
      </c>
      <c r="K943" s="39">
        <v>45504</v>
      </c>
      <c r="L943" s="33" t="s">
        <v>58</v>
      </c>
      <c r="M943" s="41">
        <v>352000</v>
      </c>
      <c r="N943" s="34">
        <f t="shared" si="28"/>
        <v>1630.4</v>
      </c>
      <c r="O943" s="36">
        <f t="shared" si="29"/>
        <v>101.9</v>
      </c>
      <c r="P943" s="35">
        <v>500</v>
      </c>
    </row>
    <row r="944" spans="1:16" x14ac:dyDescent="0.25">
      <c r="A944" s="37" t="s">
        <v>1053</v>
      </c>
      <c r="B944" s="37"/>
      <c r="C944" s="40" t="s">
        <v>30</v>
      </c>
      <c r="D944" s="39">
        <v>45504</v>
      </c>
      <c r="E944" s="39">
        <v>45869</v>
      </c>
      <c r="F944" s="37" t="s">
        <v>1717</v>
      </c>
      <c r="G944" s="37" t="s">
        <v>61</v>
      </c>
      <c r="H944" s="41">
        <v>12320</v>
      </c>
      <c r="I944" s="42">
        <v>10190</v>
      </c>
      <c r="J944" s="37" t="s">
        <v>2465</v>
      </c>
      <c r="K944" s="39">
        <v>45504</v>
      </c>
      <c r="L944" s="33" t="s">
        <v>58</v>
      </c>
      <c r="M944" s="41">
        <v>352000</v>
      </c>
      <c r="N944" s="34">
        <f t="shared" si="28"/>
        <v>1630.4</v>
      </c>
      <c r="O944" s="36">
        <f t="shared" si="29"/>
        <v>101.9</v>
      </c>
      <c r="P944" s="35">
        <v>500</v>
      </c>
    </row>
    <row r="945" spans="1:16" x14ac:dyDescent="0.25">
      <c r="A945" s="37" t="s">
        <v>1054</v>
      </c>
      <c r="B945" s="37"/>
      <c r="C945" s="40" t="s">
        <v>30</v>
      </c>
      <c r="D945" s="39">
        <v>45504</v>
      </c>
      <c r="E945" s="39">
        <v>45869</v>
      </c>
      <c r="F945" s="37" t="s">
        <v>1718</v>
      </c>
      <c r="G945" s="37" t="s">
        <v>61</v>
      </c>
      <c r="H945" s="41">
        <v>12320</v>
      </c>
      <c r="I945" s="42">
        <v>10190</v>
      </c>
      <c r="J945" s="37" t="s">
        <v>2466</v>
      </c>
      <c r="K945" s="39">
        <v>45504</v>
      </c>
      <c r="L945" s="33" t="s">
        <v>58</v>
      </c>
      <c r="M945" s="41">
        <v>352000</v>
      </c>
      <c r="N945" s="34">
        <f t="shared" si="28"/>
        <v>1630.4</v>
      </c>
      <c r="O945" s="36">
        <f t="shared" si="29"/>
        <v>101.9</v>
      </c>
      <c r="P945" s="35">
        <v>500</v>
      </c>
    </row>
    <row r="946" spans="1:16" x14ac:dyDescent="0.25">
      <c r="A946" s="37" t="s">
        <v>1055</v>
      </c>
      <c r="B946" s="37"/>
      <c r="C946" s="40" t="s">
        <v>31</v>
      </c>
      <c r="D946" s="39">
        <v>45504</v>
      </c>
      <c r="E946" s="39">
        <v>45869</v>
      </c>
      <c r="F946" s="37" t="s">
        <v>1719</v>
      </c>
      <c r="G946" s="37" t="s">
        <v>62</v>
      </c>
      <c r="H946" s="41">
        <v>13370</v>
      </c>
      <c r="I946" s="42">
        <v>11095</v>
      </c>
      <c r="J946" s="37" t="s">
        <v>2467</v>
      </c>
      <c r="K946" s="39">
        <v>45504</v>
      </c>
      <c r="L946" s="33" t="s">
        <v>58</v>
      </c>
      <c r="M946" s="41">
        <v>382000</v>
      </c>
      <c r="N946" s="34">
        <f t="shared" si="28"/>
        <v>1775.2</v>
      </c>
      <c r="O946" s="36">
        <f t="shared" si="29"/>
        <v>110.95</v>
      </c>
      <c r="P946" s="35">
        <v>500</v>
      </c>
    </row>
    <row r="947" spans="1:16" x14ac:dyDescent="0.25">
      <c r="A947" s="37" t="s">
        <v>1056</v>
      </c>
      <c r="B947" s="37"/>
      <c r="C947" s="40" t="s">
        <v>31</v>
      </c>
      <c r="D947" s="39">
        <v>45870</v>
      </c>
      <c r="E947" s="39">
        <v>46235</v>
      </c>
      <c r="F947" s="37" t="s">
        <v>1719</v>
      </c>
      <c r="G947" s="37" t="s">
        <v>62</v>
      </c>
      <c r="H947" s="41">
        <v>13370</v>
      </c>
      <c r="I947" s="42">
        <v>11095</v>
      </c>
      <c r="J947" s="37" t="s">
        <v>2467</v>
      </c>
      <c r="K947" s="39">
        <v>45504</v>
      </c>
      <c r="L947" s="33" t="s">
        <v>58</v>
      </c>
      <c r="M947" s="41">
        <v>382000</v>
      </c>
      <c r="N947" s="34">
        <f t="shared" si="28"/>
        <v>1775.2</v>
      </c>
      <c r="O947" s="36">
        <f t="shared" si="29"/>
        <v>110.95</v>
      </c>
      <c r="P947" s="35">
        <v>500</v>
      </c>
    </row>
    <row r="948" spans="1:16" x14ac:dyDescent="0.25">
      <c r="A948" s="38" t="s">
        <v>1057</v>
      </c>
      <c r="B948" s="37"/>
      <c r="C948" s="40" t="s">
        <v>33</v>
      </c>
      <c r="D948" s="39">
        <v>45504</v>
      </c>
      <c r="E948" s="39">
        <v>45869</v>
      </c>
      <c r="F948" s="37" t="s">
        <v>1720</v>
      </c>
      <c r="G948" s="37" t="s">
        <v>63</v>
      </c>
      <c r="H948" s="43">
        <v>19145</v>
      </c>
      <c r="I948" s="43">
        <v>16073</v>
      </c>
      <c r="J948" s="37" t="s">
        <v>2468</v>
      </c>
      <c r="K948" s="39">
        <v>45505</v>
      </c>
      <c r="L948" s="33" t="s">
        <v>58</v>
      </c>
      <c r="M948" s="41">
        <v>547000</v>
      </c>
      <c r="N948" s="34">
        <f t="shared" si="28"/>
        <v>2571.6799999999998</v>
      </c>
      <c r="O948" s="36">
        <f t="shared" si="29"/>
        <v>160.72999999999999</v>
      </c>
      <c r="P948" s="35">
        <v>500</v>
      </c>
    </row>
    <row r="949" spans="1:16" x14ac:dyDescent="0.25">
      <c r="A949" s="38" t="s">
        <v>1058</v>
      </c>
      <c r="B949" s="37"/>
      <c r="C949" s="40" t="s">
        <v>1074</v>
      </c>
      <c r="D949" s="39">
        <v>45504</v>
      </c>
      <c r="E949" s="39">
        <v>45869</v>
      </c>
      <c r="F949" s="37" t="s">
        <v>1721</v>
      </c>
      <c r="G949" s="37" t="s">
        <v>61</v>
      </c>
      <c r="H949" s="43">
        <v>12320</v>
      </c>
      <c r="I949" s="43">
        <v>10190</v>
      </c>
      <c r="J949" s="37" t="s">
        <v>2469</v>
      </c>
      <c r="K949" s="39">
        <v>45505</v>
      </c>
      <c r="L949" s="33" t="s">
        <v>58</v>
      </c>
      <c r="M949" s="41">
        <v>352000</v>
      </c>
      <c r="N949" s="34">
        <f t="shared" si="28"/>
        <v>1630.4</v>
      </c>
      <c r="O949" s="36">
        <f t="shared" si="29"/>
        <v>101.9</v>
      </c>
      <c r="P949" s="35">
        <v>500</v>
      </c>
    </row>
    <row r="950" spans="1:16" x14ac:dyDescent="0.25">
      <c r="A950" s="38" t="s">
        <v>1059</v>
      </c>
      <c r="B950" s="37"/>
      <c r="C950" s="40" t="s">
        <v>30</v>
      </c>
      <c r="D950" s="39">
        <v>45504</v>
      </c>
      <c r="E950" s="39">
        <v>45869</v>
      </c>
      <c r="F950" s="37" t="s">
        <v>1722</v>
      </c>
      <c r="G950" s="37" t="s">
        <v>61</v>
      </c>
      <c r="H950" s="43">
        <v>12320</v>
      </c>
      <c r="I950" s="43">
        <v>10190</v>
      </c>
      <c r="J950" s="37" t="s">
        <v>2470</v>
      </c>
      <c r="K950" s="39">
        <v>45505</v>
      </c>
      <c r="L950" s="33" t="s">
        <v>58</v>
      </c>
      <c r="M950" s="41">
        <v>352000</v>
      </c>
      <c r="N950" s="34">
        <f t="shared" si="28"/>
        <v>1630.4</v>
      </c>
      <c r="O950" s="36">
        <f t="shared" si="29"/>
        <v>101.9</v>
      </c>
      <c r="P950" s="35">
        <v>500</v>
      </c>
    </row>
    <row r="951" spans="1:16" x14ac:dyDescent="0.25">
      <c r="A951" s="38" t="s">
        <v>1060</v>
      </c>
      <c r="B951" s="37"/>
      <c r="C951" s="40" t="s">
        <v>1074</v>
      </c>
      <c r="D951" s="39">
        <v>45504</v>
      </c>
      <c r="E951" s="39">
        <v>45868</v>
      </c>
      <c r="F951" s="37" t="s">
        <v>1723</v>
      </c>
      <c r="G951" s="37" t="s">
        <v>62</v>
      </c>
      <c r="H951" s="43">
        <v>13370</v>
      </c>
      <c r="I951" s="43">
        <v>11095</v>
      </c>
      <c r="J951" s="37" t="s">
        <v>2471</v>
      </c>
      <c r="K951" s="39">
        <v>45505</v>
      </c>
      <c r="L951" s="33" t="s">
        <v>58</v>
      </c>
      <c r="M951" s="41">
        <v>382000</v>
      </c>
      <c r="N951" s="34">
        <f t="shared" ref="N951:N961" si="30">I951*16/100</f>
        <v>1775.2</v>
      </c>
      <c r="O951" s="36">
        <f t="shared" ref="O951:O961" si="31">I951*1/100</f>
        <v>110.95</v>
      </c>
      <c r="P951" s="35">
        <v>500</v>
      </c>
    </row>
    <row r="952" spans="1:16" x14ac:dyDescent="0.25">
      <c r="A952" s="38" t="s">
        <v>1061</v>
      </c>
      <c r="B952" s="37"/>
      <c r="C952" s="40" t="s">
        <v>1074</v>
      </c>
      <c r="D952" s="39">
        <v>45869</v>
      </c>
      <c r="E952" s="39">
        <v>46233</v>
      </c>
      <c r="F952" s="37" t="s">
        <v>1723</v>
      </c>
      <c r="G952" s="37" t="s">
        <v>62</v>
      </c>
      <c r="H952" s="43">
        <v>13370</v>
      </c>
      <c r="I952" s="43">
        <v>11095</v>
      </c>
      <c r="J952" s="37" t="s">
        <v>2471</v>
      </c>
      <c r="K952" s="39">
        <v>45505</v>
      </c>
      <c r="L952" s="33" t="s">
        <v>58</v>
      </c>
      <c r="M952" s="41">
        <v>382000</v>
      </c>
      <c r="N952" s="34">
        <f t="shared" si="30"/>
        <v>1775.2</v>
      </c>
      <c r="O952" s="36">
        <f t="shared" si="31"/>
        <v>110.95</v>
      </c>
      <c r="P952" s="35">
        <v>500</v>
      </c>
    </row>
    <row r="953" spans="1:16" x14ac:dyDescent="0.25">
      <c r="A953" s="37" t="s">
        <v>1062</v>
      </c>
      <c r="B953" s="37"/>
      <c r="C953" s="40" t="s">
        <v>1074</v>
      </c>
      <c r="D953" s="39">
        <v>45504</v>
      </c>
      <c r="E953" s="39">
        <v>45869</v>
      </c>
      <c r="F953" s="37" t="s">
        <v>1724</v>
      </c>
      <c r="G953" s="37" t="s">
        <v>61</v>
      </c>
      <c r="H953" s="43">
        <v>12320</v>
      </c>
      <c r="I953" s="43">
        <v>10190</v>
      </c>
      <c r="J953" s="44" t="s">
        <v>2483</v>
      </c>
      <c r="K953" s="39">
        <v>45505</v>
      </c>
      <c r="L953" s="33" t="s">
        <v>58</v>
      </c>
      <c r="M953" s="41">
        <v>352000</v>
      </c>
      <c r="N953" s="34">
        <f t="shared" si="30"/>
        <v>1630.4</v>
      </c>
      <c r="O953" s="36">
        <f t="shared" si="31"/>
        <v>101.9</v>
      </c>
      <c r="P953" s="35">
        <v>500</v>
      </c>
    </row>
    <row r="954" spans="1:16" x14ac:dyDescent="0.25">
      <c r="A954" s="37" t="s">
        <v>1063</v>
      </c>
      <c r="B954" s="37"/>
      <c r="C954" s="40" t="s">
        <v>1074</v>
      </c>
      <c r="D954" s="39">
        <v>45504</v>
      </c>
      <c r="E954" s="39">
        <v>45869</v>
      </c>
      <c r="F954" s="37" t="s">
        <v>1725</v>
      </c>
      <c r="G954" s="37" t="s">
        <v>62</v>
      </c>
      <c r="H954" s="43">
        <v>13370</v>
      </c>
      <c r="I954" s="43">
        <v>11095</v>
      </c>
      <c r="J954" s="37" t="s">
        <v>2472</v>
      </c>
      <c r="K954" s="39">
        <v>45505</v>
      </c>
      <c r="L954" s="33" t="s">
        <v>58</v>
      </c>
      <c r="M954" s="41">
        <v>382000</v>
      </c>
      <c r="N954" s="34">
        <f t="shared" si="30"/>
        <v>1775.2</v>
      </c>
      <c r="O954" s="36">
        <f t="shared" si="31"/>
        <v>110.95</v>
      </c>
      <c r="P954" s="35">
        <v>500</v>
      </c>
    </row>
    <row r="955" spans="1:16" x14ac:dyDescent="0.25">
      <c r="A955" s="37" t="s">
        <v>1064</v>
      </c>
      <c r="B955" s="37"/>
      <c r="C955" s="40" t="s">
        <v>1075</v>
      </c>
      <c r="D955" s="39">
        <v>45869</v>
      </c>
      <c r="E955" s="39">
        <v>46234</v>
      </c>
      <c r="F955" s="37" t="s">
        <v>1726</v>
      </c>
      <c r="G955" s="37" t="s">
        <v>61</v>
      </c>
      <c r="H955" s="43">
        <v>12320</v>
      </c>
      <c r="I955" s="43">
        <v>10190</v>
      </c>
      <c r="J955" s="37" t="s">
        <v>2473</v>
      </c>
      <c r="K955" s="39">
        <v>45505</v>
      </c>
      <c r="L955" s="33" t="s">
        <v>58</v>
      </c>
      <c r="M955" s="41">
        <v>352000</v>
      </c>
      <c r="N955" s="34">
        <f t="shared" si="30"/>
        <v>1630.4</v>
      </c>
      <c r="O955" s="36">
        <f t="shared" si="31"/>
        <v>101.9</v>
      </c>
      <c r="P955" s="35">
        <v>500</v>
      </c>
    </row>
    <row r="956" spans="1:16" x14ac:dyDescent="0.25">
      <c r="A956" s="37" t="s">
        <v>1065</v>
      </c>
      <c r="B956" s="37"/>
      <c r="C956" s="40" t="s">
        <v>1074</v>
      </c>
      <c r="D956" s="39">
        <v>45504</v>
      </c>
      <c r="E956" s="39">
        <v>45869</v>
      </c>
      <c r="F956" s="37" t="s">
        <v>1727</v>
      </c>
      <c r="G956" s="37" t="s">
        <v>63</v>
      </c>
      <c r="H956" s="43">
        <v>19145</v>
      </c>
      <c r="I956" s="43">
        <v>16073</v>
      </c>
      <c r="J956" s="37" t="s">
        <v>2474</v>
      </c>
      <c r="K956" s="39">
        <v>45505</v>
      </c>
      <c r="L956" s="33" t="s">
        <v>58</v>
      </c>
      <c r="M956" s="41">
        <v>547000</v>
      </c>
      <c r="N956" s="34">
        <f t="shared" si="30"/>
        <v>2571.6799999999998</v>
      </c>
      <c r="O956" s="36">
        <f t="shared" si="31"/>
        <v>160.72999999999999</v>
      </c>
      <c r="P956" s="35">
        <v>500</v>
      </c>
    </row>
    <row r="957" spans="1:16" x14ac:dyDescent="0.25">
      <c r="A957" s="37" t="s">
        <v>1066</v>
      </c>
      <c r="B957" s="37"/>
      <c r="C957" s="40" t="s">
        <v>1074</v>
      </c>
      <c r="D957" s="39">
        <v>45869</v>
      </c>
      <c r="E957" s="39">
        <v>46234</v>
      </c>
      <c r="F957" s="37" t="s">
        <v>1727</v>
      </c>
      <c r="G957" s="37" t="s">
        <v>63</v>
      </c>
      <c r="H957" s="43">
        <v>19145</v>
      </c>
      <c r="I957" s="43">
        <v>16073</v>
      </c>
      <c r="J957" s="37" t="s">
        <v>2475</v>
      </c>
      <c r="K957" s="39">
        <v>45505</v>
      </c>
      <c r="L957" s="33" t="s">
        <v>58</v>
      </c>
      <c r="M957" s="41">
        <v>547000</v>
      </c>
      <c r="N957" s="34">
        <f t="shared" si="30"/>
        <v>2571.6799999999998</v>
      </c>
      <c r="O957" s="36">
        <f t="shared" si="31"/>
        <v>160.72999999999999</v>
      </c>
      <c r="P957" s="35">
        <v>500</v>
      </c>
    </row>
    <row r="958" spans="1:16" x14ac:dyDescent="0.25">
      <c r="A958" s="37" t="s">
        <v>1067</v>
      </c>
      <c r="B958" s="37"/>
      <c r="C958" s="40" t="s">
        <v>1074</v>
      </c>
      <c r="D958" s="39">
        <v>45504</v>
      </c>
      <c r="E958" s="39">
        <v>45869</v>
      </c>
      <c r="F958" s="37" t="s">
        <v>1728</v>
      </c>
      <c r="G958" s="37" t="s">
        <v>62</v>
      </c>
      <c r="H958" s="43">
        <v>13370</v>
      </c>
      <c r="I958" s="43">
        <v>11095</v>
      </c>
      <c r="J958" s="37" t="s">
        <v>2476</v>
      </c>
      <c r="K958" s="39">
        <v>45505</v>
      </c>
      <c r="L958" s="33" t="s">
        <v>58</v>
      </c>
      <c r="M958" s="41">
        <v>382000</v>
      </c>
      <c r="N958" s="34">
        <f t="shared" si="30"/>
        <v>1775.2</v>
      </c>
      <c r="O958" s="36">
        <f t="shared" si="31"/>
        <v>110.95</v>
      </c>
      <c r="P958" s="35">
        <v>500</v>
      </c>
    </row>
    <row r="959" spans="1:16" x14ac:dyDescent="0.25">
      <c r="A959" s="37" t="s">
        <v>1068</v>
      </c>
      <c r="B959" s="37"/>
      <c r="C959" s="40" t="s">
        <v>1074</v>
      </c>
      <c r="D959" s="39">
        <v>45869</v>
      </c>
      <c r="E959" s="39">
        <v>46233</v>
      </c>
      <c r="F959" s="37" t="s">
        <v>1728</v>
      </c>
      <c r="G959" s="37" t="s">
        <v>62</v>
      </c>
      <c r="H959" s="43">
        <v>13370</v>
      </c>
      <c r="I959" s="43">
        <v>11095</v>
      </c>
      <c r="J959" s="37" t="s">
        <v>2477</v>
      </c>
      <c r="K959" s="39">
        <v>45505</v>
      </c>
      <c r="L959" s="33" t="s">
        <v>58</v>
      </c>
      <c r="M959" s="41">
        <v>382000</v>
      </c>
      <c r="N959" s="34">
        <f t="shared" si="30"/>
        <v>1775.2</v>
      </c>
      <c r="O959" s="36">
        <f t="shared" si="31"/>
        <v>110.95</v>
      </c>
      <c r="P959" s="35">
        <v>500</v>
      </c>
    </row>
    <row r="960" spans="1:16" x14ac:dyDescent="0.25">
      <c r="A960" s="37" t="s">
        <v>1069</v>
      </c>
      <c r="B960" s="37"/>
      <c r="C960" s="40" t="s">
        <v>1074</v>
      </c>
      <c r="D960" s="39">
        <v>45504</v>
      </c>
      <c r="E960" s="39">
        <v>45868</v>
      </c>
      <c r="F960" s="37" t="s">
        <v>1729</v>
      </c>
      <c r="G960" s="37" t="s">
        <v>61</v>
      </c>
      <c r="H960" s="43">
        <v>12320</v>
      </c>
      <c r="I960" s="43">
        <v>10190</v>
      </c>
      <c r="J960" s="37" t="s">
        <v>2478</v>
      </c>
      <c r="K960" s="39">
        <v>45505</v>
      </c>
      <c r="L960" s="33" t="s">
        <v>58</v>
      </c>
      <c r="M960" s="41">
        <v>352000</v>
      </c>
      <c r="N960" s="34">
        <f t="shared" si="30"/>
        <v>1630.4</v>
      </c>
      <c r="O960" s="36">
        <f t="shared" si="31"/>
        <v>101.9</v>
      </c>
      <c r="P960" s="35">
        <v>500</v>
      </c>
    </row>
    <row r="961" spans="1:16" x14ac:dyDescent="0.25">
      <c r="A961" s="37" t="s">
        <v>1070</v>
      </c>
      <c r="B961" s="37"/>
      <c r="C961" s="40" t="s">
        <v>1074</v>
      </c>
      <c r="D961" s="39">
        <v>45869</v>
      </c>
      <c r="E961" s="39">
        <v>46233</v>
      </c>
      <c r="F961" s="37" t="s">
        <v>1729</v>
      </c>
      <c r="G961" s="37" t="s">
        <v>61</v>
      </c>
      <c r="H961" s="43">
        <v>12320</v>
      </c>
      <c r="I961" s="43">
        <v>10190</v>
      </c>
      <c r="J961" s="37" t="s">
        <v>2478</v>
      </c>
      <c r="K961" s="39">
        <v>45505</v>
      </c>
      <c r="L961" s="33" t="s">
        <v>58</v>
      </c>
      <c r="M961" s="41">
        <v>352000</v>
      </c>
      <c r="N961" s="34">
        <f t="shared" si="30"/>
        <v>1630.4</v>
      </c>
      <c r="O961" s="36">
        <f t="shared" si="31"/>
        <v>101.9</v>
      </c>
      <c r="P961" s="35">
        <v>500</v>
      </c>
    </row>
    <row r="962" spans="1:16" x14ac:dyDescent="0.25">
      <c r="A962" s="37" t="s">
        <v>2484</v>
      </c>
      <c r="B962" s="37"/>
      <c r="C962" s="40" t="s">
        <v>53</v>
      </c>
      <c r="D962" s="39">
        <v>45493</v>
      </c>
      <c r="E962" s="39">
        <v>45868</v>
      </c>
      <c r="F962" s="37" t="s">
        <v>2485</v>
      </c>
      <c r="G962" s="37" t="s">
        <v>61</v>
      </c>
      <c r="H962" s="41">
        <v>8800</v>
      </c>
      <c r="I962" s="42">
        <v>7155</v>
      </c>
      <c r="J962" s="45">
        <v>144791</v>
      </c>
      <c r="K962" s="39">
        <v>45493</v>
      </c>
      <c r="L962" s="33" t="s">
        <v>58</v>
      </c>
      <c r="M962" s="41">
        <v>352000</v>
      </c>
      <c r="N962" s="34">
        <f t="shared" ref="N962" si="32">I962*16/100</f>
        <v>1144.8</v>
      </c>
      <c r="O962" s="36">
        <f t="shared" ref="O962" si="33">I962*1/100</f>
        <v>71.55</v>
      </c>
      <c r="P962" s="35">
        <v>500</v>
      </c>
    </row>
  </sheetData>
  <autoFilter ref="A2:P961" xr:uid="{47CF375C-9CAC-4F68-AD57-A0E165361B63}"/>
  <conditionalFormatting sqref="A3:B3 A4:A485 B4:B960">
    <cfRule type="duplicateValues" dxfId="40" priority="573"/>
    <cfRule type="duplicateValues" dxfId="39" priority="574"/>
    <cfRule type="duplicateValues" dxfId="38" priority="575"/>
    <cfRule type="duplicateValues" dxfId="37" priority="576"/>
    <cfRule type="duplicateValues" dxfId="36" priority="577"/>
    <cfRule type="duplicateValues" dxfId="35" priority="578"/>
    <cfRule type="duplicateValues" dxfId="34" priority="579"/>
    <cfRule type="duplicateValues" dxfId="33" priority="580"/>
  </conditionalFormatting>
  <conditionalFormatting sqref="B961:B962">
    <cfRule type="duplicateValues" dxfId="32" priority="1"/>
    <cfRule type="duplicateValues" dxfId="31" priority="2"/>
    <cfRule type="duplicateValues" dxfId="30" priority="3"/>
    <cfRule type="duplicateValues" dxfId="29" priority="4"/>
    <cfRule type="duplicateValues" dxfId="28" priority="5"/>
    <cfRule type="duplicateValues" dxfId="27" priority="6"/>
    <cfRule type="duplicateValues" dxfId="26" priority="7"/>
    <cfRule type="duplicateValues" dxfId="25" priority="8"/>
  </conditionalFormatting>
  <conditionalFormatting sqref="G2">
    <cfRule type="duplicateValues" dxfId="24" priority="73"/>
    <cfRule type="duplicateValues" dxfId="23" priority="74"/>
    <cfRule type="duplicateValues" dxfId="22" priority="75"/>
    <cfRule type="duplicateValues" dxfId="21" priority="76"/>
    <cfRule type="duplicateValues" dxfId="20" priority="77"/>
    <cfRule type="duplicateValues" dxfId="19" priority="78"/>
  </conditionalFormatting>
  <conditionalFormatting sqref="G3:G485">
    <cfRule type="duplicateValues" dxfId="18" priority="560"/>
    <cfRule type="duplicateValues" dxfId="17" priority="561"/>
    <cfRule type="duplicateValues" dxfId="16" priority="562"/>
    <cfRule type="duplicateValues" dxfId="15" priority="563"/>
    <cfRule type="duplicateValues" dxfId="14" priority="564"/>
    <cfRule type="duplicateValues" dxfId="13" priority="565"/>
  </conditionalFormatting>
  <conditionalFormatting sqref="J2">
    <cfRule type="duplicateValues" dxfId="12" priority="72"/>
  </conditionalFormatting>
  <conditionalFormatting sqref="J3:J485">
    <cfRule type="duplicateValues" dxfId="11" priority="572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E1D7-045F-459D-A7CA-D748F3775CC1}">
  <dimension ref="A1:B962"/>
  <sheetViews>
    <sheetView topLeftCell="A951" workbookViewId="0">
      <selection activeCell="A571" sqref="A571"/>
    </sheetView>
  </sheetViews>
  <sheetFormatPr defaultRowHeight="15" x14ac:dyDescent="0.25"/>
  <cols>
    <col min="1" max="1" width="39.85546875" bestFit="1" customWidth="1"/>
    <col min="2" max="2" width="13.85546875" style="46" bestFit="1" customWidth="1"/>
  </cols>
  <sheetData>
    <row r="1" spans="1:2" x14ac:dyDescent="0.25">
      <c r="A1" s="8" t="s">
        <v>17</v>
      </c>
      <c r="B1" s="47" t="s">
        <v>2486</v>
      </c>
    </row>
    <row r="2" spans="1:2" x14ac:dyDescent="0.25">
      <c r="A2" t="s">
        <v>114</v>
      </c>
      <c r="B2" s="46">
        <v>19145</v>
      </c>
    </row>
    <row r="3" spans="1:2" x14ac:dyDescent="0.25">
      <c r="A3" t="s">
        <v>115</v>
      </c>
      <c r="B3" s="46">
        <v>19145</v>
      </c>
    </row>
    <row r="4" spans="1:2" x14ac:dyDescent="0.25">
      <c r="A4" t="s">
        <v>116</v>
      </c>
      <c r="B4" s="46">
        <v>12320</v>
      </c>
    </row>
    <row r="5" spans="1:2" x14ac:dyDescent="0.25">
      <c r="A5" t="s">
        <v>117</v>
      </c>
      <c r="B5" s="46">
        <v>12320</v>
      </c>
    </row>
    <row r="6" spans="1:2" x14ac:dyDescent="0.25">
      <c r="A6" t="s">
        <v>118</v>
      </c>
      <c r="B6" s="46">
        <v>13370</v>
      </c>
    </row>
    <row r="7" spans="1:2" x14ac:dyDescent="0.25">
      <c r="A7" t="s">
        <v>119</v>
      </c>
      <c r="B7" s="46">
        <v>13370</v>
      </c>
    </row>
    <row r="8" spans="1:2" x14ac:dyDescent="0.25">
      <c r="A8" t="s">
        <v>120</v>
      </c>
      <c r="B8" s="46">
        <v>12320</v>
      </c>
    </row>
    <row r="9" spans="1:2" x14ac:dyDescent="0.25">
      <c r="A9" t="s">
        <v>121</v>
      </c>
      <c r="B9" s="46">
        <v>12320</v>
      </c>
    </row>
    <row r="10" spans="1:2" x14ac:dyDescent="0.25">
      <c r="A10" t="s">
        <v>122</v>
      </c>
      <c r="B10" s="46">
        <v>19145</v>
      </c>
    </row>
    <row r="11" spans="1:2" x14ac:dyDescent="0.25">
      <c r="A11" t="s">
        <v>123</v>
      </c>
      <c r="B11" s="46">
        <v>19145</v>
      </c>
    </row>
    <row r="12" spans="1:2" x14ac:dyDescent="0.25">
      <c r="A12" t="s">
        <v>124</v>
      </c>
      <c r="B12" s="46">
        <v>19145</v>
      </c>
    </row>
    <row r="13" spans="1:2" x14ac:dyDescent="0.25">
      <c r="A13" t="s">
        <v>125</v>
      </c>
      <c r="B13" s="46">
        <v>12320</v>
      </c>
    </row>
    <row r="14" spans="1:2" x14ac:dyDescent="0.25">
      <c r="A14" t="s">
        <v>126</v>
      </c>
      <c r="B14" s="46">
        <v>12320</v>
      </c>
    </row>
    <row r="15" spans="1:2" x14ac:dyDescent="0.25">
      <c r="A15" t="s">
        <v>127</v>
      </c>
      <c r="B15" s="46">
        <v>12320</v>
      </c>
    </row>
    <row r="16" spans="1:2" x14ac:dyDescent="0.25">
      <c r="A16" t="s">
        <v>128</v>
      </c>
      <c r="B16" s="46">
        <v>13370</v>
      </c>
    </row>
    <row r="17" spans="1:2" x14ac:dyDescent="0.25">
      <c r="A17" t="s">
        <v>129</v>
      </c>
      <c r="B17" s="46">
        <v>13370</v>
      </c>
    </row>
    <row r="18" spans="1:2" x14ac:dyDescent="0.25">
      <c r="A18" t="s">
        <v>130</v>
      </c>
      <c r="B18" s="46">
        <v>12320</v>
      </c>
    </row>
    <row r="19" spans="1:2" x14ac:dyDescent="0.25">
      <c r="A19" t="s">
        <v>131</v>
      </c>
      <c r="B19" s="46">
        <v>12320</v>
      </c>
    </row>
    <row r="20" spans="1:2" x14ac:dyDescent="0.25">
      <c r="A20" t="s">
        <v>132</v>
      </c>
      <c r="B20" s="46">
        <v>12320</v>
      </c>
    </row>
    <row r="21" spans="1:2" x14ac:dyDescent="0.25">
      <c r="A21" t="s">
        <v>133</v>
      </c>
      <c r="B21" s="46">
        <v>19145</v>
      </c>
    </row>
    <row r="22" spans="1:2" x14ac:dyDescent="0.25">
      <c r="A22" t="s">
        <v>134</v>
      </c>
      <c r="B22" s="46">
        <v>19145</v>
      </c>
    </row>
    <row r="23" spans="1:2" x14ac:dyDescent="0.25">
      <c r="A23" t="s">
        <v>135</v>
      </c>
      <c r="B23" s="46">
        <v>19145</v>
      </c>
    </row>
    <row r="24" spans="1:2" x14ac:dyDescent="0.25">
      <c r="A24" t="s">
        <v>136</v>
      </c>
      <c r="B24" s="46">
        <v>19145</v>
      </c>
    </row>
    <row r="25" spans="1:2" x14ac:dyDescent="0.25">
      <c r="A25" t="s">
        <v>137</v>
      </c>
      <c r="B25" s="46">
        <v>13370</v>
      </c>
    </row>
    <row r="26" spans="1:2" x14ac:dyDescent="0.25">
      <c r="A26" t="s">
        <v>138</v>
      </c>
      <c r="B26" s="46">
        <v>12320</v>
      </c>
    </row>
    <row r="27" spans="1:2" x14ac:dyDescent="0.25">
      <c r="A27" t="s">
        <v>139</v>
      </c>
      <c r="B27" s="46">
        <v>12320</v>
      </c>
    </row>
    <row r="28" spans="1:2" x14ac:dyDescent="0.25">
      <c r="A28" t="s">
        <v>140</v>
      </c>
      <c r="B28" s="46">
        <v>12320</v>
      </c>
    </row>
    <row r="29" spans="1:2" x14ac:dyDescent="0.25">
      <c r="A29" t="s">
        <v>141</v>
      </c>
      <c r="B29" s="46">
        <v>12320</v>
      </c>
    </row>
    <row r="30" spans="1:2" x14ac:dyDescent="0.25">
      <c r="A30" t="s">
        <v>142</v>
      </c>
      <c r="B30" s="46">
        <v>12320</v>
      </c>
    </row>
    <row r="31" spans="1:2" x14ac:dyDescent="0.25">
      <c r="A31" t="s">
        <v>143</v>
      </c>
      <c r="B31" s="46">
        <v>19145</v>
      </c>
    </row>
    <row r="32" spans="1:2" x14ac:dyDescent="0.25">
      <c r="A32" t="s">
        <v>144</v>
      </c>
      <c r="B32" s="46">
        <v>13370</v>
      </c>
    </row>
    <row r="33" spans="1:2" x14ac:dyDescent="0.25">
      <c r="A33" t="s">
        <v>145</v>
      </c>
      <c r="B33" s="46">
        <v>13370</v>
      </c>
    </row>
    <row r="34" spans="1:2" x14ac:dyDescent="0.25">
      <c r="A34" t="s">
        <v>146</v>
      </c>
      <c r="B34" s="46">
        <v>13370</v>
      </c>
    </row>
    <row r="35" spans="1:2" x14ac:dyDescent="0.25">
      <c r="A35" t="s">
        <v>147</v>
      </c>
      <c r="B35" s="46">
        <v>19145</v>
      </c>
    </row>
    <row r="36" spans="1:2" x14ac:dyDescent="0.25">
      <c r="A36" t="s">
        <v>148</v>
      </c>
      <c r="B36" s="46">
        <v>19145</v>
      </c>
    </row>
    <row r="37" spans="1:2" x14ac:dyDescent="0.25">
      <c r="A37" t="s">
        <v>149</v>
      </c>
      <c r="B37" s="46">
        <v>13370</v>
      </c>
    </row>
    <row r="38" spans="1:2" x14ac:dyDescent="0.25">
      <c r="A38" t="s">
        <v>150</v>
      </c>
      <c r="B38" s="46">
        <v>13370</v>
      </c>
    </row>
    <row r="39" spans="1:2" x14ac:dyDescent="0.25">
      <c r="A39" t="s">
        <v>151</v>
      </c>
      <c r="B39" s="46">
        <v>12320</v>
      </c>
    </row>
    <row r="40" spans="1:2" x14ac:dyDescent="0.25">
      <c r="A40" t="s">
        <v>152</v>
      </c>
      <c r="B40" s="46">
        <v>12320</v>
      </c>
    </row>
    <row r="41" spans="1:2" x14ac:dyDescent="0.25">
      <c r="A41" t="s">
        <v>153</v>
      </c>
      <c r="B41" s="46">
        <v>13370</v>
      </c>
    </row>
    <row r="42" spans="1:2" x14ac:dyDescent="0.25">
      <c r="A42" t="s">
        <v>154</v>
      </c>
      <c r="B42" s="46">
        <v>13370</v>
      </c>
    </row>
    <row r="43" spans="1:2" x14ac:dyDescent="0.25">
      <c r="A43" t="s">
        <v>155</v>
      </c>
      <c r="B43" s="46">
        <v>12320</v>
      </c>
    </row>
    <row r="44" spans="1:2" x14ac:dyDescent="0.25">
      <c r="A44" t="s">
        <v>156</v>
      </c>
      <c r="B44" s="46">
        <v>19145</v>
      </c>
    </row>
    <row r="45" spans="1:2" x14ac:dyDescent="0.25">
      <c r="A45" t="s">
        <v>157</v>
      </c>
      <c r="B45" s="46">
        <v>19145</v>
      </c>
    </row>
    <row r="46" spans="1:2" x14ac:dyDescent="0.25">
      <c r="A46" t="s">
        <v>158</v>
      </c>
      <c r="B46" s="46">
        <v>12320</v>
      </c>
    </row>
    <row r="47" spans="1:2" x14ac:dyDescent="0.25">
      <c r="A47" t="s">
        <v>159</v>
      </c>
      <c r="B47" s="46">
        <v>12320</v>
      </c>
    </row>
    <row r="48" spans="1:2" x14ac:dyDescent="0.25">
      <c r="A48" t="s">
        <v>160</v>
      </c>
      <c r="B48" s="46">
        <v>12320</v>
      </c>
    </row>
    <row r="49" spans="1:2" x14ac:dyDescent="0.25">
      <c r="A49" t="s">
        <v>161</v>
      </c>
      <c r="B49" s="46">
        <v>12320</v>
      </c>
    </row>
    <row r="50" spans="1:2" x14ac:dyDescent="0.25">
      <c r="A50" t="s">
        <v>162</v>
      </c>
      <c r="B50" s="46">
        <v>13675</v>
      </c>
    </row>
    <row r="51" spans="1:2" x14ac:dyDescent="0.25">
      <c r="A51" t="s">
        <v>163</v>
      </c>
      <c r="B51" s="46">
        <v>13370</v>
      </c>
    </row>
    <row r="52" spans="1:2" x14ac:dyDescent="0.25">
      <c r="A52" t="s">
        <v>164</v>
      </c>
      <c r="B52" s="46">
        <v>13370</v>
      </c>
    </row>
    <row r="53" spans="1:2" x14ac:dyDescent="0.25">
      <c r="A53" t="s">
        <v>165</v>
      </c>
      <c r="B53" s="46">
        <v>8800</v>
      </c>
    </row>
    <row r="54" spans="1:2" x14ac:dyDescent="0.25">
      <c r="A54" t="s">
        <v>166</v>
      </c>
      <c r="B54" s="46">
        <v>9550</v>
      </c>
    </row>
    <row r="55" spans="1:2" x14ac:dyDescent="0.25">
      <c r="A55" t="s">
        <v>167</v>
      </c>
      <c r="B55" s="46">
        <v>17465</v>
      </c>
    </row>
    <row r="56" spans="1:2" x14ac:dyDescent="0.25">
      <c r="A56" t="s">
        <v>168</v>
      </c>
      <c r="B56" s="46">
        <v>17465</v>
      </c>
    </row>
    <row r="57" spans="1:2" x14ac:dyDescent="0.25">
      <c r="A57" t="s">
        <v>169</v>
      </c>
      <c r="B57" s="46">
        <v>9550</v>
      </c>
    </row>
    <row r="58" spans="1:2" x14ac:dyDescent="0.25">
      <c r="A58" t="s">
        <v>170</v>
      </c>
      <c r="B58" s="46">
        <v>8800</v>
      </c>
    </row>
    <row r="59" spans="1:2" x14ac:dyDescent="0.25">
      <c r="A59" t="s">
        <v>171</v>
      </c>
      <c r="B59" s="46">
        <v>8800</v>
      </c>
    </row>
    <row r="60" spans="1:2" x14ac:dyDescent="0.25">
      <c r="A60" t="s">
        <v>172</v>
      </c>
      <c r="B60" s="46">
        <v>12320</v>
      </c>
    </row>
    <row r="61" spans="1:2" x14ac:dyDescent="0.25">
      <c r="A61" t="s">
        <v>173</v>
      </c>
      <c r="B61" s="46">
        <v>8800</v>
      </c>
    </row>
    <row r="62" spans="1:2" x14ac:dyDescent="0.25">
      <c r="A62" t="s">
        <v>174</v>
      </c>
      <c r="B62" s="46">
        <v>12320</v>
      </c>
    </row>
    <row r="63" spans="1:2" x14ac:dyDescent="0.25">
      <c r="A63" t="s">
        <v>175</v>
      </c>
      <c r="B63" s="46">
        <v>13370</v>
      </c>
    </row>
    <row r="64" spans="1:2" x14ac:dyDescent="0.25">
      <c r="A64" t="s">
        <v>176</v>
      </c>
      <c r="B64" s="46">
        <v>13675</v>
      </c>
    </row>
    <row r="65" spans="1:2" x14ac:dyDescent="0.25">
      <c r="A65" t="s">
        <v>177</v>
      </c>
      <c r="B65" s="46">
        <v>9550</v>
      </c>
    </row>
    <row r="66" spans="1:2" x14ac:dyDescent="0.25">
      <c r="A66" t="s">
        <v>178</v>
      </c>
      <c r="B66" s="46">
        <v>8800</v>
      </c>
    </row>
    <row r="67" spans="1:2" x14ac:dyDescent="0.25">
      <c r="A67" t="s">
        <v>179</v>
      </c>
      <c r="B67" s="46">
        <v>9550</v>
      </c>
    </row>
    <row r="68" spans="1:2" x14ac:dyDescent="0.25">
      <c r="A68" t="s">
        <v>180</v>
      </c>
      <c r="B68" s="46">
        <v>17465</v>
      </c>
    </row>
    <row r="69" spans="1:2" x14ac:dyDescent="0.25">
      <c r="A69" t="s">
        <v>181</v>
      </c>
      <c r="B69" s="46">
        <v>17465</v>
      </c>
    </row>
    <row r="70" spans="1:2" x14ac:dyDescent="0.25">
      <c r="A70" t="s">
        <v>182</v>
      </c>
      <c r="B70" s="46">
        <v>12320</v>
      </c>
    </row>
    <row r="71" spans="1:2" x14ac:dyDescent="0.25">
      <c r="A71" t="s">
        <v>183</v>
      </c>
      <c r="B71" s="46">
        <v>12320</v>
      </c>
    </row>
    <row r="72" spans="1:2" x14ac:dyDescent="0.25">
      <c r="A72" t="s">
        <v>184</v>
      </c>
      <c r="B72" s="46">
        <v>19145</v>
      </c>
    </row>
    <row r="73" spans="1:2" x14ac:dyDescent="0.25">
      <c r="A73" t="s">
        <v>185</v>
      </c>
      <c r="B73" s="46">
        <v>19145</v>
      </c>
    </row>
    <row r="74" spans="1:2" x14ac:dyDescent="0.25">
      <c r="A74" t="s">
        <v>186</v>
      </c>
      <c r="B74" s="46">
        <v>9550</v>
      </c>
    </row>
    <row r="75" spans="1:2" x14ac:dyDescent="0.25">
      <c r="A75" t="s">
        <v>187</v>
      </c>
      <c r="B75" s="46">
        <v>13675</v>
      </c>
    </row>
    <row r="76" spans="1:2" x14ac:dyDescent="0.25">
      <c r="A76" t="s">
        <v>188</v>
      </c>
      <c r="B76" s="46">
        <v>12320</v>
      </c>
    </row>
    <row r="77" spans="1:2" x14ac:dyDescent="0.25">
      <c r="A77" t="s">
        <v>189</v>
      </c>
      <c r="B77" s="46">
        <v>12320</v>
      </c>
    </row>
    <row r="78" spans="1:2" x14ac:dyDescent="0.25">
      <c r="A78" t="s">
        <v>190</v>
      </c>
      <c r="B78" s="46">
        <v>13370</v>
      </c>
    </row>
    <row r="79" spans="1:2" x14ac:dyDescent="0.25">
      <c r="A79" t="s">
        <v>191</v>
      </c>
      <c r="B79" s="46">
        <v>13370</v>
      </c>
    </row>
    <row r="80" spans="1:2" x14ac:dyDescent="0.25">
      <c r="A80" t="s">
        <v>192</v>
      </c>
      <c r="B80" s="46">
        <v>13370</v>
      </c>
    </row>
    <row r="81" spans="1:2" x14ac:dyDescent="0.25">
      <c r="A81" t="s">
        <v>193</v>
      </c>
      <c r="B81" s="46">
        <v>13370</v>
      </c>
    </row>
    <row r="82" spans="1:2" x14ac:dyDescent="0.25">
      <c r="A82" t="s">
        <v>194</v>
      </c>
      <c r="B82" s="46">
        <v>12320</v>
      </c>
    </row>
    <row r="83" spans="1:2" x14ac:dyDescent="0.25">
      <c r="A83" t="s">
        <v>195</v>
      </c>
      <c r="B83" s="46">
        <v>13370</v>
      </c>
    </row>
    <row r="84" spans="1:2" x14ac:dyDescent="0.25">
      <c r="A84" t="s">
        <v>196</v>
      </c>
      <c r="B84" s="46">
        <v>13370</v>
      </c>
    </row>
    <row r="85" spans="1:2" x14ac:dyDescent="0.25">
      <c r="A85" t="s">
        <v>197</v>
      </c>
      <c r="B85" s="46">
        <v>9550</v>
      </c>
    </row>
    <row r="86" spans="1:2" x14ac:dyDescent="0.25">
      <c r="A86" t="s">
        <v>198</v>
      </c>
      <c r="B86" s="46">
        <v>9550</v>
      </c>
    </row>
    <row r="87" spans="1:2" x14ac:dyDescent="0.25">
      <c r="A87" t="s">
        <v>199</v>
      </c>
      <c r="B87" s="46">
        <v>17465</v>
      </c>
    </row>
    <row r="88" spans="1:2" x14ac:dyDescent="0.25">
      <c r="A88" t="s">
        <v>200</v>
      </c>
      <c r="B88" s="46">
        <v>17465</v>
      </c>
    </row>
    <row r="89" spans="1:2" x14ac:dyDescent="0.25">
      <c r="A89" t="s">
        <v>201</v>
      </c>
      <c r="B89" s="46">
        <v>12320</v>
      </c>
    </row>
    <row r="90" spans="1:2" x14ac:dyDescent="0.25">
      <c r="A90" t="s">
        <v>202</v>
      </c>
      <c r="B90" s="46">
        <v>12320</v>
      </c>
    </row>
    <row r="91" spans="1:2" x14ac:dyDescent="0.25">
      <c r="A91" t="s">
        <v>203</v>
      </c>
      <c r="B91" s="46">
        <v>19145</v>
      </c>
    </row>
    <row r="92" spans="1:2" x14ac:dyDescent="0.25">
      <c r="A92" t="s">
        <v>204</v>
      </c>
      <c r="B92" s="46">
        <v>19145</v>
      </c>
    </row>
    <row r="93" spans="1:2" x14ac:dyDescent="0.25">
      <c r="A93" t="s">
        <v>205</v>
      </c>
      <c r="B93" s="46">
        <v>12320</v>
      </c>
    </row>
    <row r="94" spans="1:2" x14ac:dyDescent="0.25">
      <c r="A94" t="s">
        <v>206</v>
      </c>
      <c r="B94" s="46">
        <v>9550</v>
      </c>
    </row>
    <row r="95" spans="1:2" x14ac:dyDescent="0.25">
      <c r="A95" t="s">
        <v>207</v>
      </c>
      <c r="B95" s="46">
        <v>9550</v>
      </c>
    </row>
    <row r="96" spans="1:2" x14ac:dyDescent="0.25">
      <c r="A96" t="s">
        <v>208</v>
      </c>
      <c r="B96" s="46">
        <v>13370</v>
      </c>
    </row>
    <row r="97" spans="1:2" x14ac:dyDescent="0.25">
      <c r="A97" t="s">
        <v>209</v>
      </c>
      <c r="B97" s="46">
        <v>8800</v>
      </c>
    </row>
    <row r="98" spans="1:2" x14ac:dyDescent="0.25">
      <c r="A98" t="s">
        <v>210</v>
      </c>
      <c r="B98" s="46">
        <v>12475</v>
      </c>
    </row>
    <row r="99" spans="1:2" x14ac:dyDescent="0.25">
      <c r="A99" t="s">
        <v>211</v>
      </c>
      <c r="B99" s="46">
        <v>8800</v>
      </c>
    </row>
    <row r="100" spans="1:2" x14ac:dyDescent="0.25">
      <c r="A100" t="s">
        <v>212</v>
      </c>
      <c r="B100" s="46">
        <v>8800</v>
      </c>
    </row>
    <row r="101" spans="1:2" x14ac:dyDescent="0.25">
      <c r="A101" t="s">
        <v>213</v>
      </c>
      <c r="B101" s="46">
        <v>9550</v>
      </c>
    </row>
    <row r="102" spans="1:2" x14ac:dyDescent="0.25">
      <c r="A102" t="s">
        <v>214</v>
      </c>
      <c r="B102" s="46">
        <v>8800</v>
      </c>
    </row>
    <row r="103" spans="1:2" x14ac:dyDescent="0.25">
      <c r="A103" t="s">
        <v>215</v>
      </c>
      <c r="B103" s="46">
        <v>8800</v>
      </c>
    </row>
    <row r="104" spans="1:2" x14ac:dyDescent="0.25">
      <c r="A104" t="s">
        <v>216</v>
      </c>
      <c r="B104" s="46">
        <v>8800</v>
      </c>
    </row>
    <row r="105" spans="1:2" x14ac:dyDescent="0.25">
      <c r="A105" t="s">
        <v>217</v>
      </c>
      <c r="B105" s="46">
        <v>8800</v>
      </c>
    </row>
    <row r="106" spans="1:2" x14ac:dyDescent="0.25">
      <c r="A106" t="s">
        <v>218</v>
      </c>
      <c r="B106" s="46">
        <v>8800</v>
      </c>
    </row>
    <row r="107" spans="1:2" x14ac:dyDescent="0.25">
      <c r="A107" t="s">
        <v>219</v>
      </c>
      <c r="B107" s="46">
        <v>13675</v>
      </c>
    </row>
    <row r="108" spans="1:2" x14ac:dyDescent="0.25">
      <c r="A108" t="s">
        <v>220</v>
      </c>
      <c r="B108" s="46">
        <v>12320</v>
      </c>
    </row>
    <row r="109" spans="1:2" x14ac:dyDescent="0.25">
      <c r="A109" t="s">
        <v>221</v>
      </c>
      <c r="B109" s="46">
        <v>12320</v>
      </c>
    </row>
    <row r="110" spans="1:2" x14ac:dyDescent="0.25">
      <c r="A110" t="s">
        <v>222</v>
      </c>
      <c r="B110" s="46">
        <v>12320</v>
      </c>
    </row>
    <row r="111" spans="1:2" x14ac:dyDescent="0.25">
      <c r="A111" t="s">
        <v>223</v>
      </c>
      <c r="B111" s="46">
        <v>8800</v>
      </c>
    </row>
    <row r="112" spans="1:2" x14ac:dyDescent="0.25">
      <c r="A112" t="s">
        <v>224</v>
      </c>
      <c r="B112" s="46">
        <v>12475</v>
      </c>
    </row>
    <row r="113" spans="1:2" x14ac:dyDescent="0.25">
      <c r="A113" t="s">
        <v>225</v>
      </c>
      <c r="B113" s="46">
        <v>8800</v>
      </c>
    </row>
    <row r="114" spans="1:2" x14ac:dyDescent="0.25">
      <c r="A114" t="s">
        <v>226</v>
      </c>
      <c r="B114" s="46">
        <v>19145</v>
      </c>
    </row>
    <row r="115" spans="1:2" x14ac:dyDescent="0.25">
      <c r="A115" t="s">
        <v>227</v>
      </c>
      <c r="B115" s="46">
        <v>12320</v>
      </c>
    </row>
    <row r="116" spans="1:2" x14ac:dyDescent="0.25">
      <c r="A116" t="s">
        <v>228</v>
      </c>
      <c r="B116" s="46">
        <v>12320</v>
      </c>
    </row>
    <row r="117" spans="1:2" x14ac:dyDescent="0.25">
      <c r="A117" t="s">
        <v>229</v>
      </c>
      <c r="B117" s="46">
        <v>12320</v>
      </c>
    </row>
    <row r="118" spans="1:2" x14ac:dyDescent="0.25">
      <c r="A118" t="s">
        <v>230</v>
      </c>
      <c r="B118" s="46">
        <v>13675</v>
      </c>
    </row>
    <row r="119" spans="1:2" x14ac:dyDescent="0.25">
      <c r="A119" t="s">
        <v>231</v>
      </c>
      <c r="B119" s="46">
        <v>8800</v>
      </c>
    </row>
    <row r="120" spans="1:2" x14ac:dyDescent="0.25">
      <c r="A120" t="s">
        <v>232</v>
      </c>
      <c r="B120" s="46">
        <v>8800</v>
      </c>
    </row>
    <row r="121" spans="1:2" x14ac:dyDescent="0.25">
      <c r="A121" t="s">
        <v>233</v>
      </c>
      <c r="B121" s="46">
        <v>8800</v>
      </c>
    </row>
    <row r="122" spans="1:2" x14ac:dyDescent="0.25">
      <c r="A122" t="s">
        <v>234</v>
      </c>
      <c r="B122" s="46">
        <v>8800</v>
      </c>
    </row>
    <row r="123" spans="1:2" x14ac:dyDescent="0.25">
      <c r="A123" t="s">
        <v>235</v>
      </c>
      <c r="B123" s="46">
        <v>8800</v>
      </c>
    </row>
    <row r="124" spans="1:2" x14ac:dyDescent="0.25">
      <c r="A124" t="s">
        <v>236</v>
      </c>
      <c r="B124" s="46">
        <v>9550</v>
      </c>
    </row>
    <row r="125" spans="1:2" x14ac:dyDescent="0.25">
      <c r="A125" t="s">
        <v>237</v>
      </c>
      <c r="B125" s="46">
        <v>8800</v>
      </c>
    </row>
    <row r="126" spans="1:2" x14ac:dyDescent="0.25">
      <c r="A126" t="s">
        <v>238</v>
      </c>
      <c r="B126" s="46">
        <v>8800</v>
      </c>
    </row>
    <row r="127" spans="1:2" x14ac:dyDescent="0.25">
      <c r="A127" t="s">
        <v>239</v>
      </c>
      <c r="B127" s="46">
        <v>13675</v>
      </c>
    </row>
    <row r="128" spans="1:2" x14ac:dyDescent="0.25">
      <c r="A128" t="s">
        <v>240</v>
      </c>
      <c r="B128" s="46">
        <v>12320</v>
      </c>
    </row>
    <row r="129" spans="1:2" x14ac:dyDescent="0.25">
      <c r="A129" t="s">
        <v>241</v>
      </c>
      <c r="B129" s="46">
        <v>12320</v>
      </c>
    </row>
    <row r="130" spans="1:2" x14ac:dyDescent="0.25">
      <c r="A130" t="s">
        <v>242</v>
      </c>
      <c r="B130" s="46">
        <v>8800</v>
      </c>
    </row>
    <row r="131" spans="1:2" x14ac:dyDescent="0.25">
      <c r="A131" t="s">
        <v>243</v>
      </c>
      <c r="B131" s="46">
        <v>12475</v>
      </c>
    </row>
    <row r="132" spans="1:2" x14ac:dyDescent="0.25">
      <c r="A132" t="s">
        <v>244</v>
      </c>
      <c r="B132" s="46">
        <v>9550</v>
      </c>
    </row>
    <row r="133" spans="1:2" x14ac:dyDescent="0.25">
      <c r="A133" t="s">
        <v>245</v>
      </c>
      <c r="B133" s="46">
        <v>8800</v>
      </c>
    </row>
    <row r="134" spans="1:2" x14ac:dyDescent="0.25">
      <c r="A134" t="s">
        <v>246</v>
      </c>
      <c r="B134" s="46">
        <v>8800</v>
      </c>
    </row>
    <row r="135" spans="1:2" x14ac:dyDescent="0.25">
      <c r="A135" t="s">
        <v>247</v>
      </c>
      <c r="B135" s="46">
        <v>12320</v>
      </c>
    </row>
    <row r="136" spans="1:2" x14ac:dyDescent="0.25">
      <c r="A136" t="s">
        <v>248</v>
      </c>
      <c r="B136" s="46">
        <v>12320</v>
      </c>
    </row>
    <row r="137" spans="1:2" x14ac:dyDescent="0.25">
      <c r="A137" t="s">
        <v>249</v>
      </c>
      <c r="B137" s="46">
        <v>8800</v>
      </c>
    </row>
    <row r="138" spans="1:2" x14ac:dyDescent="0.25">
      <c r="A138" t="s">
        <v>250</v>
      </c>
      <c r="B138" s="46">
        <v>8800</v>
      </c>
    </row>
    <row r="139" spans="1:2" x14ac:dyDescent="0.25">
      <c r="A139" t="s">
        <v>251</v>
      </c>
      <c r="B139" s="46">
        <v>8800</v>
      </c>
    </row>
    <row r="140" spans="1:2" x14ac:dyDescent="0.25">
      <c r="A140" t="s">
        <v>252</v>
      </c>
      <c r="B140" s="46">
        <v>8800</v>
      </c>
    </row>
    <row r="141" spans="1:2" x14ac:dyDescent="0.25">
      <c r="A141" t="s">
        <v>253</v>
      </c>
      <c r="B141" s="46">
        <v>8800</v>
      </c>
    </row>
    <row r="142" spans="1:2" x14ac:dyDescent="0.25">
      <c r="A142" t="s">
        <v>254</v>
      </c>
      <c r="B142" s="46">
        <v>8800</v>
      </c>
    </row>
    <row r="143" spans="1:2" x14ac:dyDescent="0.25">
      <c r="A143" t="s">
        <v>255</v>
      </c>
      <c r="B143" s="46">
        <v>12320</v>
      </c>
    </row>
    <row r="144" spans="1:2" x14ac:dyDescent="0.25">
      <c r="A144" t="s">
        <v>256</v>
      </c>
      <c r="B144" s="46">
        <v>13675</v>
      </c>
    </row>
    <row r="145" spans="1:2" x14ac:dyDescent="0.25">
      <c r="A145" t="s">
        <v>257</v>
      </c>
      <c r="B145" s="46">
        <v>8800</v>
      </c>
    </row>
    <row r="146" spans="1:2" x14ac:dyDescent="0.25">
      <c r="A146" t="s">
        <v>258</v>
      </c>
      <c r="B146" s="46">
        <v>13675</v>
      </c>
    </row>
    <row r="147" spans="1:2" x14ac:dyDescent="0.25">
      <c r="A147" t="s">
        <v>259</v>
      </c>
      <c r="B147" s="46">
        <v>8800</v>
      </c>
    </row>
    <row r="148" spans="1:2" x14ac:dyDescent="0.25">
      <c r="A148" t="s">
        <v>260</v>
      </c>
      <c r="B148" s="46">
        <v>8800</v>
      </c>
    </row>
    <row r="149" spans="1:2" x14ac:dyDescent="0.25">
      <c r="A149" t="s">
        <v>261</v>
      </c>
      <c r="B149" s="46">
        <v>8800</v>
      </c>
    </row>
    <row r="150" spans="1:2" x14ac:dyDescent="0.25">
      <c r="A150" t="s">
        <v>262</v>
      </c>
      <c r="B150" s="46">
        <v>9550</v>
      </c>
    </row>
    <row r="151" spans="1:2" x14ac:dyDescent="0.25">
      <c r="A151" t="s">
        <v>263</v>
      </c>
      <c r="B151" s="46">
        <v>8800</v>
      </c>
    </row>
    <row r="152" spans="1:2" x14ac:dyDescent="0.25">
      <c r="A152" t="s">
        <v>264</v>
      </c>
      <c r="B152" s="46">
        <v>8800</v>
      </c>
    </row>
    <row r="153" spans="1:2" x14ac:dyDescent="0.25">
      <c r="A153" t="s">
        <v>265</v>
      </c>
      <c r="B153" s="46">
        <v>12475</v>
      </c>
    </row>
    <row r="154" spans="1:2" x14ac:dyDescent="0.25">
      <c r="A154" t="s">
        <v>266</v>
      </c>
      <c r="B154" s="46">
        <v>9550</v>
      </c>
    </row>
    <row r="155" spans="1:2" x14ac:dyDescent="0.25">
      <c r="A155" t="s">
        <v>267</v>
      </c>
      <c r="B155" s="46">
        <v>12320</v>
      </c>
    </row>
    <row r="156" spans="1:2" x14ac:dyDescent="0.25">
      <c r="A156" t="s">
        <v>268</v>
      </c>
      <c r="B156" s="46">
        <v>12475</v>
      </c>
    </row>
    <row r="157" spans="1:2" x14ac:dyDescent="0.25">
      <c r="A157" t="s">
        <v>269</v>
      </c>
      <c r="B157" s="46">
        <v>13675</v>
      </c>
    </row>
    <row r="158" spans="1:2" x14ac:dyDescent="0.25">
      <c r="A158" t="s">
        <v>270</v>
      </c>
      <c r="B158" s="46">
        <v>12320</v>
      </c>
    </row>
    <row r="159" spans="1:2" x14ac:dyDescent="0.25">
      <c r="A159" t="s">
        <v>271</v>
      </c>
      <c r="B159" s="46">
        <v>12320</v>
      </c>
    </row>
    <row r="160" spans="1:2" x14ac:dyDescent="0.25">
      <c r="A160" t="s">
        <v>272</v>
      </c>
      <c r="B160" s="46">
        <v>8800</v>
      </c>
    </row>
    <row r="161" spans="1:2" x14ac:dyDescent="0.25">
      <c r="A161" t="s">
        <v>273</v>
      </c>
      <c r="B161" s="46">
        <v>12320</v>
      </c>
    </row>
    <row r="162" spans="1:2" x14ac:dyDescent="0.25">
      <c r="A162" t="s">
        <v>274</v>
      </c>
      <c r="B162" s="46">
        <v>13370</v>
      </c>
    </row>
    <row r="163" spans="1:2" x14ac:dyDescent="0.25">
      <c r="A163" t="s">
        <v>275</v>
      </c>
      <c r="B163" s="46">
        <v>13370</v>
      </c>
    </row>
    <row r="164" spans="1:2" x14ac:dyDescent="0.25">
      <c r="A164" t="s">
        <v>276</v>
      </c>
      <c r="B164" s="46">
        <v>8800</v>
      </c>
    </row>
    <row r="165" spans="1:2" x14ac:dyDescent="0.25">
      <c r="A165" t="s">
        <v>277</v>
      </c>
      <c r="B165" s="46">
        <v>12475</v>
      </c>
    </row>
    <row r="166" spans="1:2" x14ac:dyDescent="0.25">
      <c r="A166" t="s">
        <v>278</v>
      </c>
      <c r="B166" s="46">
        <v>12320</v>
      </c>
    </row>
    <row r="167" spans="1:2" x14ac:dyDescent="0.25">
      <c r="A167" t="s">
        <v>279</v>
      </c>
      <c r="B167" s="46">
        <v>12320</v>
      </c>
    </row>
    <row r="168" spans="1:2" x14ac:dyDescent="0.25">
      <c r="A168" t="s">
        <v>280</v>
      </c>
      <c r="B168" s="46">
        <v>12475</v>
      </c>
    </row>
    <row r="169" spans="1:2" x14ac:dyDescent="0.25">
      <c r="A169" t="s">
        <v>281</v>
      </c>
      <c r="B169" s="46">
        <v>8800</v>
      </c>
    </row>
    <row r="170" spans="1:2" x14ac:dyDescent="0.25">
      <c r="A170" t="s">
        <v>282</v>
      </c>
      <c r="B170" s="46">
        <v>12475</v>
      </c>
    </row>
    <row r="171" spans="1:2" x14ac:dyDescent="0.25">
      <c r="A171" t="s">
        <v>283</v>
      </c>
      <c r="B171" s="46">
        <v>13370</v>
      </c>
    </row>
    <row r="172" spans="1:2" x14ac:dyDescent="0.25">
      <c r="A172" t="s">
        <v>284</v>
      </c>
      <c r="B172" s="46">
        <v>13370</v>
      </c>
    </row>
    <row r="173" spans="1:2" x14ac:dyDescent="0.25">
      <c r="A173" t="s">
        <v>285</v>
      </c>
      <c r="B173" s="46">
        <v>8800</v>
      </c>
    </row>
    <row r="174" spans="1:2" x14ac:dyDescent="0.25">
      <c r="A174" t="s">
        <v>286</v>
      </c>
      <c r="B174" s="46">
        <v>8800</v>
      </c>
    </row>
    <row r="175" spans="1:2" x14ac:dyDescent="0.25">
      <c r="A175" t="s">
        <v>287</v>
      </c>
      <c r="B175" s="46">
        <v>8800</v>
      </c>
    </row>
    <row r="176" spans="1:2" x14ac:dyDescent="0.25">
      <c r="A176" t="s">
        <v>288</v>
      </c>
      <c r="B176" s="46">
        <v>8800</v>
      </c>
    </row>
    <row r="177" spans="1:2" x14ac:dyDescent="0.25">
      <c r="A177" t="s">
        <v>289</v>
      </c>
      <c r="B177" s="46">
        <v>8800</v>
      </c>
    </row>
    <row r="178" spans="1:2" x14ac:dyDescent="0.25">
      <c r="A178" t="s">
        <v>290</v>
      </c>
      <c r="B178" s="46">
        <v>12320</v>
      </c>
    </row>
    <row r="179" spans="1:2" x14ac:dyDescent="0.25">
      <c r="A179" t="s">
        <v>291</v>
      </c>
      <c r="B179" s="46">
        <v>13370</v>
      </c>
    </row>
    <row r="180" spans="1:2" x14ac:dyDescent="0.25">
      <c r="A180" t="s">
        <v>292</v>
      </c>
      <c r="B180" s="46">
        <v>13370</v>
      </c>
    </row>
    <row r="181" spans="1:2" x14ac:dyDescent="0.25">
      <c r="A181" t="s">
        <v>293</v>
      </c>
      <c r="B181" s="46">
        <v>12475</v>
      </c>
    </row>
    <row r="182" spans="1:2" x14ac:dyDescent="0.25">
      <c r="A182" t="s">
        <v>294</v>
      </c>
      <c r="B182" s="46">
        <v>8800</v>
      </c>
    </row>
    <row r="183" spans="1:2" x14ac:dyDescent="0.25">
      <c r="A183" t="s">
        <v>295</v>
      </c>
      <c r="B183" s="46">
        <v>8800</v>
      </c>
    </row>
    <row r="184" spans="1:2" x14ac:dyDescent="0.25">
      <c r="A184" t="s">
        <v>296</v>
      </c>
      <c r="B184" s="46">
        <v>8800</v>
      </c>
    </row>
    <row r="185" spans="1:2" x14ac:dyDescent="0.25">
      <c r="A185" t="s">
        <v>297</v>
      </c>
      <c r="B185" s="46">
        <v>12475</v>
      </c>
    </row>
    <row r="186" spans="1:2" x14ac:dyDescent="0.25">
      <c r="A186" t="s">
        <v>298</v>
      </c>
      <c r="B186" s="46">
        <v>8800</v>
      </c>
    </row>
    <row r="187" spans="1:2" x14ac:dyDescent="0.25">
      <c r="A187" t="s">
        <v>299</v>
      </c>
      <c r="B187" s="46">
        <v>8800</v>
      </c>
    </row>
    <row r="188" spans="1:2" x14ac:dyDescent="0.25">
      <c r="A188" t="s">
        <v>300</v>
      </c>
      <c r="B188" s="46">
        <v>13675</v>
      </c>
    </row>
    <row r="189" spans="1:2" x14ac:dyDescent="0.25">
      <c r="A189" t="s">
        <v>301</v>
      </c>
      <c r="B189" s="46">
        <v>8800</v>
      </c>
    </row>
    <row r="190" spans="1:2" x14ac:dyDescent="0.25">
      <c r="A190" t="s">
        <v>302</v>
      </c>
      <c r="B190" s="46">
        <v>9550</v>
      </c>
    </row>
    <row r="191" spans="1:2" x14ac:dyDescent="0.25">
      <c r="A191" t="s">
        <v>303</v>
      </c>
      <c r="B191" s="46">
        <v>8800</v>
      </c>
    </row>
    <row r="192" spans="1:2" x14ac:dyDescent="0.25">
      <c r="A192" t="s">
        <v>304</v>
      </c>
      <c r="B192" s="46">
        <v>12475</v>
      </c>
    </row>
    <row r="193" spans="1:2" x14ac:dyDescent="0.25">
      <c r="A193" t="s">
        <v>305</v>
      </c>
      <c r="B193" s="46">
        <v>12475</v>
      </c>
    </row>
    <row r="194" spans="1:2" x14ac:dyDescent="0.25">
      <c r="A194" t="s">
        <v>306</v>
      </c>
      <c r="B194" s="46">
        <v>9550</v>
      </c>
    </row>
    <row r="195" spans="1:2" x14ac:dyDescent="0.25">
      <c r="A195" t="s">
        <v>307</v>
      </c>
      <c r="B195" s="46">
        <v>8800</v>
      </c>
    </row>
    <row r="196" spans="1:2" x14ac:dyDescent="0.25">
      <c r="A196" t="s">
        <v>308</v>
      </c>
      <c r="B196" s="46">
        <v>12475</v>
      </c>
    </row>
    <row r="197" spans="1:2" x14ac:dyDescent="0.25">
      <c r="A197" t="s">
        <v>309</v>
      </c>
      <c r="B197" s="46">
        <v>8800</v>
      </c>
    </row>
    <row r="198" spans="1:2" x14ac:dyDescent="0.25">
      <c r="A198" t="s">
        <v>310</v>
      </c>
      <c r="B198" s="46">
        <v>19145</v>
      </c>
    </row>
    <row r="199" spans="1:2" x14ac:dyDescent="0.25">
      <c r="A199" t="s">
        <v>311</v>
      </c>
      <c r="B199" s="46">
        <v>8800</v>
      </c>
    </row>
    <row r="200" spans="1:2" x14ac:dyDescent="0.25">
      <c r="A200" t="s">
        <v>312</v>
      </c>
      <c r="B200" s="46">
        <v>8800</v>
      </c>
    </row>
    <row r="201" spans="1:2" x14ac:dyDescent="0.25">
      <c r="A201" t="s">
        <v>313</v>
      </c>
      <c r="B201" s="46">
        <v>8800</v>
      </c>
    </row>
    <row r="202" spans="1:2" x14ac:dyDescent="0.25">
      <c r="A202" t="s">
        <v>314</v>
      </c>
      <c r="B202" s="46">
        <v>12475</v>
      </c>
    </row>
    <row r="203" spans="1:2" x14ac:dyDescent="0.25">
      <c r="A203" t="s">
        <v>315</v>
      </c>
      <c r="B203" s="46">
        <v>12320</v>
      </c>
    </row>
    <row r="204" spans="1:2" x14ac:dyDescent="0.25">
      <c r="A204" t="s">
        <v>316</v>
      </c>
      <c r="B204" s="46">
        <v>12320</v>
      </c>
    </row>
    <row r="205" spans="1:2" x14ac:dyDescent="0.25">
      <c r="A205" t="s">
        <v>317</v>
      </c>
      <c r="B205" s="46">
        <v>12320</v>
      </c>
    </row>
    <row r="206" spans="1:2" x14ac:dyDescent="0.25">
      <c r="A206" t="s">
        <v>318</v>
      </c>
      <c r="B206" s="46">
        <v>12320</v>
      </c>
    </row>
    <row r="207" spans="1:2" x14ac:dyDescent="0.25">
      <c r="A207" t="s">
        <v>319</v>
      </c>
      <c r="B207" s="46">
        <v>12320</v>
      </c>
    </row>
    <row r="208" spans="1:2" x14ac:dyDescent="0.25">
      <c r="A208" t="s">
        <v>320</v>
      </c>
      <c r="B208" s="46">
        <v>13370</v>
      </c>
    </row>
    <row r="209" spans="1:2" x14ac:dyDescent="0.25">
      <c r="A209" t="s">
        <v>321</v>
      </c>
      <c r="B209" s="46">
        <v>12320</v>
      </c>
    </row>
    <row r="210" spans="1:2" x14ac:dyDescent="0.25">
      <c r="A210" t="s">
        <v>322</v>
      </c>
      <c r="B210" s="46">
        <v>12320</v>
      </c>
    </row>
    <row r="211" spans="1:2" x14ac:dyDescent="0.25">
      <c r="A211" t="s">
        <v>323</v>
      </c>
      <c r="B211" s="46">
        <v>9550</v>
      </c>
    </row>
    <row r="212" spans="1:2" x14ac:dyDescent="0.25">
      <c r="A212" t="s">
        <v>324</v>
      </c>
      <c r="B212" s="46">
        <v>12320</v>
      </c>
    </row>
    <row r="213" spans="1:2" x14ac:dyDescent="0.25">
      <c r="A213" t="s">
        <v>325</v>
      </c>
      <c r="B213" s="46">
        <v>12320</v>
      </c>
    </row>
    <row r="214" spans="1:2" x14ac:dyDescent="0.25">
      <c r="A214" t="s">
        <v>326</v>
      </c>
      <c r="B214" s="46">
        <v>8800</v>
      </c>
    </row>
    <row r="215" spans="1:2" x14ac:dyDescent="0.25">
      <c r="A215" t="s">
        <v>327</v>
      </c>
      <c r="B215" s="46">
        <v>12320</v>
      </c>
    </row>
    <row r="216" spans="1:2" x14ac:dyDescent="0.25">
      <c r="A216" t="s">
        <v>328</v>
      </c>
      <c r="B216" s="46">
        <v>12320</v>
      </c>
    </row>
    <row r="217" spans="1:2" x14ac:dyDescent="0.25">
      <c r="A217" t="s">
        <v>329</v>
      </c>
      <c r="B217" s="46">
        <v>13370</v>
      </c>
    </row>
    <row r="218" spans="1:2" x14ac:dyDescent="0.25">
      <c r="A218" t="s">
        <v>330</v>
      </c>
      <c r="B218" s="46">
        <v>13370</v>
      </c>
    </row>
    <row r="219" spans="1:2" x14ac:dyDescent="0.25">
      <c r="A219" t="s">
        <v>331</v>
      </c>
      <c r="B219" s="46">
        <v>9550</v>
      </c>
    </row>
    <row r="220" spans="1:2" x14ac:dyDescent="0.25">
      <c r="A220" t="s">
        <v>332</v>
      </c>
      <c r="B220" s="46">
        <v>9550</v>
      </c>
    </row>
    <row r="221" spans="1:2" x14ac:dyDescent="0.25">
      <c r="A221" t="s">
        <v>333</v>
      </c>
      <c r="B221" s="46">
        <v>9550</v>
      </c>
    </row>
    <row r="222" spans="1:2" x14ac:dyDescent="0.25">
      <c r="A222" t="s">
        <v>334</v>
      </c>
      <c r="B222" s="46">
        <v>8800</v>
      </c>
    </row>
    <row r="223" spans="1:2" x14ac:dyDescent="0.25">
      <c r="A223" t="s">
        <v>335</v>
      </c>
      <c r="B223" s="46">
        <v>8800</v>
      </c>
    </row>
    <row r="224" spans="1:2" x14ac:dyDescent="0.25">
      <c r="A224" t="s">
        <v>336</v>
      </c>
      <c r="B224" s="46">
        <v>9550</v>
      </c>
    </row>
    <row r="225" spans="1:2" x14ac:dyDescent="0.25">
      <c r="A225" t="s">
        <v>337</v>
      </c>
      <c r="B225" s="46">
        <v>13675</v>
      </c>
    </row>
    <row r="226" spans="1:2" x14ac:dyDescent="0.25">
      <c r="A226" t="s">
        <v>338</v>
      </c>
      <c r="B226" s="46">
        <v>8800</v>
      </c>
    </row>
    <row r="227" spans="1:2" x14ac:dyDescent="0.25">
      <c r="A227" t="s">
        <v>339</v>
      </c>
      <c r="B227" s="46">
        <v>8800</v>
      </c>
    </row>
    <row r="228" spans="1:2" x14ac:dyDescent="0.25">
      <c r="A228" t="s">
        <v>340</v>
      </c>
      <c r="B228" s="46">
        <v>8800</v>
      </c>
    </row>
    <row r="229" spans="1:2" x14ac:dyDescent="0.25">
      <c r="A229" t="s">
        <v>341</v>
      </c>
      <c r="B229" s="46">
        <v>8800</v>
      </c>
    </row>
    <row r="230" spans="1:2" x14ac:dyDescent="0.25">
      <c r="A230" t="s">
        <v>342</v>
      </c>
      <c r="B230" s="46">
        <v>8800</v>
      </c>
    </row>
    <row r="231" spans="1:2" x14ac:dyDescent="0.25">
      <c r="A231" t="s">
        <v>343</v>
      </c>
      <c r="B231" s="46">
        <v>8800</v>
      </c>
    </row>
    <row r="232" spans="1:2" x14ac:dyDescent="0.25">
      <c r="A232" t="s">
        <v>344</v>
      </c>
      <c r="B232" s="46">
        <v>9550</v>
      </c>
    </row>
    <row r="233" spans="1:2" x14ac:dyDescent="0.25">
      <c r="A233" t="s">
        <v>345</v>
      </c>
      <c r="B233" s="46">
        <v>9550</v>
      </c>
    </row>
    <row r="234" spans="1:2" x14ac:dyDescent="0.25">
      <c r="A234" t="s">
        <v>346</v>
      </c>
      <c r="B234" s="46">
        <v>8800</v>
      </c>
    </row>
    <row r="235" spans="1:2" x14ac:dyDescent="0.25">
      <c r="A235" t="s">
        <v>347</v>
      </c>
      <c r="B235" s="46">
        <v>9550</v>
      </c>
    </row>
    <row r="236" spans="1:2" x14ac:dyDescent="0.25">
      <c r="A236" t="s">
        <v>348</v>
      </c>
      <c r="B236" s="46">
        <v>9550</v>
      </c>
    </row>
    <row r="237" spans="1:2" x14ac:dyDescent="0.25">
      <c r="A237" t="s">
        <v>349</v>
      </c>
      <c r="B237" s="46">
        <v>9550</v>
      </c>
    </row>
    <row r="238" spans="1:2" x14ac:dyDescent="0.25">
      <c r="A238" t="s">
        <v>350</v>
      </c>
      <c r="B238" s="46">
        <v>9550</v>
      </c>
    </row>
    <row r="239" spans="1:2" x14ac:dyDescent="0.25">
      <c r="A239" t="s">
        <v>351</v>
      </c>
      <c r="B239" s="46">
        <v>12320</v>
      </c>
    </row>
    <row r="240" spans="1:2" x14ac:dyDescent="0.25">
      <c r="A240" t="s">
        <v>352</v>
      </c>
      <c r="B240" s="46">
        <v>13675</v>
      </c>
    </row>
    <row r="241" spans="1:2" x14ac:dyDescent="0.25">
      <c r="A241" t="s">
        <v>353</v>
      </c>
      <c r="B241" s="46">
        <v>12475</v>
      </c>
    </row>
    <row r="242" spans="1:2" x14ac:dyDescent="0.25">
      <c r="A242" t="s">
        <v>354</v>
      </c>
      <c r="B242" s="46">
        <v>13675</v>
      </c>
    </row>
    <row r="243" spans="1:2" x14ac:dyDescent="0.25">
      <c r="A243" t="s">
        <v>355</v>
      </c>
      <c r="B243" s="46">
        <v>8800</v>
      </c>
    </row>
    <row r="244" spans="1:2" x14ac:dyDescent="0.25">
      <c r="A244" t="s">
        <v>356</v>
      </c>
      <c r="B244" s="46">
        <v>12475</v>
      </c>
    </row>
    <row r="245" spans="1:2" x14ac:dyDescent="0.25">
      <c r="A245" t="s">
        <v>357</v>
      </c>
      <c r="B245" s="46">
        <v>9550</v>
      </c>
    </row>
    <row r="246" spans="1:2" x14ac:dyDescent="0.25">
      <c r="A246" t="s">
        <v>358</v>
      </c>
      <c r="B246" s="46">
        <v>12320</v>
      </c>
    </row>
    <row r="247" spans="1:2" x14ac:dyDescent="0.25">
      <c r="A247" t="s">
        <v>359</v>
      </c>
      <c r="B247" s="46">
        <v>8800</v>
      </c>
    </row>
    <row r="248" spans="1:2" x14ac:dyDescent="0.25">
      <c r="A248" t="s">
        <v>360</v>
      </c>
      <c r="B248" s="46">
        <v>9550</v>
      </c>
    </row>
    <row r="249" spans="1:2" x14ac:dyDescent="0.25">
      <c r="A249" t="s">
        <v>361</v>
      </c>
      <c r="B249" s="46">
        <v>9550</v>
      </c>
    </row>
    <row r="250" spans="1:2" x14ac:dyDescent="0.25">
      <c r="A250" t="s">
        <v>362</v>
      </c>
      <c r="B250" s="46">
        <v>12320</v>
      </c>
    </row>
    <row r="251" spans="1:2" x14ac:dyDescent="0.25">
      <c r="A251" t="s">
        <v>363</v>
      </c>
      <c r="B251" s="46">
        <v>12320</v>
      </c>
    </row>
    <row r="252" spans="1:2" x14ac:dyDescent="0.25">
      <c r="A252" t="s">
        <v>364</v>
      </c>
      <c r="B252" s="46">
        <v>8800</v>
      </c>
    </row>
    <row r="253" spans="1:2" x14ac:dyDescent="0.25">
      <c r="A253" t="s">
        <v>365</v>
      </c>
      <c r="B253" s="46">
        <v>9550</v>
      </c>
    </row>
    <row r="254" spans="1:2" x14ac:dyDescent="0.25">
      <c r="A254" t="s">
        <v>366</v>
      </c>
      <c r="B254" s="46">
        <v>12320</v>
      </c>
    </row>
    <row r="255" spans="1:2" x14ac:dyDescent="0.25">
      <c r="A255" t="s">
        <v>367</v>
      </c>
      <c r="B255" s="46">
        <v>12320</v>
      </c>
    </row>
    <row r="256" spans="1:2" x14ac:dyDescent="0.25">
      <c r="A256" t="s">
        <v>368</v>
      </c>
      <c r="B256" s="46">
        <v>12320</v>
      </c>
    </row>
    <row r="257" spans="1:2" x14ac:dyDescent="0.25">
      <c r="A257" t="s">
        <v>369</v>
      </c>
      <c r="B257" s="46">
        <v>8800</v>
      </c>
    </row>
    <row r="258" spans="1:2" x14ac:dyDescent="0.25">
      <c r="A258" t="s">
        <v>370</v>
      </c>
      <c r="B258" s="46">
        <v>12320</v>
      </c>
    </row>
    <row r="259" spans="1:2" x14ac:dyDescent="0.25">
      <c r="A259" t="s">
        <v>371</v>
      </c>
      <c r="B259" s="46">
        <v>12320</v>
      </c>
    </row>
    <row r="260" spans="1:2" x14ac:dyDescent="0.25">
      <c r="A260" t="s">
        <v>372</v>
      </c>
      <c r="B260" s="46">
        <v>19145</v>
      </c>
    </row>
    <row r="261" spans="1:2" x14ac:dyDescent="0.25">
      <c r="A261" t="s">
        <v>373</v>
      </c>
      <c r="B261" s="46">
        <v>19145</v>
      </c>
    </row>
    <row r="262" spans="1:2" x14ac:dyDescent="0.25">
      <c r="A262" t="s">
        <v>374</v>
      </c>
      <c r="B262" s="46">
        <v>12320</v>
      </c>
    </row>
    <row r="263" spans="1:2" x14ac:dyDescent="0.25">
      <c r="A263" t="s">
        <v>375</v>
      </c>
      <c r="B263" s="46">
        <v>12320</v>
      </c>
    </row>
    <row r="264" spans="1:2" x14ac:dyDescent="0.25">
      <c r="A264" t="s">
        <v>376</v>
      </c>
      <c r="B264" s="46">
        <v>12320</v>
      </c>
    </row>
    <row r="265" spans="1:2" x14ac:dyDescent="0.25">
      <c r="A265" t="s">
        <v>377</v>
      </c>
      <c r="B265" s="46">
        <v>8800</v>
      </c>
    </row>
    <row r="266" spans="1:2" x14ac:dyDescent="0.25">
      <c r="A266" t="s">
        <v>378</v>
      </c>
      <c r="B266" s="46">
        <v>12320</v>
      </c>
    </row>
    <row r="267" spans="1:2" x14ac:dyDescent="0.25">
      <c r="A267" t="s">
        <v>379</v>
      </c>
      <c r="B267" s="46">
        <v>12320</v>
      </c>
    </row>
    <row r="268" spans="1:2" x14ac:dyDescent="0.25">
      <c r="A268" t="s">
        <v>380</v>
      </c>
      <c r="B268" s="46">
        <v>9550</v>
      </c>
    </row>
    <row r="269" spans="1:2" x14ac:dyDescent="0.25">
      <c r="A269" t="s">
        <v>381</v>
      </c>
      <c r="B269" s="46">
        <v>8800</v>
      </c>
    </row>
    <row r="270" spans="1:2" x14ac:dyDescent="0.25">
      <c r="A270" t="s">
        <v>382</v>
      </c>
      <c r="B270" s="46">
        <v>13370</v>
      </c>
    </row>
    <row r="271" spans="1:2" x14ac:dyDescent="0.25">
      <c r="A271" t="s">
        <v>383</v>
      </c>
      <c r="B271" s="46">
        <v>13370</v>
      </c>
    </row>
    <row r="272" spans="1:2" x14ac:dyDescent="0.25">
      <c r="A272" t="s">
        <v>384</v>
      </c>
      <c r="B272" s="46">
        <v>8800</v>
      </c>
    </row>
    <row r="273" spans="1:2" x14ac:dyDescent="0.25">
      <c r="A273" t="s">
        <v>385</v>
      </c>
      <c r="B273" s="46">
        <v>13370</v>
      </c>
    </row>
    <row r="274" spans="1:2" x14ac:dyDescent="0.25">
      <c r="A274" t="s">
        <v>386</v>
      </c>
      <c r="B274" s="46">
        <v>13370</v>
      </c>
    </row>
    <row r="275" spans="1:2" x14ac:dyDescent="0.25">
      <c r="A275" t="s">
        <v>387</v>
      </c>
      <c r="B275" s="46">
        <v>13370</v>
      </c>
    </row>
    <row r="276" spans="1:2" x14ac:dyDescent="0.25">
      <c r="A276" t="s">
        <v>388</v>
      </c>
      <c r="B276" s="46">
        <v>13370</v>
      </c>
    </row>
    <row r="277" spans="1:2" x14ac:dyDescent="0.25">
      <c r="A277" t="s">
        <v>389</v>
      </c>
      <c r="B277" s="46">
        <v>8800</v>
      </c>
    </row>
    <row r="278" spans="1:2" x14ac:dyDescent="0.25">
      <c r="A278" t="s">
        <v>390</v>
      </c>
      <c r="B278" s="46">
        <v>8800</v>
      </c>
    </row>
    <row r="279" spans="1:2" x14ac:dyDescent="0.25">
      <c r="A279" t="s">
        <v>391</v>
      </c>
      <c r="B279" s="46">
        <v>8800</v>
      </c>
    </row>
    <row r="280" spans="1:2" x14ac:dyDescent="0.25">
      <c r="A280" t="s">
        <v>392</v>
      </c>
      <c r="B280" s="46">
        <v>8800</v>
      </c>
    </row>
    <row r="281" spans="1:2" x14ac:dyDescent="0.25">
      <c r="A281" t="s">
        <v>393</v>
      </c>
      <c r="B281" s="46">
        <v>13675</v>
      </c>
    </row>
    <row r="282" spans="1:2" x14ac:dyDescent="0.25">
      <c r="A282" t="s">
        <v>394</v>
      </c>
      <c r="B282" s="46">
        <v>8800</v>
      </c>
    </row>
    <row r="283" spans="1:2" x14ac:dyDescent="0.25">
      <c r="A283" t="s">
        <v>395</v>
      </c>
      <c r="B283" s="46">
        <v>12320</v>
      </c>
    </row>
    <row r="284" spans="1:2" x14ac:dyDescent="0.25">
      <c r="A284" t="s">
        <v>396</v>
      </c>
      <c r="B284" s="46">
        <v>12320</v>
      </c>
    </row>
    <row r="285" spans="1:2" x14ac:dyDescent="0.25">
      <c r="A285" t="s">
        <v>397</v>
      </c>
      <c r="B285" s="46">
        <v>12320</v>
      </c>
    </row>
    <row r="286" spans="1:2" x14ac:dyDescent="0.25">
      <c r="A286" t="s">
        <v>398</v>
      </c>
      <c r="B286" s="46">
        <v>8800</v>
      </c>
    </row>
    <row r="287" spans="1:2" x14ac:dyDescent="0.25">
      <c r="A287" t="s">
        <v>399</v>
      </c>
      <c r="B287" s="46">
        <v>19145</v>
      </c>
    </row>
    <row r="288" spans="1:2" x14ac:dyDescent="0.25">
      <c r="A288" t="s">
        <v>400</v>
      </c>
      <c r="B288" s="46">
        <v>9550</v>
      </c>
    </row>
    <row r="289" spans="1:2" x14ac:dyDescent="0.25">
      <c r="A289" t="s">
        <v>401</v>
      </c>
      <c r="B289" s="46">
        <v>13675</v>
      </c>
    </row>
    <row r="290" spans="1:2" x14ac:dyDescent="0.25">
      <c r="A290" t="s">
        <v>402</v>
      </c>
      <c r="B290" s="46">
        <v>8800</v>
      </c>
    </row>
    <row r="291" spans="1:2" x14ac:dyDescent="0.25">
      <c r="A291" t="s">
        <v>403</v>
      </c>
      <c r="B291" s="46">
        <v>8800</v>
      </c>
    </row>
    <row r="292" spans="1:2" x14ac:dyDescent="0.25">
      <c r="A292" t="s">
        <v>404</v>
      </c>
      <c r="B292" s="46">
        <v>9550</v>
      </c>
    </row>
    <row r="293" spans="1:2" x14ac:dyDescent="0.25">
      <c r="A293" t="s">
        <v>405</v>
      </c>
      <c r="B293" s="46">
        <v>12475</v>
      </c>
    </row>
    <row r="294" spans="1:2" x14ac:dyDescent="0.25">
      <c r="A294" t="s">
        <v>406</v>
      </c>
      <c r="B294" s="46">
        <v>12320</v>
      </c>
    </row>
    <row r="295" spans="1:2" x14ac:dyDescent="0.25">
      <c r="A295" t="s">
        <v>407</v>
      </c>
      <c r="B295" s="46">
        <v>12320</v>
      </c>
    </row>
    <row r="296" spans="1:2" x14ac:dyDescent="0.25">
      <c r="A296" t="s">
        <v>408</v>
      </c>
      <c r="B296" s="46">
        <v>13370</v>
      </c>
    </row>
    <row r="297" spans="1:2" x14ac:dyDescent="0.25">
      <c r="A297" t="s">
        <v>409</v>
      </c>
      <c r="B297" s="46">
        <v>13370</v>
      </c>
    </row>
    <row r="298" spans="1:2" x14ac:dyDescent="0.25">
      <c r="A298" t="s">
        <v>410</v>
      </c>
      <c r="B298" s="46">
        <v>12475</v>
      </c>
    </row>
    <row r="299" spans="1:2" x14ac:dyDescent="0.25">
      <c r="A299" t="s">
        <v>411</v>
      </c>
      <c r="B299" s="46">
        <v>9550</v>
      </c>
    </row>
    <row r="300" spans="1:2" x14ac:dyDescent="0.25">
      <c r="A300" t="s">
        <v>412</v>
      </c>
      <c r="B300" s="46">
        <v>9550</v>
      </c>
    </row>
    <row r="301" spans="1:2" x14ac:dyDescent="0.25">
      <c r="A301" t="s">
        <v>413</v>
      </c>
      <c r="B301" s="46">
        <v>13615</v>
      </c>
    </row>
    <row r="302" spans="1:2" x14ac:dyDescent="0.25">
      <c r="A302" t="s">
        <v>414</v>
      </c>
      <c r="B302" s="46">
        <v>9550</v>
      </c>
    </row>
    <row r="303" spans="1:2" x14ac:dyDescent="0.25">
      <c r="A303" t="s">
        <v>415</v>
      </c>
      <c r="B303" s="46">
        <v>12320</v>
      </c>
    </row>
    <row r="304" spans="1:2" x14ac:dyDescent="0.25">
      <c r="A304" t="s">
        <v>416</v>
      </c>
      <c r="B304" s="46">
        <v>13370</v>
      </c>
    </row>
    <row r="305" spans="1:2" x14ac:dyDescent="0.25">
      <c r="A305" t="s">
        <v>417</v>
      </c>
      <c r="B305" s="46">
        <v>12320</v>
      </c>
    </row>
    <row r="306" spans="1:2" x14ac:dyDescent="0.25">
      <c r="A306" t="s">
        <v>418</v>
      </c>
      <c r="B306" s="46">
        <v>12320</v>
      </c>
    </row>
    <row r="307" spans="1:2" x14ac:dyDescent="0.25">
      <c r="A307" t="s">
        <v>419</v>
      </c>
      <c r="B307" s="46">
        <v>12320</v>
      </c>
    </row>
    <row r="308" spans="1:2" x14ac:dyDescent="0.25">
      <c r="A308" t="s">
        <v>420</v>
      </c>
      <c r="B308" s="46">
        <v>12320</v>
      </c>
    </row>
    <row r="309" spans="1:2" x14ac:dyDescent="0.25">
      <c r="A309" t="s">
        <v>421</v>
      </c>
      <c r="B309" s="46">
        <v>12320</v>
      </c>
    </row>
    <row r="310" spans="1:2" x14ac:dyDescent="0.25">
      <c r="A310" t="s">
        <v>422</v>
      </c>
      <c r="B310" s="46">
        <v>12320</v>
      </c>
    </row>
    <row r="311" spans="1:2" x14ac:dyDescent="0.25">
      <c r="A311" t="s">
        <v>423</v>
      </c>
      <c r="B311" s="46">
        <v>12320</v>
      </c>
    </row>
    <row r="312" spans="1:2" x14ac:dyDescent="0.25">
      <c r="A312" t="s">
        <v>424</v>
      </c>
      <c r="B312" s="46">
        <v>12320</v>
      </c>
    </row>
    <row r="313" spans="1:2" x14ac:dyDescent="0.25">
      <c r="A313" t="s">
        <v>425</v>
      </c>
      <c r="B313" s="46">
        <v>12320</v>
      </c>
    </row>
    <row r="314" spans="1:2" x14ac:dyDescent="0.25">
      <c r="A314" t="s">
        <v>426</v>
      </c>
      <c r="B314" s="46">
        <v>19145</v>
      </c>
    </row>
    <row r="315" spans="1:2" x14ac:dyDescent="0.25">
      <c r="A315" t="s">
        <v>427</v>
      </c>
      <c r="B315" s="46">
        <v>19145</v>
      </c>
    </row>
    <row r="316" spans="1:2" x14ac:dyDescent="0.25">
      <c r="A316" t="s">
        <v>428</v>
      </c>
      <c r="B316" s="46">
        <v>12320</v>
      </c>
    </row>
    <row r="317" spans="1:2" x14ac:dyDescent="0.25">
      <c r="A317" t="s">
        <v>429</v>
      </c>
      <c r="B317" s="46">
        <v>13370</v>
      </c>
    </row>
    <row r="318" spans="1:2" x14ac:dyDescent="0.25">
      <c r="A318" t="s">
        <v>430</v>
      </c>
      <c r="B318" s="46">
        <v>13370</v>
      </c>
    </row>
    <row r="319" spans="1:2" x14ac:dyDescent="0.25">
      <c r="A319" t="s">
        <v>431</v>
      </c>
      <c r="B319" s="46">
        <v>12320</v>
      </c>
    </row>
    <row r="320" spans="1:2" x14ac:dyDescent="0.25">
      <c r="A320" t="s">
        <v>432</v>
      </c>
      <c r="B320" s="46">
        <v>12320</v>
      </c>
    </row>
    <row r="321" spans="1:2" x14ac:dyDescent="0.25">
      <c r="A321" t="s">
        <v>433</v>
      </c>
      <c r="B321" s="46">
        <v>19145</v>
      </c>
    </row>
    <row r="322" spans="1:2" x14ac:dyDescent="0.25">
      <c r="A322" t="s">
        <v>434</v>
      </c>
      <c r="B322" s="46">
        <v>19145</v>
      </c>
    </row>
    <row r="323" spans="1:2" x14ac:dyDescent="0.25">
      <c r="A323" t="s">
        <v>435</v>
      </c>
      <c r="B323" s="46">
        <v>13370</v>
      </c>
    </row>
    <row r="324" spans="1:2" x14ac:dyDescent="0.25">
      <c r="A324" t="s">
        <v>436</v>
      </c>
      <c r="B324" s="46">
        <v>13370</v>
      </c>
    </row>
    <row r="325" spans="1:2" x14ac:dyDescent="0.25">
      <c r="A325" t="s">
        <v>437</v>
      </c>
      <c r="B325" s="46">
        <v>13675</v>
      </c>
    </row>
    <row r="326" spans="1:2" x14ac:dyDescent="0.25">
      <c r="A326" t="s">
        <v>438</v>
      </c>
      <c r="B326" s="46">
        <v>9550</v>
      </c>
    </row>
    <row r="327" spans="1:2" x14ac:dyDescent="0.25">
      <c r="A327" t="s">
        <v>439</v>
      </c>
      <c r="B327" s="46">
        <v>19145</v>
      </c>
    </row>
    <row r="328" spans="1:2" x14ac:dyDescent="0.25">
      <c r="A328" t="s">
        <v>440</v>
      </c>
      <c r="B328" s="46">
        <v>19145</v>
      </c>
    </row>
    <row r="329" spans="1:2" x14ac:dyDescent="0.25">
      <c r="A329" t="s">
        <v>441</v>
      </c>
      <c r="B329" s="46">
        <v>19145</v>
      </c>
    </row>
    <row r="330" spans="1:2" x14ac:dyDescent="0.25">
      <c r="A330" t="s">
        <v>442</v>
      </c>
      <c r="B330" s="46">
        <v>19145</v>
      </c>
    </row>
    <row r="331" spans="1:2" x14ac:dyDescent="0.25">
      <c r="A331" t="s">
        <v>443</v>
      </c>
      <c r="B331" s="46">
        <v>12475</v>
      </c>
    </row>
    <row r="332" spans="1:2" x14ac:dyDescent="0.25">
      <c r="A332" t="s">
        <v>444</v>
      </c>
      <c r="B332" s="46">
        <v>13370</v>
      </c>
    </row>
    <row r="333" spans="1:2" x14ac:dyDescent="0.25">
      <c r="A333" t="s">
        <v>445</v>
      </c>
      <c r="B333" s="46">
        <v>8800</v>
      </c>
    </row>
    <row r="334" spans="1:2" x14ac:dyDescent="0.25">
      <c r="A334" t="s">
        <v>446</v>
      </c>
      <c r="B334" s="46">
        <v>8800</v>
      </c>
    </row>
    <row r="335" spans="1:2" x14ac:dyDescent="0.25">
      <c r="A335" t="s">
        <v>447</v>
      </c>
      <c r="B335" s="46">
        <v>13370</v>
      </c>
    </row>
    <row r="336" spans="1:2" x14ac:dyDescent="0.25">
      <c r="A336" t="s">
        <v>448</v>
      </c>
      <c r="B336" s="46">
        <v>13370</v>
      </c>
    </row>
    <row r="337" spans="1:2" x14ac:dyDescent="0.25">
      <c r="A337" t="s">
        <v>449</v>
      </c>
      <c r="B337" s="46">
        <v>12475</v>
      </c>
    </row>
    <row r="338" spans="1:2" x14ac:dyDescent="0.25">
      <c r="A338" t="s">
        <v>450</v>
      </c>
      <c r="B338" s="46">
        <v>12320</v>
      </c>
    </row>
    <row r="339" spans="1:2" x14ac:dyDescent="0.25">
      <c r="A339" t="s">
        <v>451</v>
      </c>
      <c r="B339" s="46">
        <v>12320</v>
      </c>
    </row>
    <row r="340" spans="1:2" x14ac:dyDescent="0.25">
      <c r="A340" t="s">
        <v>452</v>
      </c>
      <c r="B340" s="46">
        <v>8800</v>
      </c>
    </row>
    <row r="341" spans="1:2" x14ac:dyDescent="0.25">
      <c r="A341" t="s">
        <v>453</v>
      </c>
      <c r="B341" s="46">
        <v>13370</v>
      </c>
    </row>
    <row r="342" spans="1:2" x14ac:dyDescent="0.25">
      <c r="A342" t="s">
        <v>454</v>
      </c>
      <c r="B342" s="46">
        <v>13370</v>
      </c>
    </row>
    <row r="343" spans="1:2" x14ac:dyDescent="0.25">
      <c r="A343" t="s">
        <v>455</v>
      </c>
      <c r="B343" s="46">
        <v>12320</v>
      </c>
    </row>
    <row r="344" spans="1:2" x14ac:dyDescent="0.25">
      <c r="A344" t="s">
        <v>456</v>
      </c>
      <c r="B344" s="46">
        <v>12320</v>
      </c>
    </row>
    <row r="345" spans="1:2" x14ac:dyDescent="0.25">
      <c r="A345" t="s">
        <v>457</v>
      </c>
      <c r="B345" s="46">
        <v>19145</v>
      </c>
    </row>
    <row r="346" spans="1:2" x14ac:dyDescent="0.25">
      <c r="A346" t="s">
        <v>458</v>
      </c>
      <c r="B346" s="46">
        <v>19145</v>
      </c>
    </row>
    <row r="347" spans="1:2" x14ac:dyDescent="0.25">
      <c r="A347" t="s">
        <v>459</v>
      </c>
      <c r="B347" s="46">
        <v>8800</v>
      </c>
    </row>
    <row r="348" spans="1:2" x14ac:dyDescent="0.25">
      <c r="A348" t="s">
        <v>460</v>
      </c>
      <c r="B348" s="46">
        <v>12320</v>
      </c>
    </row>
    <row r="349" spans="1:2" x14ac:dyDescent="0.25">
      <c r="A349" t="s">
        <v>461</v>
      </c>
      <c r="B349" s="46">
        <v>12320</v>
      </c>
    </row>
    <row r="350" spans="1:2" x14ac:dyDescent="0.25">
      <c r="A350" t="s">
        <v>462</v>
      </c>
      <c r="B350" s="46">
        <v>12320</v>
      </c>
    </row>
    <row r="351" spans="1:2" x14ac:dyDescent="0.25">
      <c r="A351" t="s">
        <v>463</v>
      </c>
      <c r="B351" s="46">
        <v>17465</v>
      </c>
    </row>
    <row r="352" spans="1:2" x14ac:dyDescent="0.25">
      <c r="A352" t="s">
        <v>464</v>
      </c>
      <c r="B352" s="46">
        <v>17465</v>
      </c>
    </row>
    <row r="353" spans="1:2" x14ac:dyDescent="0.25">
      <c r="A353" t="s">
        <v>465</v>
      </c>
      <c r="B353" s="46">
        <v>12475</v>
      </c>
    </row>
    <row r="354" spans="1:2" x14ac:dyDescent="0.25">
      <c r="A354" t="s">
        <v>466</v>
      </c>
      <c r="B354" s="46">
        <v>13370</v>
      </c>
    </row>
    <row r="355" spans="1:2" x14ac:dyDescent="0.25">
      <c r="A355" t="s">
        <v>467</v>
      </c>
      <c r="B355" s="46">
        <v>13370</v>
      </c>
    </row>
    <row r="356" spans="1:2" x14ac:dyDescent="0.25">
      <c r="A356" t="s">
        <v>468</v>
      </c>
      <c r="B356" s="46">
        <v>8800</v>
      </c>
    </row>
    <row r="357" spans="1:2" x14ac:dyDescent="0.25">
      <c r="A357" t="s">
        <v>469</v>
      </c>
      <c r="B357" s="46">
        <v>12320</v>
      </c>
    </row>
    <row r="358" spans="1:2" x14ac:dyDescent="0.25">
      <c r="A358" t="s">
        <v>470</v>
      </c>
      <c r="B358" s="46">
        <v>12320</v>
      </c>
    </row>
    <row r="359" spans="1:2" x14ac:dyDescent="0.25">
      <c r="A359" t="s">
        <v>471</v>
      </c>
      <c r="B359" s="46">
        <v>12320</v>
      </c>
    </row>
    <row r="360" spans="1:2" x14ac:dyDescent="0.25">
      <c r="A360" t="s">
        <v>472</v>
      </c>
      <c r="B360" s="46">
        <v>12320</v>
      </c>
    </row>
    <row r="361" spans="1:2" x14ac:dyDescent="0.25">
      <c r="A361" t="s">
        <v>473</v>
      </c>
      <c r="B361" s="46">
        <v>13370</v>
      </c>
    </row>
    <row r="362" spans="1:2" x14ac:dyDescent="0.25">
      <c r="A362" t="s">
        <v>474</v>
      </c>
      <c r="B362" s="46">
        <v>13370</v>
      </c>
    </row>
    <row r="363" spans="1:2" x14ac:dyDescent="0.25">
      <c r="A363" t="s">
        <v>475</v>
      </c>
      <c r="B363" s="46">
        <v>13370</v>
      </c>
    </row>
    <row r="364" spans="1:2" x14ac:dyDescent="0.25">
      <c r="A364" t="s">
        <v>476</v>
      </c>
      <c r="B364" s="46">
        <v>12320</v>
      </c>
    </row>
    <row r="365" spans="1:2" x14ac:dyDescent="0.25">
      <c r="A365" t="s">
        <v>477</v>
      </c>
      <c r="B365" s="46">
        <v>8800</v>
      </c>
    </row>
    <row r="366" spans="1:2" x14ac:dyDescent="0.25">
      <c r="A366" t="s">
        <v>478</v>
      </c>
      <c r="B366" s="46">
        <v>9550</v>
      </c>
    </row>
    <row r="367" spans="1:2" x14ac:dyDescent="0.25">
      <c r="A367" t="s">
        <v>479</v>
      </c>
      <c r="B367" s="46">
        <v>13370</v>
      </c>
    </row>
    <row r="368" spans="1:2" x14ac:dyDescent="0.25">
      <c r="A368" t="s">
        <v>480</v>
      </c>
      <c r="B368" s="46">
        <v>13370</v>
      </c>
    </row>
    <row r="369" spans="1:2" x14ac:dyDescent="0.25">
      <c r="A369" t="s">
        <v>481</v>
      </c>
      <c r="B369" s="46">
        <v>8800</v>
      </c>
    </row>
    <row r="370" spans="1:2" x14ac:dyDescent="0.25">
      <c r="A370" t="s">
        <v>482</v>
      </c>
      <c r="B370" s="46">
        <v>9550</v>
      </c>
    </row>
    <row r="371" spans="1:2" x14ac:dyDescent="0.25">
      <c r="A371" t="s">
        <v>483</v>
      </c>
      <c r="B371" s="46">
        <v>9550</v>
      </c>
    </row>
    <row r="372" spans="1:2" x14ac:dyDescent="0.25">
      <c r="A372" t="s">
        <v>484</v>
      </c>
      <c r="B372" s="46">
        <v>19145</v>
      </c>
    </row>
    <row r="373" spans="1:2" x14ac:dyDescent="0.25">
      <c r="A373" t="s">
        <v>485</v>
      </c>
      <c r="B373" s="46">
        <v>19145</v>
      </c>
    </row>
    <row r="374" spans="1:2" x14ac:dyDescent="0.25">
      <c r="A374" t="s">
        <v>486</v>
      </c>
      <c r="B374" s="46">
        <v>13370</v>
      </c>
    </row>
    <row r="375" spans="1:2" x14ac:dyDescent="0.25">
      <c r="A375" t="s">
        <v>487</v>
      </c>
      <c r="B375" s="46">
        <v>8800</v>
      </c>
    </row>
    <row r="376" spans="1:2" x14ac:dyDescent="0.25">
      <c r="A376" t="s">
        <v>488</v>
      </c>
      <c r="B376" s="46">
        <v>8800</v>
      </c>
    </row>
    <row r="377" spans="1:2" x14ac:dyDescent="0.25">
      <c r="A377" t="s">
        <v>489</v>
      </c>
      <c r="B377" s="46">
        <v>19145</v>
      </c>
    </row>
    <row r="378" spans="1:2" x14ac:dyDescent="0.25">
      <c r="A378" t="s">
        <v>490</v>
      </c>
      <c r="B378" s="46">
        <v>8800</v>
      </c>
    </row>
    <row r="379" spans="1:2" x14ac:dyDescent="0.25">
      <c r="A379" t="s">
        <v>491</v>
      </c>
      <c r="B379" s="46">
        <v>9550</v>
      </c>
    </row>
    <row r="380" spans="1:2" x14ac:dyDescent="0.25">
      <c r="A380" t="s">
        <v>492</v>
      </c>
      <c r="B380" s="46">
        <v>12475</v>
      </c>
    </row>
    <row r="381" spans="1:2" x14ac:dyDescent="0.25">
      <c r="A381" t="s">
        <v>493</v>
      </c>
      <c r="B381" s="46">
        <v>9550</v>
      </c>
    </row>
    <row r="382" spans="1:2" x14ac:dyDescent="0.25">
      <c r="A382" t="s">
        <v>494</v>
      </c>
      <c r="B382" s="46">
        <v>8800</v>
      </c>
    </row>
    <row r="383" spans="1:2" x14ac:dyDescent="0.25">
      <c r="A383" t="s">
        <v>495</v>
      </c>
      <c r="B383" s="46">
        <v>9550</v>
      </c>
    </row>
    <row r="384" spans="1:2" x14ac:dyDescent="0.25">
      <c r="A384" t="s">
        <v>496</v>
      </c>
      <c r="B384" s="46">
        <v>9550</v>
      </c>
    </row>
    <row r="385" spans="1:2" x14ac:dyDescent="0.25">
      <c r="A385" t="s">
        <v>497</v>
      </c>
      <c r="B385" s="46">
        <v>9550</v>
      </c>
    </row>
    <row r="386" spans="1:2" x14ac:dyDescent="0.25">
      <c r="A386" t="s">
        <v>498</v>
      </c>
      <c r="B386" s="46">
        <v>13675</v>
      </c>
    </row>
    <row r="387" spans="1:2" x14ac:dyDescent="0.25">
      <c r="A387" t="s">
        <v>499</v>
      </c>
      <c r="B387" s="46">
        <v>9550</v>
      </c>
    </row>
    <row r="388" spans="1:2" x14ac:dyDescent="0.25">
      <c r="A388" t="s">
        <v>500</v>
      </c>
      <c r="B388" s="46">
        <v>12320</v>
      </c>
    </row>
    <row r="389" spans="1:2" x14ac:dyDescent="0.25">
      <c r="A389" t="s">
        <v>501</v>
      </c>
      <c r="B389" s="46">
        <v>17465</v>
      </c>
    </row>
    <row r="390" spans="1:2" x14ac:dyDescent="0.25">
      <c r="A390" t="s">
        <v>502</v>
      </c>
      <c r="B390" s="46">
        <v>17465</v>
      </c>
    </row>
    <row r="391" spans="1:2" x14ac:dyDescent="0.25">
      <c r="A391" t="s">
        <v>503</v>
      </c>
      <c r="B391" s="46">
        <v>12320</v>
      </c>
    </row>
    <row r="392" spans="1:2" x14ac:dyDescent="0.25">
      <c r="A392" t="s">
        <v>504</v>
      </c>
      <c r="B392" s="46">
        <v>13370</v>
      </c>
    </row>
    <row r="393" spans="1:2" x14ac:dyDescent="0.25">
      <c r="A393" t="s">
        <v>505</v>
      </c>
      <c r="B393" s="46">
        <v>13370</v>
      </c>
    </row>
    <row r="394" spans="1:2" x14ac:dyDescent="0.25">
      <c r="A394" t="s">
        <v>506</v>
      </c>
      <c r="B394" s="46">
        <v>9550</v>
      </c>
    </row>
    <row r="395" spans="1:2" x14ac:dyDescent="0.25">
      <c r="A395" t="s">
        <v>507</v>
      </c>
      <c r="B395" s="46">
        <v>13370</v>
      </c>
    </row>
    <row r="396" spans="1:2" x14ac:dyDescent="0.25">
      <c r="A396" t="s">
        <v>508</v>
      </c>
      <c r="B396" s="46">
        <v>13370</v>
      </c>
    </row>
    <row r="397" spans="1:2" x14ac:dyDescent="0.25">
      <c r="A397" t="s">
        <v>509</v>
      </c>
      <c r="B397" s="46">
        <v>19145</v>
      </c>
    </row>
    <row r="398" spans="1:2" x14ac:dyDescent="0.25">
      <c r="A398" t="s">
        <v>510</v>
      </c>
      <c r="B398" s="46">
        <v>19145</v>
      </c>
    </row>
    <row r="399" spans="1:2" x14ac:dyDescent="0.25">
      <c r="A399" t="s">
        <v>511</v>
      </c>
      <c r="B399" s="46">
        <v>12320</v>
      </c>
    </row>
    <row r="400" spans="1:2" x14ac:dyDescent="0.25">
      <c r="A400" t="s">
        <v>512</v>
      </c>
      <c r="B400" s="46">
        <v>12320</v>
      </c>
    </row>
    <row r="401" spans="1:2" x14ac:dyDescent="0.25">
      <c r="A401" t="s">
        <v>513</v>
      </c>
      <c r="B401" s="46">
        <v>13370</v>
      </c>
    </row>
    <row r="402" spans="1:2" x14ac:dyDescent="0.25">
      <c r="A402" t="s">
        <v>514</v>
      </c>
      <c r="B402" s="46">
        <v>13370</v>
      </c>
    </row>
    <row r="403" spans="1:2" x14ac:dyDescent="0.25">
      <c r="A403" t="s">
        <v>515</v>
      </c>
      <c r="B403" s="46">
        <v>9550</v>
      </c>
    </row>
    <row r="404" spans="1:2" x14ac:dyDescent="0.25">
      <c r="A404" t="s">
        <v>516</v>
      </c>
      <c r="B404" s="46">
        <v>8800</v>
      </c>
    </row>
    <row r="405" spans="1:2" x14ac:dyDescent="0.25">
      <c r="A405" t="s">
        <v>517</v>
      </c>
      <c r="B405" s="46">
        <v>8800</v>
      </c>
    </row>
    <row r="406" spans="1:2" x14ac:dyDescent="0.25">
      <c r="A406" t="s">
        <v>518</v>
      </c>
      <c r="B406" s="46">
        <v>8800</v>
      </c>
    </row>
    <row r="407" spans="1:2" x14ac:dyDescent="0.25">
      <c r="A407" t="s">
        <v>519</v>
      </c>
      <c r="B407" s="46">
        <v>8800</v>
      </c>
    </row>
    <row r="408" spans="1:2" x14ac:dyDescent="0.25">
      <c r="A408" t="s">
        <v>520</v>
      </c>
      <c r="B408" s="46">
        <v>8800</v>
      </c>
    </row>
    <row r="409" spans="1:2" x14ac:dyDescent="0.25">
      <c r="A409" t="s">
        <v>521</v>
      </c>
      <c r="B409" s="46">
        <v>17465</v>
      </c>
    </row>
    <row r="410" spans="1:2" x14ac:dyDescent="0.25">
      <c r="A410" t="s">
        <v>522</v>
      </c>
      <c r="B410" s="46">
        <v>17465</v>
      </c>
    </row>
    <row r="411" spans="1:2" x14ac:dyDescent="0.25">
      <c r="A411" t="s">
        <v>523</v>
      </c>
      <c r="B411" s="46">
        <v>8800</v>
      </c>
    </row>
    <row r="412" spans="1:2" x14ac:dyDescent="0.25">
      <c r="A412" t="s">
        <v>524</v>
      </c>
      <c r="B412" s="46">
        <v>12320</v>
      </c>
    </row>
    <row r="413" spans="1:2" x14ac:dyDescent="0.25">
      <c r="A413" t="s">
        <v>525</v>
      </c>
      <c r="B413" s="46">
        <v>12320</v>
      </c>
    </row>
    <row r="414" spans="1:2" x14ac:dyDescent="0.25">
      <c r="A414" t="s">
        <v>526</v>
      </c>
      <c r="B414" s="46">
        <v>12320</v>
      </c>
    </row>
    <row r="415" spans="1:2" x14ac:dyDescent="0.25">
      <c r="A415" t="s">
        <v>527</v>
      </c>
      <c r="B415" s="46">
        <v>12320</v>
      </c>
    </row>
    <row r="416" spans="1:2" x14ac:dyDescent="0.25">
      <c r="A416" t="s">
        <v>528</v>
      </c>
      <c r="B416" s="46">
        <v>13370</v>
      </c>
    </row>
    <row r="417" spans="1:2" x14ac:dyDescent="0.25">
      <c r="A417" t="s">
        <v>529</v>
      </c>
      <c r="B417" s="46">
        <v>13370</v>
      </c>
    </row>
    <row r="418" spans="1:2" x14ac:dyDescent="0.25">
      <c r="A418" t="s">
        <v>530</v>
      </c>
      <c r="B418" s="46">
        <v>8800</v>
      </c>
    </row>
    <row r="419" spans="1:2" x14ac:dyDescent="0.25">
      <c r="A419" t="s">
        <v>531</v>
      </c>
      <c r="B419" s="46">
        <v>8800</v>
      </c>
    </row>
    <row r="420" spans="1:2" x14ac:dyDescent="0.25">
      <c r="A420" t="s">
        <v>532</v>
      </c>
      <c r="B420" s="46">
        <v>13370</v>
      </c>
    </row>
    <row r="421" spans="1:2" x14ac:dyDescent="0.25">
      <c r="A421" t="s">
        <v>533</v>
      </c>
      <c r="B421" s="46">
        <v>13370</v>
      </c>
    </row>
    <row r="422" spans="1:2" x14ac:dyDescent="0.25">
      <c r="A422" t="s">
        <v>534</v>
      </c>
      <c r="B422" s="46">
        <v>8800</v>
      </c>
    </row>
    <row r="423" spans="1:2" x14ac:dyDescent="0.25">
      <c r="A423" t="s">
        <v>535</v>
      </c>
      <c r="B423" s="46">
        <v>17465</v>
      </c>
    </row>
    <row r="424" spans="1:2" x14ac:dyDescent="0.25">
      <c r="A424" t="s">
        <v>536</v>
      </c>
      <c r="B424" s="46">
        <v>17465</v>
      </c>
    </row>
    <row r="425" spans="1:2" x14ac:dyDescent="0.25">
      <c r="A425" t="s">
        <v>537</v>
      </c>
      <c r="B425" s="46">
        <v>8800</v>
      </c>
    </row>
    <row r="426" spans="1:2" x14ac:dyDescent="0.25">
      <c r="A426" t="s">
        <v>538</v>
      </c>
      <c r="B426" s="46">
        <v>13370</v>
      </c>
    </row>
    <row r="427" spans="1:2" x14ac:dyDescent="0.25">
      <c r="A427" t="s">
        <v>539</v>
      </c>
      <c r="B427" s="46">
        <v>13370</v>
      </c>
    </row>
    <row r="428" spans="1:2" x14ac:dyDescent="0.25">
      <c r="A428" t="s">
        <v>540</v>
      </c>
      <c r="B428" s="46">
        <v>17465</v>
      </c>
    </row>
    <row r="429" spans="1:2" x14ac:dyDescent="0.25">
      <c r="A429" t="s">
        <v>541</v>
      </c>
      <c r="B429" s="46">
        <v>17465</v>
      </c>
    </row>
    <row r="430" spans="1:2" x14ac:dyDescent="0.25">
      <c r="A430" t="s">
        <v>542</v>
      </c>
      <c r="B430" s="46">
        <v>12320</v>
      </c>
    </row>
    <row r="431" spans="1:2" x14ac:dyDescent="0.25">
      <c r="A431" t="s">
        <v>543</v>
      </c>
      <c r="B431" s="46">
        <v>12320</v>
      </c>
    </row>
    <row r="432" spans="1:2" x14ac:dyDescent="0.25">
      <c r="A432" t="s">
        <v>544</v>
      </c>
      <c r="B432" s="46">
        <v>19145</v>
      </c>
    </row>
    <row r="433" spans="1:2" x14ac:dyDescent="0.25">
      <c r="A433" t="s">
        <v>545</v>
      </c>
      <c r="B433" s="46">
        <v>19145</v>
      </c>
    </row>
    <row r="434" spans="1:2" x14ac:dyDescent="0.25">
      <c r="A434" t="s">
        <v>546</v>
      </c>
      <c r="B434" s="46">
        <v>12320</v>
      </c>
    </row>
    <row r="435" spans="1:2" x14ac:dyDescent="0.25">
      <c r="A435" t="s">
        <v>547</v>
      </c>
      <c r="B435" s="46">
        <v>19145</v>
      </c>
    </row>
    <row r="436" spans="1:2" x14ac:dyDescent="0.25">
      <c r="A436" t="s">
        <v>548</v>
      </c>
      <c r="B436" s="46">
        <v>19145</v>
      </c>
    </row>
    <row r="437" spans="1:2" x14ac:dyDescent="0.25">
      <c r="A437" t="s">
        <v>549</v>
      </c>
      <c r="B437" s="46">
        <v>12320</v>
      </c>
    </row>
    <row r="438" spans="1:2" x14ac:dyDescent="0.25">
      <c r="A438" t="s">
        <v>550</v>
      </c>
      <c r="B438" s="46">
        <v>12320</v>
      </c>
    </row>
    <row r="439" spans="1:2" x14ac:dyDescent="0.25">
      <c r="A439" t="s">
        <v>551</v>
      </c>
      <c r="B439" s="46">
        <v>8800</v>
      </c>
    </row>
    <row r="440" spans="1:2" x14ac:dyDescent="0.25">
      <c r="A440" t="s">
        <v>552</v>
      </c>
      <c r="B440" s="46">
        <v>8800</v>
      </c>
    </row>
    <row r="441" spans="1:2" x14ac:dyDescent="0.25">
      <c r="A441" t="s">
        <v>553</v>
      </c>
      <c r="B441" s="46">
        <v>8800</v>
      </c>
    </row>
    <row r="442" spans="1:2" x14ac:dyDescent="0.25">
      <c r="A442" t="s">
        <v>554</v>
      </c>
      <c r="B442" s="46">
        <v>12320</v>
      </c>
    </row>
    <row r="443" spans="1:2" x14ac:dyDescent="0.25">
      <c r="A443" t="s">
        <v>555</v>
      </c>
      <c r="B443" s="46">
        <v>12320</v>
      </c>
    </row>
    <row r="444" spans="1:2" x14ac:dyDescent="0.25">
      <c r="A444" t="s">
        <v>556</v>
      </c>
      <c r="B444" s="46">
        <v>12320</v>
      </c>
    </row>
    <row r="445" spans="1:2" x14ac:dyDescent="0.25">
      <c r="A445" t="s">
        <v>557</v>
      </c>
      <c r="B445" s="46">
        <v>12320</v>
      </c>
    </row>
    <row r="446" spans="1:2" x14ac:dyDescent="0.25">
      <c r="A446" t="s">
        <v>558</v>
      </c>
      <c r="B446" s="46">
        <v>12320</v>
      </c>
    </row>
    <row r="447" spans="1:2" x14ac:dyDescent="0.25">
      <c r="A447" t="s">
        <v>559</v>
      </c>
      <c r="B447" s="46">
        <v>12320</v>
      </c>
    </row>
    <row r="448" spans="1:2" x14ac:dyDescent="0.25">
      <c r="A448" t="s">
        <v>560</v>
      </c>
      <c r="B448" s="46">
        <v>12320</v>
      </c>
    </row>
    <row r="449" spans="1:2" x14ac:dyDescent="0.25">
      <c r="A449" t="s">
        <v>561</v>
      </c>
      <c r="B449" s="46">
        <v>12320</v>
      </c>
    </row>
    <row r="450" spans="1:2" x14ac:dyDescent="0.25">
      <c r="A450" t="s">
        <v>562</v>
      </c>
      <c r="B450" s="46">
        <v>12320</v>
      </c>
    </row>
    <row r="451" spans="1:2" x14ac:dyDescent="0.25">
      <c r="A451" t="s">
        <v>563</v>
      </c>
      <c r="B451" s="46">
        <v>8800</v>
      </c>
    </row>
    <row r="452" spans="1:2" x14ac:dyDescent="0.25">
      <c r="A452" t="s">
        <v>564</v>
      </c>
      <c r="B452" s="46">
        <v>12320</v>
      </c>
    </row>
    <row r="453" spans="1:2" x14ac:dyDescent="0.25">
      <c r="A453" t="s">
        <v>565</v>
      </c>
      <c r="B453" s="46">
        <v>8800</v>
      </c>
    </row>
    <row r="454" spans="1:2" x14ac:dyDescent="0.25">
      <c r="A454" t="s">
        <v>566</v>
      </c>
      <c r="B454" s="46">
        <v>8800</v>
      </c>
    </row>
    <row r="455" spans="1:2" x14ac:dyDescent="0.25">
      <c r="A455" t="s">
        <v>567</v>
      </c>
      <c r="B455" s="46">
        <v>12320</v>
      </c>
    </row>
    <row r="456" spans="1:2" x14ac:dyDescent="0.25">
      <c r="A456" t="s">
        <v>568</v>
      </c>
      <c r="B456" s="46">
        <v>12320</v>
      </c>
    </row>
    <row r="457" spans="1:2" x14ac:dyDescent="0.25">
      <c r="A457" t="s">
        <v>569</v>
      </c>
      <c r="B457" s="46">
        <v>8800</v>
      </c>
    </row>
    <row r="458" spans="1:2" x14ac:dyDescent="0.25">
      <c r="A458" t="s">
        <v>570</v>
      </c>
      <c r="B458" s="46">
        <v>8800</v>
      </c>
    </row>
    <row r="459" spans="1:2" x14ac:dyDescent="0.25">
      <c r="A459" t="s">
        <v>571</v>
      </c>
      <c r="B459" s="46">
        <v>8800</v>
      </c>
    </row>
    <row r="460" spans="1:2" x14ac:dyDescent="0.25">
      <c r="A460" t="s">
        <v>572</v>
      </c>
      <c r="B460" s="46">
        <v>12320</v>
      </c>
    </row>
    <row r="461" spans="1:2" x14ac:dyDescent="0.25">
      <c r="A461" t="s">
        <v>573</v>
      </c>
      <c r="B461" s="46">
        <v>13370</v>
      </c>
    </row>
    <row r="462" spans="1:2" x14ac:dyDescent="0.25">
      <c r="A462" t="s">
        <v>574</v>
      </c>
      <c r="B462" s="46">
        <v>13370</v>
      </c>
    </row>
    <row r="463" spans="1:2" x14ac:dyDescent="0.25">
      <c r="A463" t="s">
        <v>575</v>
      </c>
      <c r="B463" s="46">
        <v>12320</v>
      </c>
    </row>
    <row r="464" spans="1:2" x14ac:dyDescent="0.25">
      <c r="A464" t="s">
        <v>576</v>
      </c>
      <c r="B464" s="46">
        <v>12320</v>
      </c>
    </row>
    <row r="465" spans="1:2" x14ac:dyDescent="0.25">
      <c r="A465" t="s">
        <v>577</v>
      </c>
      <c r="B465" s="46">
        <v>13370</v>
      </c>
    </row>
    <row r="466" spans="1:2" x14ac:dyDescent="0.25">
      <c r="A466" t="s">
        <v>578</v>
      </c>
      <c r="B466" s="46">
        <v>9550</v>
      </c>
    </row>
    <row r="467" spans="1:2" x14ac:dyDescent="0.25">
      <c r="A467" t="s">
        <v>579</v>
      </c>
      <c r="B467" s="46">
        <v>19145</v>
      </c>
    </row>
    <row r="468" spans="1:2" x14ac:dyDescent="0.25">
      <c r="A468" t="s">
        <v>580</v>
      </c>
      <c r="B468" s="46">
        <v>19145</v>
      </c>
    </row>
    <row r="469" spans="1:2" x14ac:dyDescent="0.25">
      <c r="A469" t="s">
        <v>581</v>
      </c>
      <c r="B469" s="46">
        <v>13370</v>
      </c>
    </row>
    <row r="470" spans="1:2" x14ac:dyDescent="0.25">
      <c r="A470" t="s">
        <v>582</v>
      </c>
      <c r="B470" s="46">
        <v>12320</v>
      </c>
    </row>
    <row r="471" spans="1:2" x14ac:dyDescent="0.25">
      <c r="A471" t="s">
        <v>583</v>
      </c>
      <c r="B471" s="46">
        <v>12320</v>
      </c>
    </row>
    <row r="472" spans="1:2" x14ac:dyDescent="0.25">
      <c r="A472" t="s">
        <v>584</v>
      </c>
      <c r="B472" s="46">
        <v>12320</v>
      </c>
    </row>
    <row r="473" spans="1:2" x14ac:dyDescent="0.25">
      <c r="A473" t="s">
        <v>585</v>
      </c>
      <c r="B473" s="46">
        <v>13370</v>
      </c>
    </row>
    <row r="474" spans="1:2" x14ac:dyDescent="0.25">
      <c r="A474" t="s">
        <v>586</v>
      </c>
      <c r="B474" s="46">
        <v>13370</v>
      </c>
    </row>
    <row r="475" spans="1:2" x14ac:dyDescent="0.25">
      <c r="A475" t="s">
        <v>587</v>
      </c>
      <c r="B475" s="46">
        <v>12320</v>
      </c>
    </row>
    <row r="476" spans="1:2" x14ac:dyDescent="0.25">
      <c r="A476" t="s">
        <v>588</v>
      </c>
      <c r="B476" s="46">
        <v>8800</v>
      </c>
    </row>
    <row r="477" spans="1:2" x14ac:dyDescent="0.25">
      <c r="A477" t="s">
        <v>589</v>
      </c>
      <c r="B477" s="46">
        <v>12320</v>
      </c>
    </row>
    <row r="478" spans="1:2" x14ac:dyDescent="0.25">
      <c r="A478" t="s">
        <v>590</v>
      </c>
      <c r="B478" s="46">
        <v>8800</v>
      </c>
    </row>
    <row r="479" spans="1:2" x14ac:dyDescent="0.25">
      <c r="A479" t="s">
        <v>591</v>
      </c>
      <c r="B479" s="46">
        <v>9550</v>
      </c>
    </row>
    <row r="480" spans="1:2" x14ac:dyDescent="0.25">
      <c r="A480" t="s">
        <v>592</v>
      </c>
      <c r="B480" s="46">
        <v>8800</v>
      </c>
    </row>
    <row r="481" spans="1:2" x14ac:dyDescent="0.25">
      <c r="A481" t="s">
        <v>593</v>
      </c>
      <c r="B481" s="46">
        <v>13675</v>
      </c>
    </row>
    <row r="482" spans="1:2" x14ac:dyDescent="0.25">
      <c r="A482" t="s">
        <v>594</v>
      </c>
      <c r="B482" s="46">
        <v>9550</v>
      </c>
    </row>
    <row r="483" spans="1:2" x14ac:dyDescent="0.25">
      <c r="A483" t="s">
        <v>595</v>
      </c>
      <c r="B483" s="46">
        <v>9550</v>
      </c>
    </row>
    <row r="484" spans="1:2" x14ac:dyDescent="0.25">
      <c r="A484" t="s">
        <v>596</v>
      </c>
      <c r="B484" s="46">
        <v>8800</v>
      </c>
    </row>
    <row r="485" spans="1:2" x14ac:dyDescent="0.25">
      <c r="A485" t="s">
        <v>597</v>
      </c>
      <c r="B485" s="46">
        <v>8800</v>
      </c>
    </row>
    <row r="486" spans="1:2" x14ac:dyDescent="0.25">
      <c r="A486" t="s">
        <v>598</v>
      </c>
      <c r="B486" s="46">
        <v>8800</v>
      </c>
    </row>
    <row r="487" spans="1:2" x14ac:dyDescent="0.25">
      <c r="A487" t="s">
        <v>599</v>
      </c>
      <c r="B487" s="46">
        <v>13370</v>
      </c>
    </row>
    <row r="488" spans="1:2" x14ac:dyDescent="0.25">
      <c r="A488" t="s">
        <v>600</v>
      </c>
      <c r="B488" s="46">
        <v>12475</v>
      </c>
    </row>
    <row r="489" spans="1:2" x14ac:dyDescent="0.25">
      <c r="A489" t="s">
        <v>601</v>
      </c>
      <c r="B489" s="46">
        <v>8800</v>
      </c>
    </row>
    <row r="490" spans="1:2" x14ac:dyDescent="0.25">
      <c r="A490" t="s">
        <v>602</v>
      </c>
      <c r="B490" s="46">
        <v>9550</v>
      </c>
    </row>
    <row r="491" spans="1:2" x14ac:dyDescent="0.25">
      <c r="A491" t="s">
        <v>603</v>
      </c>
      <c r="B491" s="46">
        <v>8800</v>
      </c>
    </row>
    <row r="492" spans="1:2" x14ac:dyDescent="0.25">
      <c r="A492" t="s">
        <v>604</v>
      </c>
      <c r="B492" s="46">
        <v>8800</v>
      </c>
    </row>
    <row r="493" spans="1:2" x14ac:dyDescent="0.25">
      <c r="A493" t="s">
        <v>605</v>
      </c>
      <c r="B493" s="46">
        <v>8800</v>
      </c>
    </row>
    <row r="494" spans="1:2" x14ac:dyDescent="0.25">
      <c r="A494" t="s">
        <v>606</v>
      </c>
      <c r="B494" s="46">
        <v>12320</v>
      </c>
    </row>
    <row r="495" spans="1:2" x14ac:dyDescent="0.25">
      <c r="A495" t="s">
        <v>607</v>
      </c>
      <c r="B495" s="46">
        <v>8800</v>
      </c>
    </row>
    <row r="496" spans="1:2" x14ac:dyDescent="0.25">
      <c r="A496" t="s">
        <v>608</v>
      </c>
      <c r="B496" s="46">
        <v>8800</v>
      </c>
    </row>
    <row r="497" spans="1:2" x14ac:dyDescent="0.25">
      <c r="A497" t="s">
        <v>609</v>
      </c>
      <c r="B497" s="46">
        <v>8800</v>
      </c>
    </row>
    <row r="498" spans="1:2" x14ac:dyDescent="0.25">
      <c r="A498" t="s">
        <v>610</v>
      </c>
      <c r="B498" s="46">
        <v>8800</v>
      </c>
    </row>
    <row r="499" spans="1:2" x14ac:dyDescent="0.25">
      <c r="A499" t="s">
        <v>611</v>
      </c>
      <c r="B499" s="46">
        <v>8800</v>
      </c>
    </row>
    <row r="500" spans="1:2" x14ac:dyDescent="0.25">
      <c r="A500" t="s">
        <v>612</v>
      </c>
      <c r="B500" s="46">
        <v>9550</v>
      </c>
    </row>
    <row r="501" spans="1:2" x14ac:dyDescent="0.25">
      <c r="A501" t="s">
        <v>613</v>
      </c>
      <c r="B501" s="46">
        <v>8800</v>
      </c>
    </row>
    <row r="502" spans="1:2" x14ac:dyDescent="0.25">
      <c r="A502" t="s">
        <v>614</v>
      </c>
      <c r="B502" s="46">
        <v>12320</v>
      </c>
    </row>
    <row r="503" spans="1:2" x14ac:dyDescent="0.25">
      <c r="A503" t="s">
        <v>615</v>
      </c>
      <c r="B503" s="46">
        <v>12320</v>
      </c>
    </row>
    <row r="504" spans="1:2" x14ac:dyDescent="0.25">
      <c r="A504" t="s">
        <v>616</v>
      </c>
      <c r="B504" s="46">
        <v>8800</v>
      </c>
    </row>
    <row r="505" spans="1:2" x14ac:dyDescent="0.25">
      <c r="A505" t="s">
        <v>617</v>
      </c>
      <c r="B505" s="46">
        <v>8800</v>
      </c>
    </row>
    <row r="506" spans="1:2" x14ac:dyDescent="0.25">
      <c r="A506" t="s">
        <v>618</v>
      </c>
      <c r="B506" s="46">
        <v>8800</v>
      </c>
    </row>
    <row r="507" spans="1:2" x14ac:dyDescent="0.25">
      <c r="A507" t="s">
        <v>619</v>
      </c>
      <c r="B507" s="46">
        <v>12320</v>
      </c>
    </row>
    <row r="508" spans="1:2" x14ac:dyDescent="0.25">
      <c r="A508" t="s">
        <v>620</v>
      </c>
      <c r="B508" s="46">
        <v>12320</v>
      </c>
    </row>
    <row r="509" spans="1:2" x14ac:dyDescent="0.25">
      <c r="A509" t="s">
        <v>621</v>
      </c>
      <c r="B509" s="46">
        <v>8800</v>
      </c>
    </row>
    <row r="510" spans="1:2" x14ac:dyDescent="0.25">
      <c r="A510" t="s">
        <v>622</v>
      </c>
      <c r="B510" s="46">
        <v>12320</v>
      </c>
    </row>
    <row r="511" spans="1:2" x14ac:dyDescent="0.25">
      <c r="A511" t="s">
        <v>623</v>
      </c>
      <c r="B511" s="46">
        <v>12320</v>
      </c>
    </row>
    <row r="512" spans="1:2" x14ac:dyDescent="0.25">
      <c r="A512" t="s">
        <v>624</v>
      </c>
      <c r="B512" s="46">
        <v>8800</v>
      </c>
    </row>
    <row r="513" spans="1:2" x14ac:dyDescent="0.25">
      <c r="A513" t="s">
        <v>625</v>
      </c>
      <c r="B513" s="46">
        <v>8800</v>
      </c>
    </row>
    <row r="514" spans="1:2" x14ac:dyDescent="0.25">
      <c r="A514" t="s">
        <v>626</v>
      </c>
      <c r="B514" s="46">
        <v>12320</v>
      </c>
    </row>
    <row r="515" spans="1:2" x14ac:dyDescent="0.25">
      <c r="A515" t="s">
        <v>627</v>
      </c>
      <c r="B515" s="46">
        <v>12320</v>
      </c>
    </row>
    <row r="516" spans="1:2" x14ac:dyDescent="0.25">
      <c r="A516" t="s">
        <v>628</v>
      </c>
      <c r="B516" s="46">
        <v>13370</v>
      </c>
    </row>
    <row r="517" spans="1:2" x14ac:dyDescent="0.25">
      <c r="A517" t="s">
        <v>629</v>
      </c>
      <c r="B517" s="46">
        <v>8800</v>
      </c>
    </row>
    <row r="518" spans="1:2" x14ac:dyDescent="0.25">
      <c r="A518" t="s">
        <v>630</v>
      </c>
      <c r="B518" s="46">
        <v>8800</v>
      </c>
    </row>
    <row r="519" spans="1:2" x14ac:dyDescent="0.25">
      <c r="A519" t="s">
        <v>631</v>
      </c>
      <c r="B519" s="46">
        <v>8800</v>
      </c>
    </row>
    <row r="520" spans="1:2" x14ac:dyDescent="0.25">
      <c r="A520" t="s">
        <v>632</v>
      </c>
      <c r="B520" s="46">
        <v>12320</v>
      </c>
    </row>
    <row r="521" spans="1:2" x14ac:dyDescent="0.25">
      <c r="A521" t="s">
        <v>633</v>
      </c>
      <c r="B521" s="46">
        <v>13675</v>
      </c>
    </row>
    <row r="522" spans="1:2" x14ac:dyDescent="0.25">
      <c r="A522" t="s">
        <v>634</v>
      </c>
      <c r="B522" s="46">
        <v>8800</v>
      </c>
    </row>
    <row r="523" spans="1:2" x14ac:dyDescent="0.25">
      <c r="A523" t="s">
        <v>635</v>
      </c>
      <c r="B523" s="46">
        <v>12475</v>
      </c>
    </row>
    <row r="524" spans="1:2" x14ac:dyDescent="0.25">
      <c r="A524" t="s">
        <v>636</v>
      </c>
      <c r="B524" s="46">
        <v>8800</v>
      </c>
    </row>
    <row r="525" spans="1:2" x14ac:dyDescent="0.25">
      <c r="A525" t="s">
        <v>637</v>
      </c>
      <c r="B525" s="46">
        <v>13370</v>
      </c>
    </row>
    <row r="526" spans="1:2" x14ac:dyDescent="0.25">
      <c r="A526" t="s">
        <v>638</v>
      </c>
      <c r="B526" s="46">
        <v>13370</v>
      </c>
    </row>
    <row r="527" spans="1:2" x14ac:dyDescent="0.25">
      <c r="A527" t="s">
        <v>639</v>
      </c>
      <c r="B527" s="46">
        <v>13370</v>
      </c>
    </row>
    <row r="528" spans="1:2" x14ac:dyDescent="0.25">
      <c r="A528" t="s">
        <v>640</v>
      </c>
      <c r="B528" s="46">
        <v>13370</v>
      </c>
    </row>
    <row r="529" spans="1:2" x14ac:dyDescent="0.25">
      <c r="A529" t="s">
        <v>641</v>
      </c>
      <c r="B529" s="46">
        <v>12320</v>
      </c>
    </row>
    <row r="530" spans="1:2" x14ac:dyDescent="0.25">
      <c r="A530" t="s">
        <v>642</v>
      </c>
      <c r="B530" s="46">
        <v>12320</v>
      </c>
    </row>
    <row r="531" spans="1:2" x14ac:dyDescent="0.25">
      <c r="A531" t="s">
        <v>643</v>
      </c>
      <c r="B531" s="46">
        <v>8800</v>
      </c>
    </row>
    <row r="532" spans="1:2" x14ac:dyDescent="0.25">
      <c r="A532" t="s">
        <v>644</v>
      </c>
      <c r="B532" s="46">
        <v>19145</v>
      </c>
    </row>
    <row r="533" spans="1:2" x14ac:dyDescent="0.25">
      <c r="A533" t="s">
        <v>645</v>
      </c>
      <c r="B533" s="46">
        <v>12320</v>
      </c>
    </row>
    <row r="534" spans="1:2" x14ac:dyDescent="0.25">
      <c r="A534" t="s">
        <v>646</v>
      </c>
      <c r="B534" s="46">
        <v>12320</v>
      </c>
    </row>
    <row r="535" spans="1:2" x14ac:dyDescent="0.25">
      <c r="A535" t="s">
        <v>647</v>
      </c>
      <c r="B535" s="46">
        <v>13370</v>
      </c>
    </row>
    <row r="536" spans="1:2" x14ac:dyDescent="0.25">
      <c r="A536" t="s">
        <v>648</v>
      </c>
      <c r="B536" s="46">
        <v>12320</v>
      </c>
    </row>
    <row r="537" spans="1:2" x14ac:dyDescent="0.25">
      <c r="A537" t="s">
        <v>649</v>
      </c>
      <c r="B537" s="46">
        <v>13370</v>
      </c>
    </row>
    <row r="538" spans="1:2" x14ac:dyDescent="0.25">
      <c r="A538" t="s">
        <v>650</v>
      </c>
      <c r="B538" s="46">
        <v>13370</v>
      </c>
    </row>
    <row r="539" spans="1:2" x14ac:dyDescent="0.25">
      <c r="A539" t="s">
        <v>651</v>
      </c>
      <c r="B539" s="46">
        <v>8800</v>
      </c>
    </row>
    <row r="540" spans="1:2" x14ac:dyDescent="0.25">
      <c r="A540" t="s">
        <v>652</v>
      </c>
      <c r="B540" s="46">
        <v>12320</v>
      </c>
    </row>
    <row r="541" spans="1:2" x14ac:dyDescent="0.25">
      <c r="A541" t="s">
        <v>653</v>
      </c>
      <c r="B541" s="46">
        <v>12320</v>
      </c>
    </row>
    <row r="542" spans="1:2" x14ac:dyDescent="0.25">
      <c r="A542" t="s">
        <v>654</v>
      </c>
      <c r="B542" s="46">
        <v>12320</v>
      </c>
    </row>
    <row r="543" spans="1:2" x14ac:dyDescent="0.25">
      <c r="A543" t="s">
        <v>655</v>
      </c>
      <c r="B543" s="46">
        <v>12320</v>
      </c>
    </row>
    <row r="544" spans="1:2" x14ac:dyDescent="0.25">
      <c r="A544" t="s">
        <v>656</v>
      </c>
      <c r="B544" s="46">
        <v>8800</v>
      </c>
    </row>
    <row r="545" spans="1:2" x14ac:dyDescent="0.25">
      <c r="A545" t="s">
        <v>657</v>
      </c>
      <c r="B545" s="46">
        <v>8800</v>
      </c>
    </row>
    <row r="546" spans="1:2" x14ac:dyDescent="0.25">
      <c r="A546" t="s">
        <v>658</v>
      </c>
      <c r="B546" s="46">
        <v>8800</v>
      </c>
    </row>
    <row r="547" spans="1:2" x14ac:dyDescent="0.25">
      <c r="A547" t="s">
        <v>659</v>
      </c>
      <c r="B547" s="46">
        <v>13370</v>
      </c>
    </row>
    <row r="548" spans="1:2" x14ac:dyDescent="0.25">
      <c r="A548" t="s">
        <v>660</v>
      </c>
      <c r="B548" s="46">
        <v>12320</v>
      </c>
    </row>
    <row r="549" spans="1:2" x14ac:dyDescent="0.25">
      <c r="A549" t="s">
        <v>661</v>
      </c>
      <c r="B549" s="46">
        <v>12320</v>
      </c>
    </row>
    <row r="550" spans="1:2" x14ac:dyDescent="0.25">
      <c r="A550" t="s">
        <v>662</v>
      </c>
      <c r="B550" s="46">
        <v>12320</v>
      </c>
    </row>
    <row r="551" spans="1:2" x14ac:dyDescent="0.25">
      <c r="A551" t="s">
        <v>663</v>
      </c>
      <c r="B551" s="46">
        <v>12320</v>
      </c>
    </row>
    <row r="552" spans="1:2" x14ac:dyDescent="0.25">
      <c r="A552" t="s">
        <v>664</v>
      </c>
      <c r="B552" s="46">
        <v>9550</v>
      </c>
    </row>
    <row r="553" spans="1:2" x14ac:dyDescent="0.25">
      <c r="A553" t="s">
        <v>665</v>
      </c>
      <c r="B553" s="46">
        <v>12320</v>
      </c>
    </row>
    <row r="554" spans="1:2" x14ac:dyDescent="0.25">
      <c r="A554" t="s">
        <v>666</v>
      </c>
      <c r="B554" s="46">
        <v>12320</v>
      </c>
    </row>
    <row r="555" spans="1:2" x14ac:dyDescent="0.25">
      <c r="A555" t="s">
        <v>667</v>
      </c>
      <c r="B555" s="46">
        <v>12320</v>
      </c>
    </row>
    <row r="556" spans="1:2" x14ac:dyDescent="0.25">
      <c r="A556" t="s">
        <v>668</v>
      </c>
      <c r="B556" s="46">
        <v>13370</v>
      </c>
    </row>
    <row r="557" spans="1:2" x14ac:dyDescent="0.25">
      <c r="A557" t="s">
        <v>669</v>
      </c>
      <c r="B557" s="46">
        <v>13370</v>
      </c>
    </row>
    <row r="558" spans="1:2" x14ac:dyDescent="0.25">
      <c r="A558" t="s">
        <v>670</v>
      </c>
      <c r="B558" s="46">
        <v>9550</v>
      </c>
    </row>
    <row r="559" spans="1:2" x14ac:dyDescent="0.25">
      <c r="A559" t="s">
        <v>671</v>
      </c>
      <c r="B559" s="46">
        <v>13370</v>
      </c>
    </row>
    <row r="560" spans="1:2" x14ac:dyDescent="0.25">
      <c r="A560" t="s">
        <v>672</v>
      </c>
      <c r="B560" s="46">
        <v>13370</v>
      </c>
    </row>
    <row r="561" spans="1:2" x14ac:dyDescent="0.25">
      <c r="A561" t="s">
        <v>673</v>
      </c>
      <c r="B561" s="46">
        <v>13370</v>
      </c>
    </row>
    <row r="562" spans="1:2" x14ac:dyDescent="0.25">
      <c r="A562" t="s">
        <v>674</v>
      </c>
      <c r="B562" s="46">
        <v>13370</v>
      </c>
    </row>
    <row r="563" spans="1:2" x14ac:dyDescent="0.25">
      <c r="A563" t="s">
        <v>675</v>
      </c>
      <c r="B563" s="46">
        <v>9550</v>
      </c>
    </row>
    <row r="564" spans="1:2" x14ac:dyDescent="0.25">
      <c r="A564" t="s">
        <v>676</v>
      </c>
      <c r="B564" s="46">
        <v>9550</v>
      </c>
    </row>
    <row r="565" spans="1:2" x14ac:dyDescent="0.25">
      <c r="A565" t="s">
        <v>677</v>
      </c>
      <c r="B565" s="46">
        <v>8800</v>
      </c>
    </row>
    <row r="566" spans="1:2" x14ac:dyDescent="0.25">
      <c r="A566" t="s">
        <v>678</v>
      </c>
      <c r="B566" s="46">
        <v>8800</v>
      </c>
    </row>
    <row r="567" spans="1:2" x14ac:dyDescent="0.25">
      <c r="A567" t="s">
        <v>679</v>
      </c>
      <c r="B567" s="46">
        <v>13370</v>
      </c>
    </row>
    <row r="568" spans="1:2" x14ac:dyDescent="0.25">
      <c r="A568" t="s">
        <v>680</v>
      </c>
      <c r="B568" s="46">
        <v>13370</v>
      </c>
    </row>
    <row r="569" spans="1:2" x14ac:dyDescent="0.25">
      <c r="A569" t="s">
        <v>681</v>
      </c>
      <c r="B569" s="46">
        <v>12320</v>
      </c>
    </row>
    <row r="570" spans="1:2" x14ac:dyDescent="0.25">
      <c r="A570" t="s">
        <v>682</v>
      </c>
      <c r="B570" s="46">
        <v>12320</v>
      </c>
    </row>
    <row r="571" spans="1:2" x14ac:dyDescent="0.25">
      <c r="A571" t="s">
        <v>683</v>
      </c>
      <c r="B571" s="46">
        <v>12320</v>
      </c>
    </row>
    <row r="572" spans="1:2" x14ac:dyDescent="0.25">
      <c r="A572" t="s">
        <v>683</v>
      </c>
      <c r="B572" s="46">
        <v>19145</v>
      </c>
    </row>
    <row r="573" spans="1:2" x14ac:dyDescent="0.25">
      <c r="A573" t="s">
        <v>684</v>
      </c>
      <c r="B573" s="46">
        <v>12320</v>
      </c>
    </row>
    <row r="574" spans="1:2" x14ac:dyDescent="0.25">
      <c r="A574" t="s">
        <v>684</v>
      </c>
      <c r="B574" s="46">
        <v>19145</v>
      </c>
    </row>
    <row r="575" spans="1:2" x14ac:dyDescent="0.25">
      <c r="A575" t="s">
        <v>685</v>
      </c>
      <c r="B575" s="46">
        <v>12320</v>
      </c>
    </row>
    <row r="576" spans="1:2" x14ac:dyDescent="0.25">
      <c r="A576" t="s">
        <v>686</v>
      </c>
      <c r="B576" s="46">
        <v>12320</v>
      </c>
    </row>
    <row r="577" spans="1:2" x14ac:dyDescent="0.25">
      <c r="A577" t="s">
        <v>687</v>
      </c>
      <c r="B577" s="46">
        <v>12475</v>
      </c>
    </row>
    <row r="578" spans="1:2" x14ac:dyDescent="0.25">
      <c r="A578" t="s">
        <v>688</v>
      </c>
      <c r="B578" s="46">
        <v>12320</v>
      </c>
    </row>
    <row r="579" spans="1:2" x14ac:dyDescent="0.25">
      <c r="A579" t="s">
        <v>689</v>
      </c>
      <c r="B579" s="46">
        <v>12320</v>
      </c>
    </row>
    <row r="580" spans="1:2" x14ac:dyDescent="0.25">
      <c r="A580" t="s">
        <v>690</v>
      </c>
      <c r="B580" s="46">
        <v>13370</v>
      </c>
    </row>
    <row r="581" spans="1:2" x14ac:dyDescent="0.25">
      <c r="A581" t="s">
        <v>691</v>
      </c>
      <c r="B581" s="46">
        <v>13370</v>
      </c>
    </row>
    <row r="582" spans="1:2" x14ac:dyDescent="0.25">
      <c r="A582" t="s">
        <v>692</v>
      </c>
      <c r="B582" s="46">
        <v>13370</v>
      </c>
    </row>
    <row r="583" spans="1:2" x14ac:dyDescent="0.25">
      <c r="A583" t="s">
        <v>693</v>
      </c>
      <c r="B583" s="46">
        <v>12320</v>
      </c>
    </row>
    <row r="584" spans="1:2" x14ac:dyDescent="0.25">
      <c r="A584" t="s">
        <v>694</v>
      </c>
      <c r="B584" s="46">
        <v>12320</v>
      </c>
    </row>
    <row r="585" spans="1:2" x14ac:dyDescent="0.25">
      <c r="A585" t="s">
        <v>695</v>
      </c>
      <c r="B585" s="46">
        <v>12475</v>
      </c>
    </row>
    <row r="586" spans="1:2" x14ac:dyDescent="0.25">
      <c r="A586" t="s">
        <v>696</v>
      </c>
      <c r="B586" s="46">
        <v>8800</v>
      </c>
    </row>
    <row r="587" spans="1:2" x14ac:dyDescent="0.25">
      <c r="A587" t="s">
        <v>697</v>
      </c>
      <c r="B587" s="46">
        <v>12320</v>
      </c>
    </row>
    <row r="588" spans="1:2" x14ac:dyDescent="0.25">
      <c r="A588" t="s">
        <v>698</v>
      </c>
      <c r="B588" s="46">
        <v>12320</v>
      </c>
    </row>
    <row r="589" spans="1:2" x14ac:dyDescent="0.25">
      <c r="A589" t="s">
        <v>699</v>
      </c>
      <c r="B589" s="46">
        <v>8800</v>
      </c>
    </row>
    <row r="590" spans="1:2" x14ac:dyDescent="0.25">
      <c r="A590" t="s">
        <v>700</v>
      </c>
      <c r="B590" s="46">
        <v>8800</v>
      </c>
    </row>
    <row r="591" spans="1:2" x14ac:dyDescent="0.25">
      <c r="A591" t="s">
        <v>701</v>
      </c>
      <c r="B591" s="46">
        <v>8800</v>
      </c>
    </row>
    <row r="592" spans="1:2" x14ac:dyDescent="0.25">
      <c r="A592" t="s">
        <v>702</v>
      </c>
      <c r="B592" s="46">
        <v>8800</v>
      </c>
    </row>
    <row r="593" spans="1:2" x14ac:dyDescent="0.25">
      <c r="A593" t="s">
        <v>703</v>
      </c>
      <c r="B593" s="46">
        <v>8800</v>
      </c>
    </row>
    <row r="594" spans="1:2" x14ac:dyDescent="0.25">
      <c r="A594" t="s">
        <v>704</v>
      </c>
      <c r="B594" s="46">
        <v>8800</v>
      </c>
    </row>
    <row r="595" spans="1:2" x14ac:dyDescent="0.25">
      <c r="A595" t="s">
        <v>705</v>
      </c>
      <c r="B595" s="46">
        <v>9550</v>
      </c>
    </row>
    <row r="596" spans="1:2" x14ac:dyDescent="0.25">
      <c r="A596" t="s">
        <v>706</v>
      </c>
      <c r="B596" s="46">
        <v>8800</v>
      </c>
    </row>
    <row r="597" spans="1:2" x14ac:dyDescent="0.25">
      <c r="A597" t="s">
        <v>707</v>
      </c>
      <c r="B597" s="46">
        <v>8800</v>
      </c>
    </row>
    <row r="598" spans="1:2" x14ac:dyDescent="0.25">
      <c r="A598" t="s">
        <v>708</v>
      </c>
      <c r="B598" s="46">
        <v>8800</v>
      </c>
    </row>
    <row r="599" spans="1:2" x14ac:dyDescent="0.25">
      <c r="A599" t="s">
        <v>709</v>
      </c>
      <c r="B599" s="46">
        <v>12320</v>
      </c>
    </row>
    <row r="600" spans="1:2" x14ac:dyDescent="0.25">
      <c r="A600" t="s">
        <v>710</v>
      </c>
      <c r="B600" s="46">
        <v>12320</v>
      </c>
    </row>
    <row r="601" spans="1:2" x14ac:dyDescent="0.25">
      <c r="A601" t="s">
        <v>711</v>
      </c>
      <c r="B601" s="46">
        <v>12320</v>
      </c>
    </row>
    <row r="602" spans="1:2" x14ac:dyDescent="0.25">
      <c r="A602" t="s">
        <v>712</v>
      </c>
      <c r="B602" s="46">
        <v>12320</v>
      </c>
    </row>
    <row r="603" spans="1:2" x14ac:dyDescent="0.25">
      <c r="A603" t="s">
        <v>713</v>
      </c>
      <c r="B603" s="46">
        <v>12320</v>
      </c>
    </row>
    <row r="604" spans="1:2" x14ac:dyDescent="0.25">
      <c r="A604" t="s">
        <v>714</v>
      </c>
      <c r="B604" s="46">
        <v>13370</v>
      </c>
    </row>
    <row r="605" spans="1:2" x14ac:dyDescent="0.25">
      <c r="A605" t="s">
        <v>715</v>
      </c>
      <c r="B605" s="46">
        <v>13370</v>
      </c>
    </row>
    <row r="606" spans="1:2" x14ac:dyDescent="0.25">
      <c r="A606" t="s">
        <v>716</v>
      </c>
      <c r="B606" s="46">
        <v>12320</v>
      </c>
    </row>
    <row r="607" spans="1:2" x14ac:dyDescent="0.25">
      <c r="A607" t="s">
        <v>717</v>
      </c>
      <c r="B607" s="46">
        <v>13370</v>
      </c>
    </row>
    <row r="608" spans="1:2" x14ac:dyDescent="0.25">
      <c r="A608" t="s">
        <v>718</v>
      </c>
      <c r="B608" s="46">
        <v>13370</v>
      </c>
    </row>
    <row r="609" spans="1:2" x14ac:dyDescent="0.25">
      <c r="A609" t="s">
        <v>719</v>
      </c>
      <c r="B609" s="46">
        <v>13370</v>
      </c>
    </row>
    <row r="610" spans="1:2" x14ac:dyDescent="0.25">
      <c r="A610" t="s">
        <v>720</v>
      </c>
      <c r="B610" s="46">
        <v>13370</v>
      </c>
    </row>
    <row r="611" spans="1:2" x14ac:dyDescent="0.25">
      <c r="A611" t="s">
        <v>721</v>
      </c>
      <c r="B611" s="46">
        <v>12320</v>
      </c>
    </row>
    <row r="612" spans="1:2" x14ac:dyDescent="0.25">
      <c r="A612" t="s">
        <v>722</v>
      </c>
      <c r="B612" s="46">
        <v>12320</v>
      </c>
    </row>
    <row r="613" spans="1:2" x14ac:dyDescent="0.25">
      <c r="A613" t="s">
        <v>723</v>
      </c>
      <c r="B613" s="46">
        <v>8800</v>
      </c>
    </row>
    <row r="614" spans="1:2" x14ac:dyDescent="0.25">
      <c r="A614" t="s">
        <v>724</v>
      </c>
      <c r="B614" s="46">
        <v>9550</v>
      </c>
    </row>
    <row r="615" spans="1:2" x14ac:dyDescent="0.25">
      <c r="A615" t="s">
        <v>725</v>
      </c>
      <c r="B615" s="46">
        <v>12320</v>
      </c>
    </row>
    <row r="616" spans="1:2" x14ac:dyDescent="0.25">
      <c r="A616" t="s">
        <v>726</v>
      </c>
      <c r="B616" s="46">
        <v>12320</v>
      </c>
    </row>
    <row r="617" spans="1:2" x14ac:dyDescent="0.25">
      <c r="A617" t="s">
        <v>727</v>
      </c>
      <c r="B617" s="46">
        <v>8800</v>
      </c>
    </row>
    <row r="618" spans="1:2" x14ac:dyDescent="0.25">
      <c r="A618" t="s">
        <v>728</v>
      </c>
      <c r="B618" s="46">
        <v>8800</v>
      </c>
    </row>
    <row r="619" spans="1:2" x14ac:dyDescent="0.25">
      <c r="A619" t="s">
        <v>729</v>
      </c>
      <c r="B619" s="46">
        <v>8800</v>
      </c>
    </row>
    <row r="620" spans="1:2" x14ac:dyDescent="0.25">
      <c r="A620" t="s">
        <v>730</v>
      </c>
      <c r="B620" s="46">
        <v>8800</v>
      </c>
    </row>
    <row r="621" spans="1:2" x14ac:dyDescent="0.25">
      <c r="A621" t="s">
        <v>731</v>
      </c>
      <c r="B621" s="46">
        <v>8800</v>
      </c>
    </row>
    <row r="622" spans="1:2" x14ac:dyDescent="0.25">
      <c r="A622" t="s">
        <v>732</v>
      </c>
      <c r="B622" s="46">
        <v>8800</v>
      </c>
    </row>
    <row r="623" spans="1:2" x14ac:dyDescent="0.25">
      <c r="A623" t="s">
        <v>733</v>
      </c>
      <c r="B623" s="46">
        <v>8800</v>
      </c>
    </row>
    <row r="624" spans="1:2" x14ac:dyDescent="0.25">
      <c r="A624" t="s">
        <v>734</v>
      </c>
      <c r="B624" s="46">
        <v>13675</v>
      </c>
    </row>
    <row r="625" spans="1:2" x14ac:dyDescent="0.25">
      <c r="A625" t="s">
        <v>735</v>
      </c>
      <c r="B625" s="46">
        <v>17465</v>
      </c>
    </row>
    <row r="626" spans="1:2" x14ac:dyDescent="0.25">
      <c r="A626" t="s">
        <v>736</v>
      </c>
      <c r="B626" s="46">
        <v>17465</v>
      </c>
    </row>
    <row r="627" spans="1:2" x14ac:dyDescent="0.25">
      <c r="A627" t="s">
        <v>737</v>
      </c>
      <c r="B627" s="46">
        <v>8800</v>
      </c>
    </row>
    <row r="628" spans="1:2" x14ac:dyDescent="0.25">
      <c r="A628" t="s">
        <v>738</v>
      </c>
      <c r="B628" s="46">
        <v>12475</v>
      </c>
    </row>
    <row r="629" spans="1:2" x14ac:dyDescent="0.25">
      <c r="A629" t="s">
        <v>739</v>
      </c>
      <c r="B629" s="46">
        <v>13675</v>
      </c>
    </row>
    <row r="630" spans="1:2" x14ac:dyDescent="0.25">
      <c r="A630" t="s">
        <v>740</v>
      </c>
      <c r="B630" s="46">
        <v>9550</v>
      </c>
    </row>
    <row r="631" spans="1:2" x14ac:dyDescent="0.25">
      <c r="A631" t="s">
        <v>741</v>
      </c>
      <c r="B631" s="46">
        <v>8800</v>
      </c>
    </row>
    <row r="632" spans="1:2" x14ac:dyDescent="0.25">
      <c r="A632" t="s">
        <v>742</v>
      </c>
      <c r="B632" s="46">
        <v>8800</v>
      </c>
    </row>
    <row r="633" spans="1:2" x14ac:dyDescent="0.25">
      <c r="A633" t="s">
        <v>743</v>
      </c>
      <c r="B633" s="46">
        <v>9550</v>
      </c>
    </row>
    <row r="634" spans="1:2" x14ac:dyDescent="0.25">
      <c r="A634" t="s">
        <v>744</v>
      </c>
      <c r="B634" s="46">
        <v>13370</v>
      </c>
    </row>
    <row r="635" spans="1:2" x14ac:dyDescent="0.25">
      <c r="A635" t="s">
        <v>745</v>
      </c>
      <c r="B635" s="46">
        <v>13370</v>
      </c>
    </row>
    <row r="636" spans="1:2" x14ac:dyDescent="0.25">
      <c r="A636" t="s">
        <v>746</v>
      </c>
      <c r="B636" s="46">
        <v>13675</v>
      </c>
    </row>
    <row r="637" spans="1:2" x14ac:dyDescent="0.25">
      <c r="A637" t="s">
        <v>747</v>
      </c>
      <c r="B637" s="46">
        <v>12320</v>
      </c>
    </row>
    <row r="638" spans="1:2" x14ac:dyDescent="0.25">
      <c r="A638" t="s">
        <v>748</v>
      </c>
      <c r="B638" s="46">
        <v>17465</v>
      </c>
    </row>
    <row r="639" spans="1:2" x14ac:dyDescent="0.25">
      <c r="A639" t="s">
        <v>749</v>
      </c>
      <c r="B639" s="46">
        <v>17465</v>
      </c>
    </row>
    <row r="640" spans="1:2" x14ac:dyDescent="0.25">
      <c r="A640" t="s">
        <v>750</v>
      </c>
      <c r="B640" s="46">
        <v>13370</v>
      </c>
    </row>
    <row r="641" spans="1:2" x14ac:dyDescent="0.25">
      <c r="A641" t="s">
        <v>751</v>
      </c>
      <c r="B641" s="46">
        <v>13370</v>
      </c>
    </row>
    <row r="642" spans="1:2" x14ac:dyDescent="0.25">
      <c r="A642" t="s">
        <v>752</v>
      </c>
      <c r="B642" s="46">
        <v>8800</v>
      </c>
    </row>
    <row r="643" spans="1:2" x14ac:dyDescent="0.25">
      <c r="A643" t="s">
        <v>753</v>
      </c>
      <c r="B643" s="46">
        <v>8800</v>
      </c>
    </row>
    <row r="644" spans="1:2" x14ac:dyDescent="0.25">
      <c r="A644" t="s">
        <v>754</v>
      </c>
      <c r="B644" s="46">
        <v>8800</v>
      </c>
    </row>
    <row r="645" spans="1:2" x14ac:dyDescent="0.25">
      <c r="A645" t="s">
        <v>755</v>
      </c>
      <c r="B645" s="46">
        <v>8800</v>
      </c>
    </row>
    <row r="646" spans="1:2" x14ac:dyDescent="0.25">
      <c r="A646" t="s">
        <v>756</v>
      </c>
      <c r="B646" s="46">
        <v>8800</v>
      </c>
    </row>
    <row r="647" spans="1:2" x14ac:dyDescent="0.25">
      <c r="A647" t="s">
        <v>757</v>
      </c>
      <c r="B647" s="46">
        <v>8800</v>
      </c>
    </row>
    <row r="648" spans="1:2" x14ac:dyDescent="0.25">
      <c r="A648" t="s">
        <v>758</v>
      </c>
      <c r="B648" s="46">
        <v>8800</v>
      </c>
    </row>
    <row r="649" spans="1:2" x14ac:dyDescent="0.25">
      <c r="A649" t="s">
        <v>759</v>
      </c>
      <c r="B649" s="46">
        <v>9550</v>
      </c>
    </row>
    <row r="650" spans="1:2" x14ac:dyDescent="0.25">
      <c r="A650" t="s">
        <v>760</v>
      </c>
      <c r="B650" s="46">
        <v>13370</v>
      </c>
    </row>
    <row r="651" spans="1:2" x14ac:dyDescent="0.25">
      <c r="A651" t="s">
        <v>761</v>
      </c>
      <c r="B651" s="46">
        <v>8800</v>
      </c>
    </row>
    <row r="652" spans="1:2" x14ac:dyDescent="0.25">
      <c r="A652" t="s">
        <v>762</v>
      </c>
      <c r="B652" s="46">
        <v>8800</v>
      </c>
    </row>
    <row r="653" spans="1:2" x14ac:dyDescent="0.25">
      <c r="A653" t="s">
        <v>763</v>
      </c>
      <c r="B653" s="46">
        <v>8800</v>
      </c>
    </row>
    <row r="654" spans="1:2" x14ac:dyDescent="0.25">
      <c r="A654" t="s">
        <v>764</v>
      </c>
      <c r="B654" s="46">
        <v>12320</v>
      </c>
    </row>
    <row r="655" spans="1:2" x14ac:dyDescent="0.25">
      <c r="A655" t="s">
        <v>765</v>
      </c>
      <c r="B655" s="46">
        <v>12320</v>
      </c>
    </row>
    <row r="656" spans="1:2" x14ac:dyDescent="0.25">
      <c r="A656" t="s">
        <v>766</v>
      </c>
      <c r="B656" s="46">
        <v>12320</v>
      </c>
    </row>
    <row r="657" spans="1:2" x14ac:dyDescent="0.25">
      <c r="A657" t="s">
        <v>767</v>
      </c>
      <c r="B657" s="46">
        <v>12320</v>
      </c>
    </row>
    <row r="658" spans="1:2" x14ac:dyDescent="0.25">
      <c r="A658" t="s">
        <v>768</v>
      </c>
      <c r="B658" s="46">
        <v>12320</v>
      </c>
    </row>
    <row r="659" spans="1:2" x14ac:dyDescent="0.25">
      <c r="A659" t="s">
        <v>769</v>
      </c>
      <c r="B659" s="46">
        <v>12320</v>
      </c>
    </row>
    <row r="660" spans="1:2" x14ac:dyDescent="0.25">
      <c r="A660" t="s">
        <v>770</v>
      </c>
      <c r="B660" s="46">
        <v>13675</v>
      </c>
    </row>
    <row r="661" spans="1:2" x14ac:dyDescent="0.25">
      <c r="A661" t="s">
        <v>771</v>
      </c>
      <c r="B661" s="46">
        <v>12320</v>
      </c>
    </row>
    <row r="662" spans="1:2" x14ac:dyDescent="0.25">
      <c r="A662" t="s">
        <v>772</v>
      </c>
      <c r="B662" s="46">
        <v>12320</v>
      </c>
    </row>
    <row r="663" spans="1:2" x14ac:dyDescent="0.25">
      <c r="A663" t="s">
        <v>773</v>
      </c>
      <c r="B663" s="46">
        <v>12320</v>
      </c>
    </row>
    <row r="664" spans="1:2" x14ac:dyDescent="0.25">
      <c r="A664" t="s">
        <v>774</v>
      </c>
      <c r="B664" s="46">
        <v>12320</v>
      </c>
    </row>
    <row r="665" spans="1:2" x14ac:dyDescent="0.25">
      <c r="A665" t="s">
        <v>775</v>
      </c>
      <c r="B665" s="46">
        <v>12475</v>
      </c>
    </row>
    <row r="666" spans="1:2" x14ac:dyDescent="0.25">
      <c r="A666" t="s">
        <v>776</v>
      </c>
      <c r="B666" s="46">
        <v>19145</v>
      </c>
    </row>
    <row r="667" spans="1:2" x14ac:dyDescent="0.25">
      <c r="A667" t="s">
        <v>777</v>
      </c>
      <c r="B667" s="46">
        <v>19145</v>
      </c>
    </row>
    <row r="668" spans="1:2" x14ac:dyDescent="0.25">
      <c r="A668" t="s">
        <v>778</v>
      </c>
      <c r="B668" s="46">
        <v>8800</v>
      </c>
    </row>
    <row r="669" spans="1:2" x14ac:dyDescent="0.25">
      <c r="A669" t="s">
        <v>779</v>
      </c>
      <c r="B669" s="46">
        <v>8800</v>
      </c>
    </row>
    <row r="670" spans="1:2" x14ac:dyDescent="0.25">
      <c r="A670" t="s">
        <v>780</v>
      </c>
      <c r="B670" s="46">
        <v>13370</v>
      </c>
    </row>
    <row r="671" spans="1:2" x14ac:dyDescent="0.25">
      <c r="A671" t="s">
        <v>781</v>
      </c>
      <c r="B671" s="46">
        <v>13370</v>
      </c>
    </row>
    <row r="672" spans="1:2" x14ac:dyDescent="0.25">
      <c r="A672" t="s">
        <v>782</v>
      </c>
      <c r="B672" s="46">
        <v>8800</v>
      </c>
    </row>
    <row r="673" spans="1:2" x14ac:dyDescent="0.25">
      <c r="A673" t="s">
        <v>783</v>
      </c>
      <c r="B673" s="46">
        <v>13675</v>
      </c>
    </row>
    <row r="674" spans="1:2" x14ac:dyDescent="0.25">
      <c r="A674" t="s">
        <v>784</v>
      </c>
      <c r="B674" s="46">
        <v>8800</v>
      </c>
    </row>
    <row r="675" spans="1:2" x14ac:dyDescent="0.25">
      <c r="A675" t="s">
        <v>785</v>
      </c>
      <c r="B675" s="46">
        <v>9550</v>
      </c>
    </row>
    <row r="676" spans="1:2" x14ac:dyDescent="0.25">
      <c r="A676" t="s">
        <v>786</v>
      </c>
      <c r="B676" s="46">
        <v>12320</v>
      </c>
    </row>
    <row r="677" spans="1:2" x14ac:dyDescent="0.25">
      <c r="A677" t="s">
        <v>787</v>
      </c>
      <c r="B677" s="46">
        <v>13370</v>
      </c>
    </row>
    <row r="678" spans="1:2" x14ac:dyDescent="0.25">
      <c r="A678" t="s">
        <v>788</v>
      </c>
      <c r="B678" s="46">
        <v>13370</v>
      </c>
    </row>
    <row r="679" spans="1:2" x14ac:dyDescent="0.25">
      <c r="A679" t="s">
        <v>789</v>
      </c>
      <c r="B679" s="46">
        <v>13370</v>
      </c>
    </row>
    <row r="680" spans="1:2" x14ac:dyDescent="0.25">
      <c r="A680" t="s">
        <v>790</v>
      </c>
      <c r="B680" s="46">
        <v>13370</v>
      </c>
    </row>
    <row r="681" spans="1:2" x14ac:dyDescent="0.25">
      <c r="A681" t="s">
        <v>791</v>
      </c>
      <c r="B681" s="46">
        <v>12320</v>
      </c>
    </row>
    <row r="682" spans="1:2" x14ac:dyDescent="0.25">
      <c r="A682" t="s">
        <v>792</v>
      </c>
      <c r="B682" s="46">
        <v>12320</v>
      </c>
    </row>
    <row r="683" spans="1:2" x14ac:dyDescent="0.25">
      <c r="A683" t="s">
        <v>793</v>
      </c>
      <c r="B683" s="46">
        <v>12320</v>
      </c>
    </row>
    <row r="684" spans="1:2" x14ac:dyDescent="0.25">
      <c r="A684" t="s">
        <v>794</v>
      </c>
      <c r="B684" s="46">
        <v>12320</v>
      </c>
    </row>
    <row r="685" spans="1:2" x14ac:dyDescent="0.25">
      <c r="A685" t="s">
        <v>795</v>
      </c>
      <c r="B685" s="46">
        <v>13370</v>
      </c>
    </row>
    <row r="686" spans="1:2" x14ac:dyDescent="0.25">
      <c r="A686" t="s">
        <v>796</v>
      </c>
      <c r="B686" s="46">
        <v>13370</v>
      </c>
    </row>
    <row r="687" spans="1:2" x14ac:dyDescent="0.25">
      <c r="A687" t="s">
        <v>797</v>
      </c>
      <c r="B687" s="46">
        <v>13370</v>
      </c>
    </row>
    <row r="688" spans="1:2" x14ac:dyDescent="0.25">
      <c r="A688" t="s">
        <v>798</v>
      </c>
      <c r="B688" s="46">
        <v>13370</v>
      </c>
    </row>
    <row r="689" spans="1:2" x14ac:dyDescent="0.25">
      <c r="A689" t="s">
        <v>799</v>
      </c>
      <c r="B689" s="46">
        <v>12320</v>
      </c>
    </row>
    <row r="690" spans="1:2" x14ac:dyDescent="0.25">
      <c r="A690" t="s">
        <v>800</v>
      </c>
      <c r="B690" s="46">
        <v>12320</v>
      </c>
    </row>
    <row r="691" spans="1:2" x14ac:dyDescent="0.25">
      <c r="A691" t="s">
        <v>801</v>
      </c>
      <c r="B691" s="46">
        <v>12320</v>
      </c>
    </row>
    <row r="692" spans="1:2" x14ac:dyDescent="0.25">
      <c r="A692" t="s">
        <v>802</v>
      </c>
      <c r="B692" s="46">
        <v>12320</v>
      </c>
    </row>
    <row r="693" spans="1:2" x14ac:dyDescent="0.25">
      <c r="A693" t="s">
        <v>803</v>
      </c>
      <c r="B693" s="46">
        <v>12320</v>
      </c>
    </row>
    <row r="694" spans="1:2" x14ac:dyDescent="0.25">
      <c r="A694" t="s">
        <v>804</v>
      </c>
      <c r="B694" s="46">
        <v>8800</v>
      </c>
    </row>
    <row r="695" spans="1:2" x14ac:dyDescent="0.25">
      <c r="A695" t="s">
        <v>805</v>
      </c>
      <c r="B695" s="46">
        <v>8800</v>
      </c>
    </row>
    <row r="696" spans="1:2" x14ac:dyDescent="0.25">
      <c r="A696" t="s">
        <v>806</v>
      </c>
      <c r="B696" s="46">
        <v>8800</v>
      </c>
    </row>
    <row r="697" spans="1:2" x14ac:dyDescent="0.25">
      <c r="A697" t="s">
        <v>807</v>
      </c>
      <c r="B697" s="46">
        <v>9550</v>
      </c>
    </row>
    <row r="698" spans="1:2" x14ac:dyDescent="0.25">
      <c r="A698" t="s">
        <v>808</v>
      </c>
      <c r="B698" s="46">
        <v>9550</v>
      </c>
    </row>
    <row r="699" spans="1:2" x14ac:dyDescent="0.25">
      <c r="A699" t="s">
        <v>809</v>
      </c>
      <c r="B699" s="46">
        <v>12320</v>
      </c>
    </row>
    <row r="700" spans="1:2" x14ac:dyDescent="0.25">
      <c r="A700" t="s">
        <v>810</v>
      </c>
      <c r="B700" s="46">
        <v>12320</v>
      </c>
    </row>
    <row r="701" spans="1:2" x14ac:dyDescent="0.25">
      <c r="A701" t="s">
        <v>811</v>
      </c>
      <c r="B701" s="46">
        <v>12320</v>
      </c>
    </row>
    <row r="702" spans="1:2" x14ac:dyDescent="0.25">
      <c r="A702" t="s">
        <v>812</v>
      </c>
      <c r="B702" s="46">
        <v>8800</v>
      </c>
    </row>
    <row r="703" spans="1:2" x14ac:dyDescent="0.25">
      <c r="A703" t="s">
        <v>813</v>
      </c>
      <c r="B703" s="46">
        <v>8800</v>
      </c>
    </row>
    <row r="704" spans="1:2" x14ac:dyDescent="0.25">
      <c r="A704" t="s">
        <v>814</v>
      </c>
      <c r="B704" s="46">
        <v>8800</v>
      </c>
    </row>
    <row r="705" spans="1:2" x14ac:dyDescent="0.25">
      <c r="A705" t="s">
        <v>815</v>
      </c>
      <c r="B705" s="46">
        <v>12475</v>
      </c>
    </row>
    <row r="706" spans="1:2" x14ac:dyDescent="0.25">
      <c r="A706" t="s">
        <v>816</v>
      </c>
      <c r="B706" s="46">
        <v>12320</v>
      </c>
    </row>
    <row r="707" spans="1:2" x14ac:dyDescent="0.25">
      <c r="A707" t="s">
        <v>817</v>
      </c>
      <c r="B707" s="46">
        <v>12320</v>
      </c>
    </row>
    <row r="708" spans="1:2" x14ac:dyDescent="0.25">
      <c r="A708" t="s">
        <v>818</v>
      </c>
      <c r="B708" s="46">
        <v>12320</v>
      </c>
    </row>
    <row r="709" spans="1:2" x14ac:dyDescent="0.25">
      <c r="A709" t="s">
        <v>819</v>
      </c>
      <c r="B709" s="46">
        <v>12320</v>
      </c>
    </row>
    <row r="710" spans="1:2" x14ac:dyDescent="0.25">
      <c r="A710" t="s">
        <v>820</v>
      </c>
      <c r="B710" s="46">
        <v>12320</v>
      </c>
    </row>
    <row r="711" spans="1:2" x14ac:dyDescent="0.25">
      <c r="A711" t="s">
        <v>821</v>
      </c>
      <c r="B711" s="46">
        <v>8800</v>
      </c>
    </row>
    <row r="712" spans="1:2" x14ac:dyDescent="0.25">
      <c r="A712" t="s">
        <v>822</v>
      </c>
      <c r="B712" s="46">
        <v>12320</v>
      </c>
    </row>
    <row r="713" spans="1:2" x14ac:dyDescent="0.25">
      <c r="A713" t="s">
        <v>823</v>
      </c>
      <c r="B713" s="46">
        <v>12320</v>
      </c>
    </row>
    <row r="714" spans="1:2" x14ac:dyDescent="0.25">
      <c r="A714" t="s">
        <v>824</v>
      </c>
      <c r="B714" s="46">
        <v>12320</v>
      </c>
    </row>
    <row r="715" spans="1:2" x14ac:dyDescent="0.25">
      <c r="A715" t="s">
        <v>825</v>
      </c>
      <c r="B715" s="46">
        <v>12320</v>
      </c>
    </row>
    <row r="716" spans="1:2" x14ac:dyDescent="0.25">
      <c r="A716" t="s">
        <v>826</v>
      </c>
      <c r="B716" s="46">
        <v>13370</v>
      </c>
    </row>
    <row r="717" spans="1:2" x14ac:dyDescent="0.25">
      <c r="A717" t="s">
        <v>827</v>
      </c>
      <c r="B717" s="46">
        <v>13370</v>
      </c>
    </row>
    <row r="718" spans="1:2" x14ac:dyDescent="0.25">
      <c r="A718" t="s">
        <v>828</v>
      </c>
      <c r="B718" s="46">
        <v>12320</v>
      </c>
    </row>
    <row r="719" spans="1:2" x14ac:dyDescent="0.25">
      <c r="A719" t="s">
        <v>829</v>
      </c>
      <c r="B719" s="46">
        <v>13370</v>
      </c>
    </row>
    <row r="720" spans="1:2" x14ac:dyDescent="0.25">
      <c r="A720" t="s">
        <v>830</v>
      </c>
      <c r="B720" s="46">
        <v>13370</v>
      </c>
    </row>
    <row r="721" spans="1:2" x14ac:dyDescent="0.25">
      <c r="A721" t="s">
        <v>831</v>
      </c>
      <c r="B721" s="46">
        <v>13370</v>
      </c>
    </row>
    <row r="722" spans="1:2" x14ac:dyDescent="0.25">
      <c r="A722" t="s">
        <v>832</v>
      </c>
      <c r="B722" s="46">
        <v>19145</v>
      </c>
    </row>
    <row r="723" spans="1:2" x14ac:dyDescent="0.25">
      <c r="A723" t="s">
        <v>833</v>
      </c>
      <c r="B723" s="46">
        <v>19145</v>
      </c>
    </row>
    <row r="724" spans="1:2" x14ac:dyDescent="0.25">
      <c r="A724" t="s">
        <v>834</v>
      </c>
      <c r="B724" s="46">
        <v>12320</v>
      </c>
    </row>
    <row r="725" spans="1:2" x14ac:dyDescent="0.25">
      <c r="A725" t="s">
        <v>835</v>
      </c>
      <c r="B725" s="46">
        <v>12320</v>
      </c>
    </row>
    <row r="726" spans="1:2" x14ac:dyDescent="0.25">
      <c r="A726" t="s">
        <v>836</v>
      </c>
      <c r="B726" s="46">
        <v>9550</v>
      </c>
    </row>
    <row r="727" spans="1:2" x14ac:dyDescent="0.25">
      <c r="A727" t="s">
        <v>837</v>
      </c>
      <c r="B727" s="46">
        <v>12320</v>
      </c>
    </row>
    <row r="728" spans="1:2" x14ac:dyDescent="0.25">
      <c r="A728" t="s">
        <v>838</v>
      </c>
      <c r="B728" s="46">
        <v>12320</v>
      </c>
    </row>
    <row r="729" spans="1:2" x14ac:dyDescent="0.25">
      <c r="A729" t="s">
        <v>839</v>
      </c>
      <c r="B729" s="46">
        <v>8800</v>
      </c>
    </row>
    <row r="730" spans="1:2" x14ac:dyDescent="0.25">
      <c r="A730" t="s">
        <v>840</v>
      </c>
      <c r="B730" s="46">
        <v>19145</v>
      </c>
    </row>
    <row r="731" spans="1:2" x14ac:dyDescent="0.25">
      <c r="A731" t="s">
        <v>841</v>
      </c>
      <c r="B731" s="46">
        <v>19145</v>
      </c>
    </row>
    <row r="732" spans="1:2" x14ac:dyDescent="0.25">
      <c r="A732" t="s">
        <v>842</v>
      </c>
      <c r="B732" s="46">
        <v>8800</v>
      </c>
    </row>
    <row r="733" spans="1:2" x14ac:dyDescent="0.25">
      <c r="A733" t="s">
        <v>843</v>
      </c>
      <c r="B733" s="46">
        <v>12320</v>
      </c>
    </row>
    <row r="734" spans="1:2" x14ac:dyDescent="0.25">
      <c r="A734" t="s">
        <v>844</v>
      </c>
      <c r="B734" s="46">
        <v>8800</v>
      </c>
    </row>
    <row r="735" spans="1:2" x14ac:dyDescent="0.25">
      <c r="A735" t="s">
        <v>845</v>
      </c>
      <c r="B735" s="46">
        <v>8800</v>
      </c>
    </row>
    <row r="736" spans="1:2" x14ac:dyDescent="0.25">
      <c r="A736" t="s">
        <v>846</v>
      </c>
      <c r="B736" s="46">
        <v>8800</v>
      </c>
    </row>
    <row r="737" spans="1:2" x14ac:dyDescent="0.25">
      <c r="A737" t="s">
        <v>847</v>
      </c>
      <c r="B737" s="46">
        <v>9550</v>
      </c>
    </row>
    <row r="738" spans="1:2" x14ac:dyDescent="0.25">
      <c r="A738" t="s">
        <v>848</v>
      </c>
      <c r="B738" s="46">
        <v>9550</v>
      </c>
    </row>
    <row r="739" spans="1:2" x14ac:dyDescent="0.25">
      <c r="A739" t="s">
        <v>849</v>
      </c>
      <c r="B739" s="46">
        <v>9550</v>
      </c>
    </row>
    <row r="740" spans="1:2" x14ac:dyDescent="0.25">
      <c r="A740" t="s">
        <v>850</v>
      </c>
      <c r="B740" s="46">
        <v>8800</v>
      </c>
    </row>
    <row r="741" spans="1:2" x14ac:dyDescent="0.25">
      <c r="A741" t="s">
        <v>851</v>
      </c>
      <c r="B741" s="46">
        <v>8800</v>
      </c>
    </row>
    <row r="742" spans="1:2" x14ac:dyDescent="0.25">
      <c r="A742" t="s">
        <v>852</v>
      </c>
      <c r="B742" s="46">
        <v>12320</v>
      </c>
    </row>
    <row r="743" spans="1:2" x14ac:dyDescent="0.25">
      <c r="A743" t="s">
        <v>853</v>
      </c>
      <c r="B743" s="46">
        <v>8800</v>
      </c>
    </row>
    <row r="744" spans="1:2" x14ac:dyDescent="0.25">
      <c r="A744" t="s">
        <v>854</v>
      </c>
      <c r="B744" s="46">
        <v>13675</v>
      </c>
    </row>
    <row r="745" spans="1:2" x14ac:dyDescent="0.25">
      <c r="A745" t="s">
        <v>855</v>
      </c>
      <c r="B745" s="46">
        <v>8800</v>
      </c>
    </row>
    <row r="746" spans="1:2" x14ac:dyDescent="0.25">
      <c r="A746" t="s">
        <v>856</v>
      </c>
      <c r="B746" s="46">
        <v>8800</v>
      </c>
    </row>
    <row r="747" spans="1:2" x14ac:dyDescent="0.25">
      <c r="A747" t="s">
        <v>857</v>
      </c>
      <c r="B747" s="46">
        <v>8800</v>
      </c>
    </row>
    <row r="748" spans="1:2" x14ac:dyDescent="0.25">
      <c r="A748" t="s">
        <v>858</v>
      </c>
      <c r="B748" s="46">
        <v>8800</v>
      </c>
    </row>
    <row r="749" spans="1:2" x14ac:dyDescent="0.25">
      <c r="A749" t="s">
        <v>859</v>
      </c>
      <c r="B749" s="46">
        <v>13675</v>
      </c>
    </row>
    <row r="750" spans="1:2" x14ac:dyDescent="0.25">
      <c r="A750" t="s">
        <v>860</v>
      </c>
      <c r="B750" s="46">
        <v>13370</v>
      </c>
    </row>
    <row r="751" spans="1:2" x14ac:dyDescent="0.25">
      <c r="A751" t="s">
        <v>861</v>
      </c>
      <c r="B751" s="46">
        <v>13370</v>
      </c>
    </row>
    <row r="752" spans="1:2" x14ac:dyDescent="0.25">
      <c r="A752" t="s">
        <v>862</v>
      </c>
      <c r="B752" s="46">
        <v>9550</v>
      </c>
    </row>
    <row r="753" spans="1:2" x14ac:dyDescent="0.25">
      <c r="A753" t="s">
        <v>863</v>
      </c>
      <c r="B753" s="46">
        <v>13675</v>
      </c>
    </row>
    <row r="754" spans="1:2" x14ac:dyDescent="0.25">
      <c r="A754" t="s">
        <v>864</v>
      </c>
      <c r="B754" s="46">
        <v>9550</v>
      </c>
    </row>
    <row r="755" spans="1:2" x14ac:dyDescent="0.25">
      <c r="A755" t="s">
        <v>865</v>
      </c>
      <c r="B755" s="46">
        <v>12320</v>
      </c>
    </row>
    <row r="756" spans="1:2" x14ac:dyDescent="0.25">
      <c r="A756" t="s">
        <v>866</v>
      </c>
      <c r="B756" s="46">
        <v>12320</v>
      </c>
    </row>
    <row r="757" spans="1:2" x14ac:dyDescent="0.25">
      <c r="A757" t="s">
        <v>867</v>
      </c>
      <c r="B757" s="46">
        <v>13675</v>
      </c>
    </row>
    <row r="758" spans="1:2" x14ac:dyDescent="0.25">
      <c r="A758" t="s">
        <v>868</v>
      </c>
      <c r="B758" s="46">
        <v>12475</v>
      </c>
    </row>
    <row r="759" spans="1:2" x14ac:dyDescent="0.25">
      <c r="A759" t="s">
        <v>869</v>
      </c>
      <c r="B759" s="46">
        <v>12320</v>
      </c>
    </row>
    <row r="760" spans="1:2" x14ac:dyDescent="0.25">
      <c r="A760" t="s">
        <v>870</v>
      </c>
      <c r="B760" s="46">
        <v>9550</v>
      </c>
    </row>
    <row r="761" spans="1:2" x14ac:dyDescent="0.25">
      <c r="A761" t="s">
        <v>871</v>
      </c>
      <c r="B761" s="46">
        <v>9550</v>
      </c>
    </row>
    <row r="762" spans="1:2" x14ac:dyDescent="0.25">
      <c r="A762" t="s">
        <v>872</v>
      </c>
      <c r="B762" s="46">
        <v>12320</v>
      </c>
    </row>
    <row r="763" spans="1:2" x14ac:dyDescent="0.25">
      <c r="A763" t="s">
        <v>873</v>
      </c>
      <c r="B763" s="46">
        <v>12320</v>
      </c>
    </row>
    <row r="764" spans="1:2" x14ac:dyDescent="0.25">
      <c r="A764" t="s">
        <v>874</v>
      </c>
      <c r="B764" s="46">
        <v>8800</v>
      </c>
    </row>
    <row r="765" spans="1:2" x14ac:dyDescent="0.25">
      <c r="A765" t="s">
        <v>875</v>
      </c>
      <c r="B765" s="46">
        <v>8800</v>
      </c>
    </row>
    <row r="766" spans="1:2" x14ac:dyDescent="0.25">
      <c r="A766" t="s">
        <v>876</v>
      </c>
      <c r="B766" s="46">
        <v>8800</v>
      </c>
    </row>
    <row r="767" spans="1:2" x14ac:dyDescent="0.25">
      <c r="A767" t="s">
        <v>877</v>
      </c>
      <c r="B767" s="46">
        <v>9550</v>
      </c>
    </row>
    <row r="768" spans="1:2" x14ac:dyDescent="0.25">
      <c r="A768" t="s">
        <v>878</v>
      </c>
      <c r="B768" s="46">
        <v>8800</v>
      </c>
    </row>
    <row r="769" spans="1:2" x14ac:dyDescent="0.25">
      <c r="A769" t="s">
        <v>879</v>
      </c>
      <c r="B769" s="46">
        <v>8800</v>
      </c>
    </row>
    <row r="770" spans="1:2" x14ac:dyDescent="0.25">
      <c r="A770" t="s">
        <v>880</v>
      </c>
      <c r="B770" s="46">
        <v>8800</v>
      </c>
    </row>
    <row r="771" spans="1:2" x14ac:dyDescent="0.25">
      <c r="A771" t="s">
        <v>881</v>
      </c>
      <c r="B771" s="46">
        <v>13675</v>
      </c>
    </row>
    <row r="772" spans="1:2" x14ac:dyDescent="0.25">
      <c r="A772" t="s">
        <v>882</v>
      </c>
      <c r="B772" s="46">
        <v>9550</v>
      </c>
    </row>
    <row r="773" spans="1:2" x14ac:dyDescent="0.25">
      <c r="A773" t="s">
        <v>883</v>
      </c>
      <c r="B773" s="46">
        <v>13675</v>
      </c>
    </row>
    <row r="774" spans="1:2" x14ac:dyDescent="0.25">
      <c r="A774" t="s">
        <v>884</v>
      </c>
      <c r="B774" s="46">
        <v>9550</v>
      </c>
    </row>
    <row r="775" spans="1:2" x14ac:dyDescent="0.25">
      <c r="A775" t="s">
        <v>885</v>
      </c>
      <c r="B775" s="46">
        <v>9550</v>
      </c>
    </row>
    <row r="776" spans="1:2" x14ac:dyDescent="0.25">
      <c r="A776" t="s">
        <v>886</v>
      </c>
      <c r="B776" s="46">
        <v>9550</v>
      </c>
    </row>
    <row r="777" spans="1:2" x14ac:dyDescent="0.25">
      <c r="A777" t="s">
        <v>887</v>
      </c>
      <c r="B777" s="46">
        <v>8800</v>
      </c>
    </row>
    <row r="778" spans="1:2" x14ac:dyDescent="0.25">
      <c r="A778" t="s">
        <v>888</v>
      </c>
      <c r="B778" s="46">
        <v>8800</v>
      </c>
    </row>
    <row r="779" spans="1:2" x14ac:dyDescent="0.25">
      <c r="A779" t="s">
        <v>889</v>
      </c>
      <c r="B779" s="46">
        <v>12320</v>
      </c>
    </row>
    <row r="780" spans="1:2" x14ac:dyDescent="0.25">
      <c r="A780" t="s">
        <v>890</v>
      </c>
      <c r="B780" s="46">
        <v>13370</v>
      </c>
    </row>
    <row r="781" spans="1:2" x14ac:dyDescent="0.25">
      <c r="A781" t="s">
        <v>891</v>
      </c>
      <c r="B781" s="46">
        <v>12320</v>
      </c>
    </row>
    <row r="782" spans="1:2" x14ac:dyDescent="0.25">
      <c r="A782" t="s">
        <v>892</v>
      </c>
      <c r="B782" s="46">
        <v>9550</v>
      </c>
    </row>
    <row r="783" spans="1:2" x14ac:dyDescent="0.25">
      <c r="A783" t="s">
        <v>893</v>
      </c>
      <c r="B783" s="46">
        <v>8800</v>
      </c>
    </row>
    <row r="784" spans="1:2" x14ac:dyDescent="0.25">
      <c r="A784" t="s">
        <v>894</v>
      </c>
      <c r="B784" s="46">
        <v>8800</v>
      </c>
    </row>
    <row r="785" spans="1:2" x14ac:dyDescent="0.25">
      <c r="A785" t="s">
        <v>895</v>
      </c>
      <c r="B785" s="46">
        <v>12320</v>
      </c>
    </row>
    <row r="786" spans="1:2" x14ac:dyDescent="0.25">
      <c r="A786" t="s">
        <v>896</v>
      </c>
      <c r="B786" s="46">
        <v>13370</v>
      </c>
    </row>
    <row r="787" spans="1:2" x14ac:dyDescent="0.25">
      <c r="A787" t="s">
        <v>897</v>
      </c>
      <c r="B787" s="46">
        <v>13370</v>
      </c>
    </row>
    <row r="788" spans="1:2" x14ac:dyDescent="0.25">
      <c r="A788" t="s">
        <v>898</v>
      </c>
      <c r="B788" s="46">
        <v>9550</v>
      </c>
    </row>
    <row r="789" spans="1:2" x14ac:dyDescent="0.25">
      <c r="A789" t="s">
        <v>899</v>
      </c>
      <c r="B789" s="46">
        <v>12320</v>
      </c>
    </row>
    <row r="790" spans="1:2" x14ac:dyDescent="0.25">
      <c r="A790" t="s">
        <v>900</v>
      </c>
      <c r="B790" s="46">
        <v>9550</v>
      </c>
    </row>
    <row r="791" spans="1:2" x14ac:dyDescent="0.25">
      <c r="A791" t="s">
        <v>901</v>
      </c>
      <c r="B791" s="46">
        <v>12475</v>
      </c>
    </row>
    <row r="792" spans="1:2" x14ac:dyDescent="0.25">
      <c r="A792" t="s">
        <v>902</v>
      </c>
      <c r="B792" s="46">
        <v>19145</v>
      </c>
    </row>
    <row r="793" spans="1:2" x14ac:dyDescent="0.25">
      <c r="A793" t="s">
        <v>903</v>
      </c>
      <c r="B793" s="46">
        <v>13370</v>
      </c>
    </row>
    <row r="794" spans="1:2" x14ac:dyDescent="0.25">
      <c r="A794" t="s">
        <v>904</v>
      </c>
      <c r="B794" s="46">
        <v>12320</v>
      </c>
    </row>
    <row r="795" spans="1:2" x14ac:dyDescent="0.25">
      <c r="A795" t="s">
        <v>905</v>
      </c>
      <c r="B795" s="46">
        <v>12320</v>
      </c>
    </row>
    <row r="796" spans="1:2" x14ac:dyDescent="0.25">
      <c r="A796" t="s">
        <v>906</v>
      </c>
      <c r="B796" s="46">
        <v>12320</v>
      </c>
    </row>
    <row r="797" spans="1:2" x14ac:dyDescent="0.25">
      <c r="A797" t="s">
        <v>907</v>
      </c>
      <c r="B797" s="46">
        <v>8800</v>
      </c>
    </row>
    <row r="798" spans="1:2" x14ac:dyDescent="0.25">
      <c r="A798" t="s">
        <v>908</v>
      </c>
      <c r="B798" s="46">
        <v>19145</v>
      </c>
    </row>
    <row r="799" spans="1:2" x14ac:dyDescent="0.25">
      <c r="A799" t="s">
        <v>909</v>
      </c>
      <c r="B799" s="46">
        <v>8800</v>
      </c>
    </row>
    <row r="800" spans="1:2" x14ac:dyDescent="0.25">
      <c r="A800" t="s">
        <v>910</v>
      </c>
      <c r="B800" s="46">
        <v>12320</v>
      </c>
    </row>
    <row r="801" spans="1:2" x14ac:dyDescent="0.25">
      <c r="A801" t="s">
        <v>911</v>
      </c>
      <c r="B801" s="46">
        <v>8800</v>
      </c>
    </row>
    <row r="802" spans="1:2" x14ac:dyDescent="0.25">
      <c r="A802" t="s">
        <v>912</v>
      </c>
      <c r="B802" s="46">
        <v>19145</v>
      </c>
    </row>
    <row r="803" spans="1:2" x14ac:dyDescent="0.25">
      <c r="A803" t="s">
        <v>913</v>
      </c>
      <c r="B803" s="46">
        <v>19145</v>
      </c>
    </row>
    <row r="804" spans="1:2" x14ac:dyDescent="0.25">
      <c r="A804" t="s">
        <v>914</v>
      </c>
      <c r="B804" s="46">
        <v>9550</v>
      </c>
    </row>
    <row r="805" spans="1:2" x14ac:dyDescent="0.25">
      <c r="A805" t="s">
        <v>915</v>
      </c>
      <c r="B805" s="46">
        <v>12320</v>
      </c>
    </row>
    <row r="806" spans="1:2" x14ac:dyDescent="0.25">
      <c r="A806" t="s">
        <v>916</v>
      </c>
      <c r="B806" s="46">
        <v>12320</v>
      </c>
    </row>
    <row r="807" spans="1:2" x14ac:dyDescent="0.25">
      <c r="A807" t="s">
        <v>917</v>
      </c>
      <c r="B807" s="46">
        <v>12320</v>
      </c>
    </row>
    <row r="808" spans="1:2" x14ac:dyDescent="0.25">
      <c r="A808" t="s">
        <v>918</v>
      </c>
      <c r="B808" s="46">
        <v>12320</v>
      </c>
    </row>
    <row r="809" spans="1:2" x14ac:dyDescent="0.25">
      <c r="A809" t="s">
        <v>919</v>
      </c>
      <c r="B809" s="46">
        <v>12320</v>
      </c>
    </row>
    <row r="810" spans="1:2" x14ac:dyDescent="0.25">
      <c r="A810" t="s">
        <v>920</v>
      </c>
      <c r="B810" s="46">
        <v>8800</v>
      </c>
    </row>
    <row r="811" spans="1:2" x14ac:dyDescent="0.25">
      <c r="A811" t="s">
        <v>921</v>
      </c>
      <c r="B811" s="46">
        <v>8800</v>
      </c>
    </row>
    <row r="812" spans="1:2" x14ac:dyDescent="0.25">
      <c r="A812" t="s">
        <v>922</v>
      </c>
      <c r="B812" s="46">
        <v>12320</v>
      </c>
    </row>
    <row r="813" spans="1:2" x14ac:dyDescent="0.25">
      <c r="A813" t="s">
        <v>923</v>
      </c>
      <c r="B813" s="46">
        <v>12320</v>
      </c>
    </row>
    <row r="814" spans="1:2" x14ac:dyDescent="0.25">
      <c r="A814" t="s">
        <v>924</v>
      </c>
      <c r="B814" s="46">
        <v>13370</v>
      </c>
    </row>
    <row r="815" spans="1:2" x14ac:dyDescent="0.25">
      <c r="A815" t="s">
        <v>925</v>
      </c>
      <c r="B815" s="46">
        <v>13370</v>
      </c>
    </row>
    <row r="816" spans="1:2" x14ac:dyDescent="0.25">
      <c r="A816" t="s">
        <v>926</v>
      </c>
      <c r="B816" s="46">
        <v>13370</v>
      </c>
    </row>
    <row r="817" spans="1:2" x14ac:dyDescent="0.25">
      <c r="A817" t="s">
        <v>927</v>
      </c>
      <c r="B817" s="46">
        <v>13370</v>
      </c>
    </row>
    <row r="818" spans="1:2" x14ac:dyDescent="0.25">
      <c r="A818" t="s">
        <v>928</v>
      </c>
      <c r="B818" s="46">
        <v>8800</v>
      </c>
    </row>
    <row r="819" spans="1:2" x14ac:dyDescent="0.25">
      <c r="A819" t="s">
        <v>929</v>
      </c>
      <c r="B819" s="46">
        <v>13370</v>
      </c>
    </row>
    <row r="820" spans="1:2" x14ac:dyDescent="0.25">
      <c r="A820" t="s">
        <v>930</v>
      </c>
      <c r="B820" s="46">
        <v>13370</v>
      </c>
    </row>
    <row r="821" spans="1:2" x14ac:dyDescent="0.25">
      <c r="A821" t="s">
        <v>931</v>
      </c>
      <c r="B821" s="46">
        <v>13370</v>
      </c>
    </row>
    <row r="822" spans="1:2" x14ac:dyDescent="0.25">
      <c r="A822" t="s">
        <v>932</v>
      </c>
      <c r="B822" s="46">
        <v>13370</v>
      </c>
    </row>
    <row r="823" spans="1:2" x14ac:dyDescent="0.25">
      <c r="A823" t="s">
        <v>933</v>
      </c>
      <c r="B823" s="46">
        <v>12320</v>
      </c>
    </row>
    <row r="824" spans="1:2" x14ac:dyDescent="0.25">
      <c r="A824" t="s">
        <v>934</v>
      </c>
      <c r="B824" s="46">
        <v>12320</v>
      </c>
    </row>
    <row r="825" spans="1:2" x14ac:dyDescent="0.25">
      <c r="A825" t="s">
        <v>935</v>
      </c>
      <c r="B825" s="46">
        <v>8800</v>
      </c>
    </row>
    <row r="826" spans="1:2" x14ac:dyDescent="0.25">
      <c r="A826" t="s">
        <v>936</v>
      </c>
      <c r="B826" s="46">
        <v>12320</v>
      </c>
    </row>
    <row r="827" spans="1:2" x14ac:dyDescent="0.25">
      <c r="A827" t="s">
        <v>937</v>
      </c>
      <c r="B827" s="46">
        <v>13370</v>
      </c>
    </row>
    <row r="828" spans="1:2" x14ac:dyDescent="0.25">
      <c r="A828" t="s">
        <v>938</v>
      </c>
      <c r="B828" s="46">
        <v>13370</v>
      </c>
    </row>
    <row r="829" spans="1:2" x14ac:dyDescent="0.25">
      <c r="A829" t="s">
        <v>939</v>
      </c>
      <c r="B829" s="46">
        <v>12320</v>
      </c>
    </row>
    <row r="830" spans="1:2" x14ac:dyDescent="0.25">
      <c r="A830" t="s">
        <v>940</v>
      </c>
      <c r="B830" s="46">
        <v>12320</v>
      </c>
    </row>
    <row r="831" spans="1:2" x14ac:dyDescent="0.25">
      <c r="A831" t="s">
        <v>941</v>
      </c>
      <c r="B831" s="46">
        <v>12320</v>
      </c>
    </row>
    <row r="832" spans="1:2" x14ac:dyDescent="0.25">
      <c r="A832" t="s">
        <v>942</v>
      </c>
      <c r="B832" s="46">
        <v>12320</v>
      </c>
    </row>
    <row r="833" spans="1:2" x14ac:dyDescent="0.25">
      <c r="A833" t="s">
        <v>943</v>
      </c>
      <c r="B833" s="46">
        <v>12320</v>
      </c>
    </row>
    <row r="834" spans="1:2" x14ac:dyDescent="0.25">
      <c r="A834" t="s">
        <v>944</v>
      </c>
      <c r="B834" s="46">
        <v>19145</v>
      </c>
    </row>
    <row r="835" spans="1:2" x14ac:dyDescent="0.25">
      <c r="A835" t="s">
        <v>945</v>
      </c>
      <c r="B835" s="46">
        <v>19145</v>
      </c>
    </row>
    <row r="836" spans="1:2" x14ac:dyDescent="0.25">
      <c r="A836" t="s">
        <v>946</v>
      </c>
      <c r="B836" s="46">
        <v>19145</v>
      </c>
    </row>
    <row r="837" spans="1:2" x14ac:dyDescent="0.25">
      <c r="A837" t="s">
        <v>947</v>
      </c>
      <c r="B837" s="46">
        <v>19145</v>
      </c>
    </row>
    <row r="838" spans="1:2" x14ac:dyDescent="0.25">
      <c r="A838" t="s">
        <v>948</v>
      </c>
      <c r="B838" s="46">
        <v>19145</v>
      </c>
    </row>
    <row r="839" spans="1:2" x14ac:dyDescent="0.25">
      <c r="A839" t="s">
        <v>949</v>
      </c>
      <c r="B839" s="46">
        <v>19145</v>
      </c>
    </row>
    <row r="840" spans="1:2" x14ac:dyDescent="0.25">
      <c r="A840" t="s">
        <v>950</v>
      </c>
      <c r="B840" s="46">
        <v>12320</v>
      </c>
    </row>
    <row r="841" spans="1:2" x14ac:dyDescent="0.25">
      <c r="A841" t="s">
        <v>951</v>
      </c>
      <c r="B841" s="46">
        <v>12320</v>
      </c>
    </row>
    <row r="842" spans="1:2" x14ac:dyDescent="0.25">
      <c r="A842" t="s">
        <v>952</v>
      </c>
      <c r="B842" s="46">
        <v>19145</v>
      </c>
    </row>
    <row r="843" spans="1:2" x14ac:dyDescent="0.25">
      <c r="A843" t="s">
        <v>953</v>
      </c>
      <c r="B843" s="46">
        <v>13370</v>
      </c>
    </row>
    <row r="844" spans="1:2" x14ac:dyDescent="0.25">
      <c r="A844" t="s">
        <v>954</v>
      </c>
      <c r="B844" s="46">
        <v>13370</v>
      </c>
    </row>
    <row r="845" spans="1:2" x14ac:dyDescent="0.25">
      <c r="A845" t="s">
        <v>955</v>
      </c>
      <c r="B845" s="46">
        <v>13370</v>
      </c>
    </row>
    <row r="846" spans="1:2" x14ac:dyDescent="0.25">
      <c r="A846" t="s">
        <v>956</v>
      </c>
      <c r="B846" s="46">
        <v>13370</v>
      </c>
    </row>
    <row r="847" spans="1:2" x14ac:dyDescent="0.25">
      <c r="A847" t="s">
        <v>957</v>
      </c>
      <c r="B847" s="46">
        <v>12320</v>
      </c>
    </row>
    <row r="848" spans="1:2" x14ac:dyDescent="0.25">
      <c r="A848" t="s">
        <v>958</v>
      </c>
      <c r="B848" s="46">
        <v>12320</v>
      </c>
    </row>
    <row r="849" spans="1:2" x14ac:dyDescent="0.25">
      <c r="A849" t="s">
        <v>959</v>
      </c>
      <c r="B849" s="46">
        <v>8800</v>
      </c>
    </row>
    <row r="850" spans="1:2" x14ac:dyDescent="0.25">
      <c r="A850" t="s">
        <v>960</v>
      </c>
      <c r="B850" s="46">
        <v>8800</v>
      </c>
    </row>
    <row r="851" spans="1:2" x14ac:dyDescent="0.25">
      <c r="A851" t="s">
        <v>961</v>
      </c>
      <c r="B851" s="46">
        <v>8800</v>
      </c>
    </row>
    <row r="852" spans="1:2" x14ac:dyDescent="0.25">
      <c r="A852" t="s">
        <v>962</v>
      </c>
      <c r="B852" s="46">
        <v>9550</v>
      </c>
    </row>
    <row r="853" spans="1:2" x14ac:dyDescent="0.25">
      <c r="A853" t="s">
        <v>963</v>
      </c>
      <c r="B853" s="46">
        <v>8800</v>
      </c>
    </row>
    <row r="854" spans="1:2" x14ac:dyDescent="0.25">
      <c r="A854" t="s">
        <v>964</v>
      </c>
      <c r="B854" s="46">
        <v>8800</v>
      </c>
    </row>
    <row r="855" spans="1:2" x14ac:dyDescent="0.25">
      <c r="A855" t="s">
        <v>965</v>
      </c>
      <c r="B855" s="46">
        <v>8800</v>
      </c>
    </row>
    <row r="856" spans="1:2" x14ac:dyDescent="0.25">
      <c r="A856" t="s">
        <v>966</v>
      </c>
      <c r="B856" s="46">
        <v>12320</v>
      </c>
    </row>
    <row r="857" spans="1:2" x14ac:dyDescent="0.25">
      <c r="A857" t="s">
        <v>967</v>
      </c>
      <c r="B857" s="46">
        <v>12320</v>
      </c>
    </row>
    <row r="858" spans="1:2" x14ac:dyDescent="0.25">
      <c r="A858" t="s">
        <v>968</v>
      </c>
      <c r="B858" s="46">
        <v>12320</v>
      </c>
    </row>
    <row r="859" spans="1:2" x14ac:dyDescent="0.25">
      <c r="A859" t="s">
        <v>969</v>
      </c>
      <c r="B859" s="46">
        <v>12320</v>
      </c>
    </row>
    <row r="860" spans="1:2" x14ac:dyDescent="0.25">
      <c r="A860" t="s">
        <v>970</v>
      </c>
      <c r="B860" s="46">
        <v>8800</v>
      </c>
    </row>
    <row r="861" spans="1:2" x14ac:dyDescent="0.25">
      <c r="A861" t="s">
        <v>971</v>
      </c>
      <c r="B861" s="46">
        <v>12320</v>
      </c>
    </row>
    <row r="862" spans="1:2" x14ac:dyDescent="0.25">
      <c r="A862" t="s">
        <v>972</v>
      </c>
      <c r="B862" s="46">
        <v>12320</v>
      </c>
    </row>
    <row r="863" spans="1:2" x14ac:dyDescent="0.25">
      <c r="A863" t="s">
        <v>973</v>
      </c>
      <c r="B863" s="46">
        <v>8800</v>
      </c>
    </row>
    <row r="864" spans="1:2" x14ac:dyDescent="0.25">
      <c r="A864" t="s">
        <v>974</v>
      </c>
      <c r="B864" s="46">
        <v>8800</v>
      </c>
    </row>
    <row r="865" spans="1:2" x14ac:dyDescent="0.25">
      <c r="A865" t="s">
        <v>975</v>
      </c>
      <c r="B865" s="46">
        <v>8800</v>
      </c>
    </row>
    <row r="866" spans="1:2" x14ac:dyDescent="0.25">
      <c r="A866" t="s">
        <v>976</v>
      </c>
      <c r="B866" s="46">
        <v>8800</v>
      </c>
    </row>
    <row r="867" spans="1:2" x14ac:dyDescent="0.25">
      <c r="A867" t="s">
        <v>977</v>
      </c>
      <c r="B867" s="46">
        <v>8800</v>
      </c>
    </row>
    <row r="868" spans="1:2" x14ac:dyDescent="0.25">
      <c r="A868" t="s">
        <v>978</v>
      </c>
      <c r="B868" s="46">
        <v>8800</v>
      </c>
    </row>
    <row r="869" spans="1:2" x14ac:dyDescent="0.25">
      <c r="A869" t="s">
        <v>979</v>
      </c>
      <c r="B869" s="46">
        <v>8800</v>
      </c>
    </row>
    <row r="870" spans="1:2" x14ac:dyDescent="0.25">
      <c r="A870" t="s">
        <v>980</v>
      </c>
      <c r="B870" s="46">
        <v>8800</v>
      </c>
    </row>
    <row r="871" spans="1:2" x14ac:dyDescent="0.25">
      <c r="A871" t="s">
        <v>981</v>
      </c>
      <c r="B871" s="46">
        <v>8800</v>
      </c>
    </row>
    <row r="872" spans="1:2" x14ac:dyDescent="0.25">
      <c r="A872" t="s">
        <v>982</v>
      </c>
      <c r="B872" s="46">
        <v>13370</v>
      </c>
    </row>
    <row r="873" spans="1:2" x14ac:dyDescent="0.25">
      <c r="A873" t="s">
        <v>983</v>
      </c>
      <c r="B873" s="46">
        <v>13370</v>
      </c>
    </row>
    <row r="874" spans="1:2" x14ac:dyDescent="0.25">
      <c r="A874" t="s">
        <v>984</v>
      </c>
      <c r="B874" s="46">
        <v>13675</v>
      </c>
    </row>
    <row r="875" spans="1:2" x14ac:dyDescent="0.25">
      <c r="A875" t="s">
        <v>985</v>
      </c>
      <c r="B875" s="46">
        <v>12475</v>
      </c>
    </row>
    <row r="876" spans="1:2" x14ac:dyDescent="0.25">
      <c r="A876" t="s">
        <v>986</v>
      </c>
      <c r="B876" s="46">
        <v>13370</v>
      </c>
    </row>
    <row r="877" spans="1:2" x14ac:dyDescent="0.25">
      <c r="A877" t="s">
        <v>987</v>
      </c>
      <c r="B877" s="46">
        <v>13370</v>
      </c>
    </row>
    <row r="878" spans="1:2" x14ac:dyDescent="0.25">
      <c r="A878" t="s">
        <v>988</v>
      </c>
      <c r="B878" s="46">
        <v>12320</v>
      </c>
    </row>
    <row r="879" spans="1:2" x14ac:dyDescent="0.25">
      <c r="A879" t="s">
        <v>989</v>
      </c>
      <c r="B879" s="46">
        <v>12320</v>
      </c>
    </row>
    <row r="880" spans="1:2" x14ac:dyDescent="0.25">
      <c r="A880" t="s">
        <v>990</v>
      </c>
      <c r="B880" s="46">
        <v>8800</v>
      </c>
    </row>
    <row r="881" spans="1:2" x14ac:dyDescent="0.25">
      <c r="A881" t="s">
        <v>991</v>
      </c>
      <c r="B881" s="46">
        <v>8800</v>
      </c>
    </row>
    <row r="882" spans="1:2" x14ac:dyDescent="0.25">
      <c r="A882" t="s">
        <v>992</v>
      </c>
      <c r="B882" s="46">
        <v>9550</v>
      </c>
    </row>
    <row r="883" spans="1:2" x14ac:dyDescent="0.25">
      <c r="A883" t="s">
        <v>993</v>
      </c>
      <c r="B883" s="46">
        <v>12320</v>
      </c>
    </row>
    <row r="884" spans="1:2" x14ac:dyDescent="0.25">
      <c r="A884" t="s">
        <v>994</v>
      </c>
      <c r="B884" s="46">
        <v>19145</v>
      </c>
    </row>
    <row r="885" spans="1:2" x14ac:dyDescent="0.25">
      <c r="A885" t="s">
        <v>995</v>
      </c>
      <c r="B885" s="46">
        <v>19145</v>
      </c>
    </row>
    <row r="886" spans="1:2" x14ac:dyDescent="0.25">
      <c r="A886" t="s">
        <v>996</v>
      </c>
      <c r="B886" s="46">
        <v>8800</v>
      </c>
    </row>
    <row r="887" spans="1:2" x14ac:dyDescent="0.25">
      <c r="A887" t="s">
        <v>997</v>
      </c>
      <c r="B887" s="46">
        <v>8800</v>
      </c>
    </row>
    <row r="888" spans="1:2" x14ac:dyDescent="0.25">
      <c r="A888" t="s">
        <v>998</v>
      </c>
      <c r="B888" s="46">
        <v>8800</v>
      </c>
    </row>
    <row r="889" spans="1:2" x14ac:dyDescent="0.25">
      <c r="A889" t="s">
        <v>999</v>
      </c>
      <c r="B889" s="46">
        <v>8800</v>
      </c>
    </row>
    <row r="890" spans="1:2" x14ac:dyDescent="0.25">
      <c r="A890" t="s">
        <v>1000</v>
      </c>
      <c r="B890" s="46">
        <v>8800</v>
      </c>
    </row>
    <row r="891" spans="1:2" x14ac:dyDescent="0.25">
      <c r="A891" t="s">
        <v>1001</v>
      </c>
      <c r="B891" s="46">
        <v>8800</v>
      </c>
    </row>
    <row r="892" spans="1:2" x14ac:dyDescent="0.25">
      <c r="A892" t="s">
        <v>1002</v>
      </c>
      <c r="B892" s="46">
        <v>8800</v>
      </c>
    </row>
    <row r="893" spans="1:2" x14ac:dyDescent="0.25">
      <c r="A893" t="s">
        <v>1003</v>
      </c>
      <c r="B893" s="46">
        <v>12320</v>
      </c>
    </row>
    <row r="894" spans="1:2" x14ac:dyDescent="0.25">
      <c r="A894" t="s">
        <v>1004</v>
      </c>
      <c r="B894" s="46">
        <v>9550</v>
      </c>
    </row>
    <row r="895" spans="1:2" x14ac:dyDescent="0.25">
      <c r="A895" t="s">
        <v>1005</v>
      </c>
      <c r="B895" s="46">
        <v>9550</v>
      </c>
    </row>
    <row r="896" spans="1:2" x14ac:dyDescent="0.25">
      <c r="A896" t="s">
        <v>1006</v>
      </c>
      <c r="B896" s="46">
        <v>8800</v>
      </c>
    </row>
    <row r="897" spans="1:2" x14ac:dyDescent="0.25">
      <c r="A897" t="s">
        <v>1007</v>
      </c>
      <c r="B897" s="46">
        <v>13675</v>
      </c>
    </row>
    <row r="898" spans="1:2" x14ac:dyDescent="0.25">
      <c r="A898" t="s">
        <v>1008</v>
      </c>
      <c r="B898" s="46">
        <v>13675</v>
      </c>
    </row>
    <row r="899" spans="1:2" x14ac:dyDescent="0.25">
      <c r="A899" t="s">
        <v>1009</v>
      </c>
      <c r="B899" s="46">
        <v>8800</v>
      </c>
    </row>
    <row r="900" spans="1:2" x14ac:dyDescent="0.25">
      <c r="A900" t="s">
        <v>1010</v>
      </c>
      <c r="B900" s="46">
        <v>9550</v>
      </c>
    </row>
    <row r="901" spans="1:2" x14ac:dyDescent="0.25">
      <c r="A901" t="s">
        <v>1011</v>
      </c>
      <c r="B901" s="46">
        <v>13675</v>
      </c>
    </row>
    <row r="902" spans="1:2" x14ac:dyDescent="0.25">
      <c r="A902" t="s">
        <v>1012</v>
      </c>
      <c r="B902" s="46">
        <v>13675</v>
      </c>
    </row>
    <row r="903" spans="1:2" x14ac:dyDescent="0.25">
      <c r="A903" t="s">
        <v>1013</v>
      </c>
      <c r="B903" s="46">
        <v>12320</v>
      </c>
    </row>
    <row r="904" spans="1:2" x14ac:dyDescent="0.25">
      <c r="A904" t="s">
        <v>1014</v>
      </c>
      <c r="B904" s="46">
        <v>12320</v>
      </c>
    </row>
    <row r="905" spans="1:2" x14ac:dyDescent="0.25">
      <c r="A905" t="s">
        <v>1015</v>
      </c>
      <c r="B905" s="46">
        <v>12320</v>
      </c>
    </row>
    <row r="906" spans="1:2" x14ac:dyDescent="0.25">
      <c r="A906" t="s">
        <v>1016</v>
      </c>
      <c r="B906" s="46">
        <v>12320</v>
      </c>
    </row>
    <row r="907" spans="1:2" x14ac:dyDescent="0.25">
      <c r="A907" t="s">
        <v>1017</v>
      </c>
      <c r="B907" s="46">
        <v>8800</v>
      </c>
    </row>
    <row r="908" spans="1:2" x14ac:dyDescent="0.25">
      <c r="A908" t="s">
        <v>1018</v>
      </c>
      <c r="B908" s="46">
        <v>8800</v>
      </c>
    </row>
    <row r="909" spans="1:2" x14ac:dyDescent="0.25">
      <c r="A909" t="s">
        <v>1019</v>
      </c>
      <c r="B909" s="46">
        <v>8800</v>
      </c>
    </row>
    <row r="910" spans="1:2" x14ac:dyDescent="0.25">
      <c r="A910" t="s">
        <v>1020</v>
      </c>
      <c r="B910" s="46">
        <v>8800</v>
      </c>
    </row>
    <row r="911" spans="1:2" x14ac:dyDescent="0.25">
      <c r="A911" t="s">
        <v>1021</v>
      </c>
      <c r="B911" s="46">
        <v>12320</v>
      </c>
    </row>
    <row r="912" spans="1:2" x14ac:dyDescent="0.25">
      <c r="A912" t="s">
        <v>1022</v>
      </c>
      <c r="B912" s="46">
        <v>19145</v>
      </c>
    </row>
    <row r="913" spans="1:2" x14ac:dyDescent="0.25">
      <c r="A913" t="s">
        <v>1023</v>
      </c>
      <c r="B913" s="46">
        <v>12320</v>
      </c>
    </row>
    <row r="914" spans="1:2" x14ac:dyDescent="0.25">
      <c r="A914" t="s">
        <v>1024</v>
      </c>
      <c r="B914" s="46">
        <v>12320</v>
      </c>
    </row>
    <row r="915" spans="1:2" x14ac:dyDescent="0.25">
      <c r="A915" t="s">
        <v>1025</v>
      </c>
      <c r="B915" s="46">
        <v>8800</v>
      </c>
    </row>
    <row r="916" spans="1:2" x14ac:dyDescent="0.25">
      <c r="A916" t="s">
        <v>1026</v>
      </c>
      <c r="B916" s="46">
        <v>13370</v>
      </c>
    </row>
    <row r="917" spans="1:2" x14ac:dyDescent="0.25">
      <c r="A917" t="s">
        <v>1027</v>
      </c>
      <c r="B917" s="46">
        <v>11725</v>
      </c>
    </row>
    <row r="918" spans="1:2" x14ac:dyDescent="0.25">
      <c r="A918" t="s">
        <v>1028</v>
      </c>
      <c r="B918" s="46">
        <v>17465</v>
      </c>
    </row>
    <row r="919" spans="1:2" x14ac:dyDescent="0.25">
      <c r="A919" t="s">
        <v>1029</v>
      </c>
      <c r="B919" s="46">
        <v>13475</v>
      </c>
    </row>
    <row r="920" spans="1:2" x14ac:dyDescent="0.25">
      <c r="A920" t="s">
        <v>1030</v>
      </c>
      <c r="B920" s="46">
        <v>13475</v>
      </c>
    </row>
    <row r="921" spans="1:2" x14ac:dyDescent="0.25">
      <c r="A921" t="s">
        <v>1031</v>
      </c>
      <c r="B921" s="46">
        <v>13370</v>
      </c>
    </row>
    <row r="922" spans="1:2" x14ac:dyDescent="0.25">
      <c r="A922" t="s">
        <v>1032</v>
      </c>
      <c r="B922" s="46">
        <v>12320</v>
      </c>
    </row>
    <row r="923" spans="1:2" x14ac:dyDescent="0.25">
      <c r="A923" t="s">
        <v>1033</v>
      </c>
      <c r="B923" s="46">
        <v>12320</v>
      </c>
    </row>
    <row r="924" spans="1:2" x14ac:dyDescent="0.25">
      <c r="A924" t="s">
        <v>1034</v>
      </c>
      <c r="B924" s="46">
        <v>12320</v>
      </c>
    </row>
    <row r="925" spans="1:2" x14ac:dyDescent="0.25">
      <c r="A925" t="s">
        <v>1035</v>
      </c>
      <c r="B925" s="46">
        <v>12320</v>
      </c>
    </row>
    <row r="926" spans="1:2" x14ac:dyDescent="0.25">
      <c r="A926" t="s">
        <v>1036</v>
      </c>
      <c r="B926" s="46">
        <v>12320</v>
      </c>
    </row>
    <row r="927" spans="1:2" x14ac:dyDescent="0.25">
      <c r="A927" t="s">
        <v>1037</v>
      </c>
      <c r="B927" s="46">
        <v>12320</v>
      </c>
    </row>
    <row r="928" spans="1:2" x14ac:dyDescent="0.25">
      <c r="A928" t="s">
        <v>1038</v>
      </c>
      <c r="B928" s="46">
        <v>12320</v>
      </c>
    </row>
    <row r="929" spans="1:2" x14ac:dyDescent="0.25">
      <c r="A929" t="s">
        <v>1039</v>
      </c>
      <c r="B929" s="46">
        <v>12320</v>
      </c>
    </row>
    <row r="930" spans="1:2" x14ac:dyDescent="0.25">
      <c r="A930" t="s">
        <v>1040</v>
      </c>
      <c r="B930" s="46">
        <v>12320</v>
      </c>
    </row>
    <row r="931" spans="1:2" x14ac:dyDescent="0.25">
      <c r="A931" t="s">
        <v>1041</v>
      </c>
      <c r="B931" s="46">
        <v>8800</v>
      </c>
    </row>
    <row r="932" spans="1:2" x14ac:dyDescent="0.25">
      <c r="A932" t="s">
        <v>1042</v>
      </c>
      <c r="B932" s="46">
        <v>8800</v>
      </c>
    </row>
    <row r="933" spans="1:2" x14ac:dyDescent="0.25">
      <c r="A933" t="s">
        <v>1043</v>
      </c>
      <c r="B933" s="46">
        <v>8800</v>
      </c>
    </row>
    <row r="934" spans="1:2" x14ac:dyDescent="0.25">
      <c r="A934" t="s">
        <v>1044</v>
      </c>
      <c r="B934" s="46">
        <v>8800</v>
      </c>
    </row>
    <row r="935" spans="1:2" x14ac:dyDescent="0.25">
      <c r="A935" t="s">
        <v>1045</v>
      </c>
      <c r="B935" s="46">
        <v>9550</v>
      </c>
    </row>
    <row r="936" spans="1:2" x14ac:dyDescent="0.25">
      <c r="A936" t="s">
        <v>1046</v>
      </c>
      <c r="B936" s="46">
        <v>8800</v>
      </c>
    </row>
    <row r="937" spans="1:2" x14ac:dyDescent="0.25">
      <c r="A937" t="s">
        <v>1047</v>
      </c>
      <c r="B937" s="46">
        <v>9550</v>
      </c>
    </row>
    <row r="938" spans="1:2" x14ac:dyDescent="0.25">
      <c r="A938" t="s">
        <v>1048</v>
      </c>
      <c r="B938" s="46">
        <v>8800</v>
      </c>
    </row>
    <row r="939" spans="1:2" x14ac:dyDescent="0.25">
      <c r="A939" t="s">
        <v>1049</v>
      </c>
      <c r="B939" s="46">
        <v>8800</v>
      </c>
    </row>
    <row r="940" spans="1:2" x14ac:dyDescent="0.25">
      <c r="A940" t="s">
        <v>1050</v>
      </c>
      <c r="B940" s="46">
        <v>13370</v>
      </c>
    </row>
    <row r="941" spans="1:2" x14ac:dyDescent="0.25">
      <c r="A941" t="s">
        <v>1051</v>
      </c>
      <c r="B941" s="46">
        <v>12320</v>
      </c>
    </row>
    <row r="942" spans="1:2" x14ac:dyDescent="0.25">
      <c r="A942" t="s">
        <v>1052</v>
      </c>
      <c r="B942" s="46">
        <v>12320</v>
      </c>
    </row>
    <row r="943" spans="1:2" x14ac:dyDescent="0.25">
      <c r="A943" t="s">
        <v>1053</v>
      </c>
      <c r="B943" s="46">
        <v>12320</v>
      </c>
    </row>
    <row r="944" spans="1:2" x14ac:dyDescent="0.25">
      <c r="A944" t="s">
        <v>1054</v>
      </c>
      <c r="B944" s="46">
        <v>12320</v>
      </c>
    </row>
    <row r="945" spans="1:2" x14ac:dyDescent="0.25">
      <c r="A945" t="s">
        <v>1055</v>
      </c>
      <c r="B945" s="46">
        <v>13370</v>
      </c>
    </row>
    <row r="946" spans="1:2" x14ac:dyDescent="0.25">
      <c r="A946" t="s">
        <v>1056</v>
      </c>
      <c r="B946" s="46">
        <v>13370</v>
      </c>
    </row>
    <row r="947" spans="1:2" x14ac:dyDescent="0.25">
      <c r="A947" t="s">
        <v>1057</v>
      </c>
      <c r="B947" s="46">
        <v>19145</v>
      </c>
    </row>
    <row r="948" spans="1:2" x14ac:dyDescent="0.25">
      <c r="A948" t="s">
        <v>1058</v>
      </c>
      <c r="B948" s="46">
        <v>12320</v>
      </c>
    </row>
    <row r="949" spans="1:2" x14ac:dyDescent="0.25">
      <c r="A949" t="s">
        <v>1059</v>
      </c>
      <c r="B949" s="46">
        <v>12320</v>
      </c>
    </row>
    <row r="950" spans="1:2" x14ac:dyDescent="0.25">
      <c r="A950" t="s">
        <v>1060</v>
      </c>
      <c r="B950" s="46">
        <v>13370</v>
      </c>
    </row>
    <row r="951" spans="1:2" x14ac:dyDescent="0.25">
      <c r="A951" t="s">
        <v>1061</v>
      </c>
      <c r="B951" s="46">
        <v>13370</v>
      </c>
    </row>
    <row r="952" spans="1:2" x14ac:dyDescent="0.25">
      <c r="A952" t="s">
        <v>1062</v>
      </c>
      <c r="B952" s="46">
        <v>12320</v>
      </c>
    </row>
    <row r="953" spans="1:2" x14ac:dyDescent="0.25">
      <c r="A953" t="s">
        <v>1063</v>
      </c>
      <c r="B953" s="46">
        <v>13370</v>
      </c>
    </row>
    <row r="954" spans="1:2" x14ac:dyDescent="0.25">
      <c r="A954" t="s">
        <v>1064</v>
      </c>
      <c r="B954" s="46">
        <v>12320</v>
      </c>
    </row>
    <row r="955" spans="1:2" x14ac:dyDescent="0.25">
      <c r="A955" t="s">
        <v>1065</v>
      </c>
      <c r="B955" s="46">
        <v>19145</v>
      </c>
    </row>
    <row r="956" spans="1:2" x14ac:dyDescent="0.25">
      <c r="A956" t="s">
        <v>1066</v>
      </c>
      <c r="B956" s="46">
        <v>19145</v>
      </c>
    </row>
    <row r="957" spans="1:2" x14ac:dyDescent="0.25">
      <c r="A957" t="s">
        <v>1067</v>
      </c>
      <c r="B957" s="46">
        <v>13370</v>
      </c>
    </row>
    <row r="958" spans="1:2" x14ac:dyDescent="0.25">
      <c r="A958" t="s">
        <v>1068</v>
      </c>
      <c r="B958" s="46">
        <v>13370</v>
      </c>
    </row>
    <row r="959" spans="1:2" x14ac:dyDescent="0.25">
      <c r="A959" t="s">
        <v>1069</v>
      </c>
      <c r="B959" s="46">
        <v>12320</v>
      </c>
    </row>
    <row r="960" spans="1:2" x14ac:dyDescent="0.25">
      <c r="A960" t="s">
        <v>1070</v>
      </c>
      <c r="B960" s="46">
        <v>12320</v>
      </c>
    </row>
    <row r="961" spans="1:2" x14ac:dyDescent="0.25">
      <c r="A961" t="s">
        <v>2484</v>
      </c>
      <c r="B961" s="46">
        <v>8800</v>
      </c>
    </row>
    <row r="962" spans="1:2" x14ac:dyDescent="0.25">
      <c r="B962" s="46">
        <f>SUM(B2:B961)</f>
        <v>11475480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2350-7B38-4B0C-A9F9-A550D14DDF56}">
  <dimension ref="A1:H960"/>
  <sheetViews>
    <sheetView tabSelected="1" topLeftCell="G958" workbookViewId="0">
      <selection activeCell="H959" sqref="H959"/>
    </sheetView>
  </sheetViews>
  <sheetFormatPr defaultColWidth="9.42578125" defaultRowHeight="15" x14ac:dyDescent="0.25"/>
  <cols>
    <col min="1" max="1" width="39.85546875" bestFit="1" customWidth="1"/>
    <col min="2" max="3" width="14.28515625" bestFit="1" customWidth="1"/>
    <col min="4" max="4" width="9.5703125" bestFit="1" customWidth="1"/>
    <col min="5" max="5" width="13.7109375" bestFit="1" customWidth="1"/>
    <col min="6" max="6" width="92.140625" customWidth="1"/>
    <col min="7" max="7" width="84.42578125" customWidth="1"/>
    <col min="8" max="8" width="77.28515625" customWidth="1"/>
  </cols>
  <sheetData>
    <row r="1" spans="1:8" x14ac:dyDescent="0.25">
      <c r="A1" s="77" t="s">
        <v>2489</v>
      </c>
      <c r="B1" t="s">
        <v>2490</v>
      </c>
      <c r="D1" s="78" t="s">
        <v>2491</v>
      </c>
      <c r="E1" s="79" t="s">
        <v>2492</v>
      </c>
    </row>
    <row r="2" spans="1:8" ht="105" x14ac:dyDescent="0.25">
      <c r="A2" t="s">
        <v>114</v>
      </c>
      <c r="B2" s="80" t="str">
        <f>VLOOKUP(A2,[1]Sheet1!$B:$C,2,0)</f>
        <v>040000177421</v>
      </c>
      <c r="C2" s="46">
        <v>19145</v>
      </c>
      <c r="D2" s="81">
        <f>ROUND(C2,0)</f>
        <v>19145</v>
      </c>
      <c r="E2" s="79" t="s">
        <v>2492</v>
      </c>
      <c r="F2" s="82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83" t="str">
        <f>"('"&amp;E2&amp;"','"&amp;B2&amp;"','"&amp;D2&amp;"',(select max(to_number(i.premium_rcv_detail_code))+1
from ins_premium_det i),'"&amp;D2&amp;"','"&amp;D2&amp;"','02', '11000003','00','Request by Mr. Omair Ali 25-Sep-2024 allocation no 24Sep240082 ');"</f>
        <v>('24Sep240082','040000177421','19145',(select max(to_number(i.premium_rcv_detail_code))+1
from ins_premium_det i),'19145','19145','02', '11000003','00','Request by Mr. Omair Ali 25-Sep-2024 allocation no 24Sep240082 ');</v>
      </c>
      <c r="H2" s="84" t="str">
        <f>F2&amp;G2</f>
        <v>insert into ins_premium_det (premium_rcv_code,assorted_code, rec_amount,premium_rcv_detail_code,remaining_amt, payrec, mode_code,coinsurance_code,class_cd,it_remarks) values('24Sep240082','040000177421','19145',(select max(to_number(i.premium_rcv_detail_code))+1
from ins_premium_det i),'19145','19145','02', '11000003','00','Request by Mr. Omair Ali 25-Sep-2024 allocation no 24Sep240082 ');</v>
      </c>
    </row>
    <row r="3" spans="1:8" ht="105" x14ac:dyDescent="0.25">
      <c r="A3" t="s">
        <v>115</v>
      </c>
      <c r="B3" s="80" t="str">
        <f>VLOOKUP(A3,[1]Sheet1!$B:$C,2,0)</f>
        <v>040000177422</v>
      </c>
      <c r="C3" s="46">
        <v>19145</v>
      </c>
      <c r="D3" s="81">
        <f>ROUND(C3,0)</f>
        <v>19145</v>
      </c>
      <c r="E3" s="79" t="s">
        <v>2492</v>
      </c>
      <c r="F3" s="82" t="str">
        <f t="shared" si="0"/>
        <v>insert into ins_premium_det (premium_rcv_code,assorted_code, rec_amount,premium_rcv_detail_code,remaining_amt, payrec, mode_code,coinsurance_code,class_cd,it_remarks) values</v>
      </c>
      <c r="G3" s="83" t="str">
        <f t="shared" ref="G3:G66" si="1">"('"&amp;E3&amp;"','"&amp;B3&amp;"','"&amp;D3&amp;"',(select max(to_number(i.premium_rcv_detail_code))+1
from ins_premium_det i),'"&amp;D3&amp;"','"&amp;D3&amp;"','02', '11000003','00','Request by Mr. Omair Ali 25-Sep-2024 allocation no 24Sep240082 ');"</f>
        <v>('24Sep240082','040000177422','19145',(select max(to_number(i.premium_rcv_detail_code))+1
from ins_premium_det i),'19145','19145','02', '11000003','00','Request by Mr. Omair Ali 25-Sep-2024 allocation no 24Sep240082 ');</v>
      </c>
      <c r="H3" s="84" t="str">
        <f t="shared" ref="H3:H66" si="2">F3&amp;G3</f>
        <v>insert into ins_premium_det (premium_rcv_code,assorted_code, rec_amount,premium_rcv_detail_code,remaining_amt, payrec, mode_code,coinsurance_code,class_cd,it_remarks) values('24Sep240082','040000177422','19145',(select max(to_number(i.premium_rcv_detail_code))+1
from ins_premium_det i),'19145','19145','02', '11000003','00','Request by Mr. Omair Ali 25-Sep-2024 allocation no 24Sep240082 ');</v>
      </c>
    </row>
    <row r="4" spans="1:8" ht="105" x14ac:dyDescent="0.25">
      <c r="A4" t="s">
        <v>116</v>
      </c>
      <c r="B4" s="80" t="str">
        <f>VLOOKUP(A4,[1]Sheet1!$B:$C,2,0)</f>
        <v>040000177443</v>
      </c>
      <c r="C4" s="46">
        <v>12320</v>
      </c>
      <c r="D4" s="81">
        <f t="shared" ref="D4:D67" si="3">ROUND(C4,0)</f>
        <v>12320</v>
      </c>
      <c r="E4" s="79" t="s">
        <v>2492</v>
      </c>
      <c r="F4" s="82" t="str">
        <f t="shared" si="0"/>
        <v>insert into ins_premium_det (premium_rcv_code,assorted_code, rec_amount,premium_rcv_detail_code,remaining_amt, payrec, mode_code,coinsurance_code,class_cd,it_remarks) values</v>
      </c>
      <c r="G4" s="83" t="str">
        <f t="shared" si="1"/>
        <v>('24Sep240082','040000177443','12320',(select max(to_number(i.premium_rcv_detail_code))+1
from ins_premium_det i),'12320','12320','02', '11000003','00','Request by Mr. Omair Ali 25-Sep-2024 allocation no 24Sep240082 ');</v>
      </c>
      <c r="H4" s="84" t="str">
        <f t="shared" si="2"/>
        <v>insert into ins_premium_det (premium_rcv_code,assorted_code, rec_amount,premium_rcv_detail_code,remaining_amt, payrec, mode_code,coinsurance_code,class_cd,it_remarks) values('24Sep240082','040000177443','12320',(select max(to_number(i.premium_rcv_detail_code))+1
from ins_premium_det i),'12320','12320','02', '11000003','00','Request by Mr. Omair Ali 25-Sep-2024 allocation no 24Sep240082 ');</v>
      </c>
    </row>
    <row r="5" spans="1:8" ht="105" x14ac:dyDescent="0.25">
      <c r="A5" t="s">
        <v>117</v>
      </c>
      <c r="B5" s="80" t="str">
        <f>VLOOKUP(A5,[1]Sheet1!$B:$C,2,0)</f>
        <v>040000177444</v>
      </c>
      <c r="C5" s="46">
        <v>12320</v>
      </c>
      <c r="D5" s="81">
        <f t="shared" si="3"/>
        <v>12320</v>
      </c>
      <c r="E5" s="79" t="s">
        <v>2492</v>
      </c>
      <c r="F5" s="82" t="str">
        <f t="shared" si="0"/>
        <v>insert into ins_premium_det (premium_rcv_code,assorted_code, rec_amount,premium_rcv_detail_code,remaining_amt, payrec, mode_code,coinsurance_code,class_cd,it_remarks) values</v>
      </c>
      <c r="G5" s="83" t="str">
        <f t="shared" si="1"/>
        <v>('24Sep240082','040000177444','12320',(select max(to_number(i.premium_rcv_detail_code))+1
from ins_premium_det i),'12320','12320','02', '11000003','00','Request by Mr. Omair Ali 25-Sep-2024 allocation no 24Sep240082 ');</v>
      </c>
      <c r="H5" s="84" t="str">
        <f t="shared" si="2"/>
        <v>insert into ins_premium_det (premium_rcv_code,assorted_code, rec_amount,premium_rcv_detail_code,remaining_amt, payrec, mode_code,coinsurance_code,class_cd,it_remarks) values('24Sep240082','040000177444','12320',(select max(to_number(i.premium_rcv_detail_code))+1
from ins_premium_det i),'12320','12320','02', '11000003','00','Request by Mr. Omair Ali 25-Sep-2024 allocation no 24Sep240082 ');</v>
      </c>
    </row>
    <row r="6" spans="1:8" ht="105" x14ac:dyDescent="0.25">
      <c r="A6" t="s">
        <v>118</v>
      </c>
      <c r="B6" s="80" t="str">
        <f>VLOOKUP(A6,[1]Sheet1!$B:$C,2,0)</f>
        <v>040000177452</v>
      </c>
      <c r="C6" s="46">
        <v>13370</v>
      </c>
      <c r="D6" s="81">
        <f t="shared" si="3"/>
        <v>13370</v>
      </c>
      <c r="E6" s="79" t="s">
        <v>2492</v>
      </c>
      <c r="F6" s="82" t="str">
        <f t="shared" si="0"/>
        <v>insert into ins_premium_det (premium_rcv_code,assorted_code, rec_amount,premium_rcv_detail_code,remaining_amt, payrec, mode_code,coinsurance_code,class_cd,it_remarks) values</v>
      </c>
      <c r="G6" s="83" t="str">
        <f t="shared" si="1"/>
        <v>('24Sep240082','040000177452','13370',(select max(to_number(i.premium_rcv_detail_code))+1
from ins_premium_det i),'13370','13370','02', '11000003','00','Request by Mr. Omair Ali 25-Sep-2024 allocation no 24Sep240082 ');</v>
      </c>
      <c r="H6" s="84" t="str">
        <f t="shared" si="2"/>
        <v>insert into ins_premium_det (premium_rcv_code,assorted_code, rec_amount,premium_rcv_detail_code,remaining_amt, payrec, mode_code,coinsurance_code,class_cd,it_remarks) values('24Sep240082','040000177452','13370',(select max(to_number(i.premium_rcv_detail_code))+1
from ins_premium_det i),'13370','13370','02', '11000003','00','Request by Mr. Omair Ali 25-Sep-2024 allocation no 24Sep240082 ');</v>
      </c>
    </row>
    <row r="7" spans="1:8" ht="105" x14ac:dyDescent="0.25">
      <c r="A7" t="s">
        <v>119</v>
      </c>
      <c r="B7" s="80" t="str">
        <f>VLOOKUP(A7,[1]Sheet1!$B:$C,2,0)</f>
        <v>040000177453</v>
      </c>
      <c r="C7" s="46">
        <v>13370</v>
      </c>
      <c r="D7" s="81">
        <f t="shared" si="3"/>
        <v>13370</v>
      </c>
      <c r="E7" s="79" t="s">
        <v>2492</v>
      </c>
      <c r="F7" s="82" t="str">
        <f t="shared" si="0"/>
        <v>insert into ins_premium_det (premium_rcv_code,assorted_code, rec_amount,premium_rcv_detail_code,remaining_amt, payrec, mode_code,coinsurance_code,class_cd,it_remarks) values</v>
      </c>
      <c r="G7" s="83" t="str">
        <f t="shared" si="1"/>
        <v>('24Sep240082','040000177453','13370',(select max(to_number(i.premium_rcv_detail_code))+1
from ins_premium_det i),'13370','13370','02', '11000003','00','Request by Mr. Omair Ali 25-Sep-2024 allocation no 24Sep240082 ');</v>
      </c>
      <c r="H7" s="84" t="str">
        <f t="shared" si="2"/>
        <v>insert into ins_premium_det (premium_rcv_code,assorted_code, rec_amount,premium_rcv_detail_code,remaining_amt, payrec, mode_code,coinsurance_code,class_cd,it_remarks) values('24Sep240082','040000177453','13370',(select max(to_number(i.premium_rcv_detail_code))+1
from ins_premium_det i),'13370','13370','02', '11000003','00','Request by Mr. Omair Ali 25-Sep-2024 allocation no 24Sep240082 ');</v>
      </c>
    </row>
    <row r="8" spans="1:8" ht="105" x14ac:dyDescent="0.25">
      <c r="A8" t="s">
        <v>120</v>
      </c>
      <c r="B8" s="80" t="str">
        <f>VLOOKUP(A8,[1]Sheet1!$B:$C,2,0)</f>
        <v>040000177460</v>
      </c>
      <c r="C8" s="46">
        <v>12320</v>
      </c>
      <c r="D8" s="81">
        <f t="shared" si="3"/>
        <v>12320</v>
      </c>
      <c r="E8" s="79" t="s">
        <v>2492</v>
      </c>
      <c r="F8" s="82" t="str">
        <f t="shared" si="0"/>
        <v>insert into ins_premium_det (premium_rcv_code,assorted_code, rec_amount,premium_rcv_detail_code,remaining_amt, payrec, mode_code,coinsurance_code,class_cd,it_remarks) values</v>
      </c>
      <c r="G8" s="83" t="str">
        <f t="shared" si="1"/>
        <v>('24Sep240082','040000177460','12320',(select max(to_number(i.premium_rcv_detail_code))+1
from ins_premium_det i),'12320','12320','02', '11000003','00','Request by Mr. Omair Ali 25-Sep-2024 allocation no 24Sep240082 ');</v>
      </c>
      <c r="H8" s="84" t="str">
        <f t="shared" si="2"/>
        <v>insert into ins_premium_det (premium_rcv_code,assorted_code, rec_amount,premium_rcv_detail_code,remaining_amt, payrec, mode_code,coinsurance_code,class_cd,it_remarks) values('24Sep240082','040000177460','12320',(select max(to_number(i.premium_rcv_detail_code))+1
from ins_premium_det i),'12320','12320','02', '11000003','00','Request by Mr. Omair Ali 25-Sep-2024 allocation no 24Sep240082 ');</v>
      </c>
    </row>
    <row r="9" spans="1:8" ht="105" x14ac:dyDescent="0.25">
      <c r="A9" t="s">
        <v>121</v>
      </c>
      <c r="B9" s="80" t="str">
        <f>VLOOKUP(A9,[1]Sheet1!$B:$C,2,0)</f>
        <v>040000177461</v>
      </c>
      <c r="C9" s="46">
        <v>12320</v>
      </c>
      <c r="D9" s="81">
        <f t="shared" si="3"/>
        <v>12320</v>
      </c>
      <c r="E9" s="79" t="s">
        <v>2492</v>
      </c>
      <c r="F9" s="82" t="str">
        <f t="shared" si="0"/>
        <v>insert into ins_premium_det (premium_rcv_code,assorted_code, rec_amount,premium_rcv_detail_code,remaining_amt, payrec, mode_code,coinsurance_code,class_cd,it_remarks) values</v>
      </c>
      <c r="G9" s="83" t="str">
        <f t="shared" si="1"/>
        <v>('24Sep240082','040000177461','12320',(select max(to_number(i.premium_rcv_detail_code))+1
from ins_premium_det i),'12320','12320','02', '11000003','00','Request by Mr. Omair Ali 25-Sep-2024 allocation no 24Sep240082 ');</v>
      </c>
      <c r="H9" s="84" t="str">
        <f t="shared" si="2"/>
        <v>insert into ins_premium_det (premium_rcv_code,assorted_code, rec_amount,premium_rcv_detail_code,remaining_amt, payrec, mode_code,coinsurance_code,class_cd,it_remarks) values('24Sep240082','040000177461','12320',(select max(to_number(i.premium_rcv_detail_code))+1
from ins_premium_det i),'12320','12320','02', '11000003','00','Request by Mr. Omair Ali 25-Sep-2024 allocation no 24Sep240082 ');</v>
      </c>
    </row>
    <row r="10" spans="1:8" ht="105" x14ac:dyDescent="0.25">
      <c r="A10" t="s">
        <v>122</v>
      </c>
      <c r="B10" s="80" t="str">
        <f>VLOOKUP(A10,[1]Sheet1!$B:$C,2,0)</f>
        <v>040000177465</v>
      </c>
      <c r="C10" s="46">
        <v>19145</v>
      </c>
      <c r="D10" s="81">
        <f t="shared" si="3"/>
        <v>19145</v>
      </c>
      <c r="E10" s="79" t="s">
        <v>2492</v>
      </c>
      <c r="F10" s="82" t="str">
        <f t="shared" si="0"/>
        <v>insert into ins_premium_det (premium_rcv_code,assorted_code, rec_amount,premium_rcv_detail_code,remaining_amt, payrec, mode_code,coinsurance_code,class_cd,it_remarks) values</v>
      </c>
      <c r="G10" s="83" t="str">
        <f t="shared" si="1"/>
        <v>('24Sep240082','040000177465','19145',(select max(to_number(i.premium_rcv_detail_code))+1
from ins_premium_det i),'19145','19145','02', '11000003','00','Request by Mr. Omair Ali 25-Sep-2024 allocation no 24Sep240082 ');</v>
      </c>
      <c r="H10" s="84" t="str">
        <f t="shared" si="2"/>
        <v>insert into ins_premium_det (premium_rcv_code,assorted_code, rec_amount,premium_rcv_detail_code,remaining_amt, payrec, mode_code,coinsurance_code,class_cd,it_remarks) values('24Sep240082','040000177465','19145',(select max(to_number(i.premium_rcv_detail_code))+1
from ins_premium_det i),'19145','19145','02', '11000003','00','Request by Mr. Omair Ali 25-Sep-2024 allocation no 24Sep240082 ');</v>
      </c>
    </row>
    <row r="11" spans="1:8" ht="105" x14ac:dyDescent="0.25">
      <c r="A11" t="s">
        <v>123</v>
      </c>
      <c r="B11" s="80" t="str">
        <f>VLOOKUP(A11,[1]Sheet1!$B:$C,2,0)</f>
        <v>040000177466</v>
      </c>
      <c r="C11" s="46">
        <v>19145</v>
      </c>
      <c r="D11" s="81">
        <f t="shared" si="3"/>
        <v>19145</v>
      </c>
      <c r="E11" s="79" t="s">
        <v>2492</v>
      </c>
      <c r="F11" s="82" t="str">
        <f t="shared" si="0"/>
        <v>insert into ins_premium_det (premium_rcv_code,assorted_code, rec_amount,premium_rcv_detail_code,remaining_amt, payrec, mode_code,coinsurance_code,class_cd,it_remarks) values</v>
      </c>
      <c r="G11" s="83" t="str">
        <f t="shared" si="1"/>
        <v>('24Sep240082','040000177466','19145',(select max(to_number(i.premium_rcv_detail_code))+1
from ins_premium_det i),'19145','19145','02', '11000003','00','Request by Mr. Omair Ali 25-Sep-2024 allocation no 24Sep240082 ');</v>
      </c>
      <c r="H11" s="84" t="str">
        <f t="shared" si="2"/>
        <v>insert into ins_premium_det (premium_rcv_code,assorted_code, rec_amount,premium_rcv_detail_code,remaining_amt, payrec, mode_code,coinsurance_code,class_cd,it_remarks) values('24Sep240082','040000177466','19145',(select max(to_number(i.premium_rcv_detail_code))+1
from ins_premium_det i),'19145','19145','02', '11000003','00','Request by Mr. Omair Ali 25-Sep-2024 allocation no 24Sep240082 ');</v>
      </c>
    </row>
    <row r="12" spans="1:8" ht="105" x14ac:dyDescent="0.25">
      <c r="A12" t="s">
        <v>124</v>
      </c>
      <c r="B12" s="80" t="str">
        <f>VLOOKUP(A12,[1]Sheet1!$B:$C,2,0)</f>
        <v>040000177470</v>
      </c>
      <c r="C12" s="46">
        <v>19145</v>
      </c>
      <c r="D12" s="81">
        <f t="shared" si="3"/>
        <v>19145</v>
      </c>
      <c r="E12" s="79" t="s">
        <v>2492</v>
      </c>
      <c r="F12" s="82" t="str">
        <f t="shared" si="0"/>
        <v>insert into ins_premium_det (premium_rcv_code,assorted_code, rec_amount,premium_rcv_detail_code,remaining_amt, payrec, mode_code,coinsurance_code,class_cd,it_remarks) values</v>
      </c>
      <c r="G12" s="83" t="str">
        <f t="shared" si="1"/>
        <v>('24Sep240082','040000177470','19145',(select max(to_number(i.premium_rcv_detail_code))+1
from ins_premium_det i),'19145','19145','02', '11000003','00','Request by Mr. Omair Ali 25-Sep-2024 allocation no 24Sep240082 ');</v>
      </c>
      <c r="H12" s="84" t="str">
        <f t="shared" si="2"/>
        <v>insert into ins_premium_det (premium_rcv_code,assorted_code, rec_amount,premium_rcv_detail_code,remaining_amt, payrec, mode_code,coinsurance_code,class_cd,it_remarks) values('24Sep240082','040000177470','19145',(select max(to_number(i.premium_rcv_detail_code))+1
from ins_premium_det i),'19145','19145','02', '11000003','00','Request by Mr. Omair Ali 25-Sep-2024 allocation no 24Sep240082 ');</v>
      </c>
    </row>
    <row r="13" spans="1:8" ht="105" x14ac:dyDescent="0.25">
      <c r="A13" t="s">
        <v>125</v>
      </c>
      <c r="B13" s="80" t="str">
        <f>VLOOKUP(A13,[1]Sheet1!$B:$C,2,0)</f>
        <v>040000177474</v>
      </c>
      <c r="C13" s="46">
        <v>12320</v>
      </c>
      <c r="D13" s="81">
        <f t="shared" si="3"/>
        <v>12320</v>
      </c>
      <c r="E13" s="79" t="s">
        <v>2492</v>
      </c>
      <c r="F13" s="82" t="str">
        <f t="shared" si="0"/>
        <v>insert into ins_premium_det (premium_rcv_code,assorted_code, rec_amount,premium_rcv_detail_code,remaining_amt, payrec, mode_code,coinsurance_code,class_cd,it_remarks) values</v>
      </c>
      <c r="G13" s="83" t="str">
        <f t="shared" si="1"/>
        <v>('24Sep240082','040000177474','12320',(select max(to_number(i.premium_rcv_detail_code))+1
from ins_premium_det i),'12320','12320','02', '11000003','00','Request by Mr. Omair Ali 25-Sep-2024 allocation no 24Sep240082 ');</v>
      </c>
      <c r="H13" s="84" t="str">
        <f t="shared" si="2"/>
        <v>insert into ins_premium_det (premium_rcv_code,assorted_code, rec_amount,premium_rcv_detail_code,remaining_amt, payrec, mode_code,coinsurance_code,class_cd,it_remarks) values('24Sep240082','040000177474','12320',(select max(to_number(i.premium_rcv_detail_code))+1
from ins_premium_det i),'12320','12320','02', '11000003','00','Request by Mr. Omair Ali 25-Sep-2024 allocation no 24Sep240082 ');</v>
      </c>
    </row>
    <row r="14" spans="1:8" ht="105" x14ac:dyDescent="0.25">
      <c r="A14" t="s">
        <v>126</v>
      </c>
      <c r="B14" s="80" t="str">
        <f>VLOOKUP(A14,[1]Sheet1!$B:$C,2,0)</f>
        <v>040000177475</v>
      </c>
      <c r="C14" s="46">
        <v>12320</v>
      </c>
      <c r="D14" s="81">
        <f t="shared" si="3"/>
        <v>12320</v>
      </c>
      <c r="E14" s="79" t="s">
        <v>2492</v>
      </c>
      <c r="F14" s="82" t="str">
        <f t="shared" si="0"/>
        <v>insert into ins_premium_det (premium_rcv_code,assorted_code, rec_amount,premium_rcv_detail_code,remaining_amt, payrec, mode_code,coinsurance_code,class_cd,it_remarks) values</v>
      </c>
      <c r="G14" s="83" t="str">
        <f t="shared" si="1"/>
        <v>('24Sep240082','040000177475','12320',(select max(to_number(i.premium_rcv_detail_code))+1
from ins_premium_det i),'12320','12320','02', '11000003','00','Request by Mr. Omair Ali 25-Sep-2024 allocation no 24Sep240082 ');</v>
      </c>
      <c r="H14" s="84" t="str">
        <f t="shared" si="2"/>
        <v>insert into ins_premium_det (premium_rcv_code,assorted_code, rec_amount,premium_rcv_detail_code,remaining_amt, payrec, mode_code,coinsurance_code,class_cd,it_remarks) values('24Sep240082','040000177475','12320',(select max(to_number(i.premium_rcv_detail_code))+1
from ins_premium_det i),'12320','12320','02', '11000003','00','Request by Mr. Omair Ali 25-Sep-2024 allocation no 24Sep240082 ');</v>
      </c>
    </row>
    <row r="15" spans="1:8" ht="105" x14ac:dyDescent="0.25">
      <c r="A15" t="s">
        <v>127</v>
      </c>
      <c r="B15" s="80" t="str">
        <f>VLOOKUP(A15,[1]Sheet1!$B:$C,2,0)</f>
        <v>040000177480</v>
      </c>
      <c r="C15" s="46">
        <v>12320</v>
      </c>
      <c r="D15" s="81">
        <f t="shared" si="3"/>
        <v>12320</v>
      </c>
      <c r="E15" s="79" t="s">
        <v>2492</v>
      </c>
      <c r="F15" s="82" t="str">
        <f t="shared" si="0"/>
        <v>insert into ins_premium_det (premium_rcv_code,assorted_code, rec_amount,premium_rcv_detail_code,remaining_amt, payrec, mode_code,coinsurance_code,class_cd,it_remarks) values</v>
      </c>
      <c r="G15" s="83" t="str">
        <f t="shared" si="1"/>
        <v>('24Sep240082','040000177480','12320',(select max(to_number(i.premium_rcv_detail_code))+1
from ins_premium_det i),'12320','12320','02', '11000003','00','Request by Mr. Omair Ali 25-Sep-2024 allocation no 24Sep240082 ');</v>
      </c>
      <c r="H15" s="84" t="str">
        <f t="shared" si="2"/>
        <v>insert into ins_premium_det (premium_rcv_code,assorted_code, rec_amount,premium_rcv_detail_code,remaining_amt, payrec, mode_code,coinsurance_code,class_cd,it_remarks) values('24Sep240082','040000177480','12320',(select max(to_number(i.premium_rcv_detail_code))+1
from ins_premium_det i),'12320','12320','02', '11000003','00','Request by Mr. Omair Ali 25-Sep-2024 allocation no 24Sep240082 ');</v>
      </c>
    </row>
    <row r="16" spans="1:8" ht="105" x14ac:dyDescent="0.25">
      <c r="A16" t="s">
        <v>128</v>
      </c>
      <c r="B16" s="80" t="str">
        <f>VLOOKUP(A16,[1]Sheet1!$B:$C,2,0)</f>
        <v>040000177481</v>
      </c>
      <c r="C16" s="46">
        <v>13370</v>
      </c>
      <c r="D16" s="81">
        <f t="shared" si="3"/>
        <v>13370</v>
      </c>
      <c r="E16" s="79" t="s">
        <v>2492</v>
      </c>
      <c r="F16" s="82" t="str">
        <f t="shared" si="0"/>
        <v>insert into ins_premium_det (premium_rcv_code,assorted_code, rec_amount,premium_rcv_detail_code,remaining_amt, payrec, mode_code,coinsurance_code,class_cd,it_remarks) values</v>
      </c>
      <c r="G16" s="83" t="str">
        <f t="shared" si="1"/>
        <v>('24Sep240082','040000177481','13370',(select max(to_number(i.premium_rcv_detail_code))+1
from ins_premium_det i),'13370','13370','02', '11000003','00','Request by Mr. Omair Ali 25-Sep-2024 allocation no 24Sep240082 ');</v>
      </c>
      <c r="H16" s="84" t="str">
        <f t="shared" si="2"/>
        <v>insert into ins_premium_det (premium_rcv_code,assorted_code, rec_amount,premium_rcv_detail_code,remaining_amt, payrec, mode_code,coinsurance_code,class_cd,it_remarks) values('24Sep240082','040000177481','13370',(select max(to_number(i.premium_rcv_detail_code))+1
from ins_premium_det i),'13370','13370','02', '11000003','00','Request by Mr. Omair Ali 25-Sep-2024 allocation no 24Sep240082 ');</v>
      </c>
    </row>
    <row r="17" spans="1:8" ht="105" x14ac:dyDescent="0.25">
      <c r="A17" t="s">
        <v>129</v>
      </c>
      <c r="B17" s="80" t="str">
        <f>VLOOKUP(A17,[1]Sheet1!$B:$C,2,0)</f>
        <v>040000177482</v>
      </c>
      <c r="C17" s="46">
        <v>13370</v>
      </c>
      <c r="D17" s="81">
        <f t="shared" si="3"/>
        <v>13370</v>
      </c>
      <c r="E17" s="79" t="s">
        <v>2492</v>
      </c>
      <c r="F17" s="82" t="str">
        <f t="shared" si="0"/>
        <v>insert into ins_premium_det (premium_rcv_code,assorted_code, rec_amount,premium_rcv_detail_code,remaining_amt, payrec, mode_code,coinsurance_code,class_cd,it_remarks) values</v>
      </c>
      <c r="G17" s="83" t="str">
        <f t="shared" si="1"/>
        <v>('24Sep240082','040000177482','13370',(select max(to_number(i.premium_rcv_detail_code))+1
from ins_premium_det i),'13370','13370','02', '11000003','00','Request by Mr. Omair Ali 25-Sep-2024 allocation no 24Sep240082 ');</v>
      </c>
      <c r="H17" s="84" t="str">
        <f t="shared" si="2"/>
        <v>insert into ins_premium_det (premium_rcv_code,assorted_code, rec_amount,premium_rcv_detail_code,remaining_amt, payrec, mode_code,coinsurance_code,class_cd,it_remarks) values('24Sep240082','040000177482','13370',(select max(to_number(i.premium_rcv_detail_code))+1
from ins_premium_det i),'13370','13370','02', '11000003','00','Request by Mr. Omair Ali 25-Sep-2024 allocation no 24Sep240082 ');</v>
      </c>
    </row>
    <row r="18" spans="1:8" ht="105" x14ac:dyDescent="0.25">
      <c r="A18" t="s">
        <v>130</v>
      </c>
      <c r="B18" s="80" t="str">
        <f>VLOOKUP(A18,[1]Sheet1!$B:$C,2,0)</f>
        <v>040000177485</v>
      </c>
      <c r="C18" s="46">
        <v>12320</v>
      </c>
      <c r="D18" s="81">
        <f t="shared" si="3"/>
        <v>12320</v>
      </c>
      <c r="E18" s="79" t="s">
        <v>2492</v>
      </c>
      <c r="F18" s="82" t="str">
        <f t="shared" si="0"/>
        <v>insert into ins_premium_det (premium_rcv_code,assorted_code, rec_amount,premium_rcv_detail_code,remaining_amt, payrec, mode_code,coinsurance_code,class_cd,it_remarks) values</v>
      </c>
      <c r="G18" s="83" t="str">
        <f t="shared" si="1"/>
        <v>('24Sep240082','040000177485','12320',(select max(to_number(i.premium_rcv_detail_code))+1
from ins_premium_det i),'12320','12320','02', '11000003','00','Request by Mr. Omair Ali 25-Sep-2024 allocation no 24Sep240082 ');</v>
      </c>
      <c r="H18" s="84" t="str">
        <f t="shared" si="2"/>
        <v>insert into ins_premium_det (premium_rcv_code,assorted_code, rec_amount,premium_rcv_detail_code,remaining_amt, payrec, mode_code,coinsurance_code,class_cd,it_remarks) values('24Sep240082','040000177485','12320',(select max(to_number(i.premium_rcv_detail_code))+1
from ins_premium_det i),'12320','12320','02', '11000003','00','Request by Mr. Omair Ali 25-Sep-2024 allocation no 24Sep240082 ');</v>
      </c>
    </row>
    <row r="19" spans="1:8" ht="105" x14ac:dyDescent="0.25">
      <c r="A19" t="s">
        <v>131</v>
      </c>
      <c r="B19" s="80" t="str">
        <f>VLOOKUP(A19,[1]Sheet1!$B:$C,2,0)</f>
        <v>040000177487</v>
      </c>
      <c r="C19" s="46">
        <v>12320</v>
      </c>
      <c r="D19" s="81">
        <f t="shared" si="3"/>
        <v>12320</v>
      </c>
      <c r="E19" s="79" t="s">
        <v>2492</v>
      </c>
      <c r="F19" s="82" t="str">
        <f t="shared" si="0"/>
        <v>insert into ins_premium_det (premium_rcv_code,assorted_code, rec_amount,premium_rcv_detail_code,remaining_amt, payrec, mode_code,coinsurance_code,class_cd,it_remarks) values</v>
      </c>
      <c r="G19" s="83" t="str">
        <f t="shared" si="1"/>
        <v>('24Sep240082','040000177487','12320',(select max(to_number(i.premium_rcv_detail_code))+1
from ins_premium_det i),'12320','12320','02', '11000003','00','Request by Mr. Omair Ali 25-Sep-2024 allocation no 24Sep240082 ');</v>
      </c>
      <c r="H19" s="84" t="str">
        <f t="shared" si="2"/>
        <v>insert into ins_premium_det (premium_rcv_code,assorted_code, rec_amount,premium_rcv_detail_code,remaining_amt, payrec, mode_code,coinsurance_code,class_cd,it_remarks) values('24Sep240082','040000177487','12320',(select max(to_number(i.premium_rcv_detail_code))+1
from ins_premium_det i),'12320','12320','02', '11000003','00','Request by Mr. Omair Ali 25-Sep-2024 allocation no 24Sep240082 ');</v>
      </c>
    </row>
    <row r="20" spans="1:8" ht="105" x14ac:dyDescent="0.25">
      <c r="A20" t="s">
        <v>132</v>
      </c>
      <c r="B20" s="80" t="str">
        <f>VLOOKUP(A20,[1]Sheet1!$B:$C,2,0)</f>
        <v>040000177489</v>
      </c>
      <c r="C20" s="46">
        <v>12320</v>
      </c>
      <c r="D20" s="81">
        <f t="shared" si="3"/>
        <v>12320</v>
      </c>
      <c r="E20" s="79" t="s">
        <v>2492</v>
      </c>
      <c r="F20" s="82" t="str">
        <f t="shared" si="0"/>
        <v>insert into ins_premium_det (premium_rcv_code,assorted_code, rec_amount,premium_rcv_detail_code,remaining_amt, payrec, mode_code,coinsurance_code,class_cd,it_remarks) values</v>
      </c>
      <c r="G20" s="83" t="str">
        <f t="shared" si="1"/>
        <v>('24Sep240082','040000177489','12320',(select max(to_number(i.premium_rcv_detail_code))+1
from ins_premium_det i),'12320','12320','02', '11000003','00','Request by Mr. Omair Ali 25-Sep-2024 allocation no 24Sep240082 ');</v>
      </c>
      <c r="H20" s="84" t="str">
        <f t="shared" si="2"/>
        <v>insert into ins_premium_det (premium_rcv_code,assorted_code, rec_amount,premium_rcv_detail_code,remaining_amt, payrec, mode_code,coinsurance_code,class_cd,it_remarks) values('24Sep240082','040000177489','12320',(select max(to_number(i.premium_rcv_detail_code))+1
from ins_premium_det i),'12320','12320','02', '11000003','00','Request by Mr. Omair Ali 25-Sep-2024 allocation no 24Sep240082 ');</v>
      </c>
    </row>
    <row r="21" spans="1:8" ht="105" x14ac:dyDescent="0.25">
      <c r="A21" t="s">
        <v>133</v>
      </c>
      <c r="B21" s="80" t="str">
        <f>VLOOKUP(A21,[1]Sheet1!$B:$C,2,0)</f>
        <v>040000177492</v>
      </c>
      <c r="C21" s="46">
        <v>19145</v>
      </c>
      <c r="D21" s="81">
        <f t="shared" si="3"/>
        <v>19145</v>
      </c>
      <c r="E21" s="79" t="s">
        <v>2492</v>
      </c>
      <c r="F21" s="82" t="str">
        <f t="shared" si="0"/>
        <v>insert into ins_premium_det (premium_rcv_code,assorted_code, rec_amount,premium_rcv_detail_code,remaining_amt, payrec, mode_code,coinsurance_code,class_cd,it_remarks) values</v>
      </c>
      <c r="G21" s="83" t="str">
        <f t="shared" si="1"/>
        <v>('24Sep240082','040000177492','19145',(select max(to_number(i.premium_rcv_detail_code))+1
from ins_premium_det i),'19145','19145','02', '11000003','00','Request by Mr. Omair Ali 25-Sep-2024 allocation no 24Sep240082 ');</v>
      </c>
      <c r="H21" s="84" t="str">
        <f t="shared" si="2"/>
        <v>insert into ins_premium_det (premium_rcv_code,assorted_code, rec_amount,premium_rcv_detail_code,remaining_amt, payrec, mode_code,coinsurance_code,class_cd,it_remarks) values('24Sep240082','040000177492','19145',(select max(to_number(i.premium_rcv_detail_code))+1
from ins_premium_det i),'19145','19145','02', '11000003','00','Request by Mr. Omair Ali 25-Sep-2024 allocation no 24Sep240082 ');</v>
      </c>
    </row>
    <row r="22" spans="1:8" ht="105" x14ac:dyDescent="0.25">
      <c r="A22" t="s">
        <v>134</v>
      </c>
      <c r="B22" s="80" t="str">
        <f>VLOOKUP(A22,[1]Sheet1!$B:$C,2,0)</f>
        <v>040000177493</v>
      </c>
      <c r="C22" s="46">
        <v>19145</v>
      </c>
      <c r="D22" s="81">
        <f t="shared" si="3"/>
        <v>19145</v>
      </c>
      <c r="E22" s="79" t="s">
        <v>2492</v>
      </c>
      <c r="F22" s="82" t="str">
        <f t="shared" si="0"/>
        <v>insert into ins_premium_det (premium_rcv_code,assorted_code, rec_amount,premium_rcv_detail_code,remaining_amt, payrec, mode_code,coinsurance_code,class_cd,it_remarks) values</v>
      </c>
      <c r="G22" s="83" t="str">
        <f t="shared" si="1"/>
        <v>('24Sep240082','040000177493','19145',(select max(to_number(i.premium_rcv_detail_code))+1
from ins_premium_det i),'19145','19145','02', '11000003','00','Request by Mr. Omair Ali 25-Sep-2024 allocation no 24Sep240082 ');</v>
      </c>
      <c r="H22" s="84" t="str">
        <f t="shared" si="2"/>
        <v>insert into ins_premium_det (premium_rcv_code,assorted_code, rec_amount,premium_rcv_detail_code,remaining_amt, payrec, mode_code,coinsurance_code,class_cd,it_remarks) values('24Sep240082','040000177493','19145',(select max(to_number(i.premium_rcv_detail_code))+1
from ins_premium_det i),'19145','19145','02', '11000003','00','Request by Mr. Omair Ali 25-Sep-2024 allocation no 24Sep240082 ');</v>
      </c>
    </row>
    <row r="23" spans="1:8" ht="105" x14ac:dyDescent="0.25">
      <c r="A23" t="s">
        <v>135</v>
      </c>
      <c r="B23" s="80" t="str">
        <f>VLOOKUP(A23,[1]Sheet1!$B:$C,2,0)</f>
        <v>040000177495</v>
      </c>
      <c r="C23" s="46">
        <v>19145</v>
      </c>
      <c r="D23" s="81">
        <f t="shared" si="3"/>
        <v>19145</v>
      </c>
      <c r="E23" s="79" t="s">
        <v>2492</v>
      </c>
      <c r="F23" s="82" t="str">
        <f t="shared" si="0"/>
        <v>insert into ins_premium_det (premium_rcv_code,assorted_code, rec_amount,premium_rcv_detail_code,remaining_amt, payrec, mode_code,coinsurance_code,class_cd,it_remarks) values</v>
      </c>
      <c r="G23" s="83" t="str">
        <f t="shared" si="1"/>
        <v>('24Sep240082','040000177495','19145',(select max(to_number(i.premium_rcv_detail_code))+1
from ins_premium_det i),'19145','19145','02', '11000003','00','Request by Mr. Omair Ali 25-Sep-2024 allocation no 24Sep240082 ');</v>
      </c>
      <c r="H23" s="84" t="str">
        <f t="shared" si="2"/>
        <v>insert into ins_premium_det (premium_rcv_code,assorted_code, rec_amount,premium_rcv_detail_code,remaining_amt, payrec, mode_code,coinsurance_code,class_cd,it_remarks) values('24Sep240082','040000177495','19145',(select max(to_number(i.premium_rcv_detail_code))+1
from ins_premium_det i),'19145','19145','02', '11000003','00','Request by Mr. Omair Ali 25-Sep-2024 allocation no 24Sep240082 ');</v>
      </c>
    </row>
    <row r="24" spans="1:8" ht="105" x14ac:dyDescent="0.25">
      <c r="A24" t="s">
        <v>136</v>
      </c>
      <c r="B24" s="80" t="str">
        <f>VLOOKUP(A24,[1]Sheet1!$B:$C,2,0)</f>
        <v>040000177496</v>
      </c>
      <c r="C24" s="46">
        <v>19145</v>
      </c>
      <c r="D24" s="81">
        <f t="shared" si="3"/>
        <v>19145</v>
      </c>
      <c r="E24" s="79" t="s">
        <v>2492</v>
      </c>
      <c r="F24" s="82" t="str">
        <f t="shared" si="0"/>
        <v>insert into ins_premium_det (premium_rcv_code,assorted_code, rec_amount,premium_rcv_detail_code,remaining_amt, payrec, mode_code,coinsurance_code,class_cd,it_remarks) values</v>
      </c>
      <c r="G24" s="83" t="str">
        <f t="shared" si="1"/>
        <v>('24Sep240082','040000177496','19145',(select max(to_number(i.premium_rcv_detail_code))+1
from ins_premium_det i),'19145','19145','02', '11000003','00','Request by Mr. Omair Ali 25-Sep-2024 allocation no 24Sep240082 ');</v>
      </c>
      <c r="H24" s="84" t="str">
        <f t="shared" si="2"/>
        <v>insert into ins_premium_det (premium_rcv_code,assorted_code, rec_amount,premium_rcv_detail_code,remaining_amt, payrec, mode_code,coinsurance_code,class_cd,it_remarks) values('24Sep240082','040000177496','19145',(select max(to_number(i.premium_rcv_detail_code))+1
from ins_premium_det i),'19145','19145','02', '11000003','00','Request by Mr. Omair Ali 25-Sep-2024 allocation no 24Sep240082 ');</v>
      </c>
    </row>
    <row r="25" spans="1:8" ht="105" x14ac:dyDescent="0.25">
      <c r="A25" t="s">
        <v>137</v>
      </c>
      <c r="B25" s="80" t="str">
        <f>VLOOKUP(A25,[1]Sheet1!$B:$C,2,0)</f>
        <v>040000177511</v>
      </c>
      <c r="C25" s="46">
        <v>13370</v>
      </c>
      <c r="D25" s="81">
        <f t="shared" si="3"/>
        <v>13370</v>
      </c>
      <c r="E25" s="79" t="s">
        <v>2492</v>
      </c>
      <c r="F25" s="82" t="str">
        <f t="shared" si="0"/>
        <v>insert into ins_premium_det (premium_rcv_code,assorted_code, rec_amount,premium_rcv_detail_code,remaining_amt, payrec, mode_code,coinsurance_code,class_cd,it_remarks) values</v>
      </c>
      <c r="G25" s="83" t="str">
        <f t="shared" si="1"/>
        <v>('24Sep240082','040000177511','13370',(select max(to_number(i.premium_rcv_detail_code))+1
from ins_premium_det i),'13370','13370','02', '11000003','00','Request by Mr. Omair Ali 25-Sep-2024 allocation no 24Sep240082 ');</v>
      </c>
      <c r="H25" s="84" t="str">
        <f t="shared" si="2"/>
        <v>insert into ins_premium_det (premium_rcv_code,assorted_code, rec_amount,premium_rcv_detail_code,remaining_amt, payrec, mode_code,coinsurance_code,class_cd,it_remarks) values('24Sep240082','040000177511','13370',(select max(to_number(i.premium_rcv_detail_code))+1
from ins_premium_det i),'13370','13370','02', '11000003','00','Request by Mr. Omair Ali 25-Sep-2024 allocation no 24Sep240082 ');</v>
      </c>
    </row>
    <row r="26" spans="1:8" ht="105" x14ac:dyDescent="0.25">
      <c r="A26" t="s">
        <v>138</v>
      </c>
      <c r="B26" s="80" t="str">
        <f>VLOOKUP(A26,[1]Sheet1!$B:$C,2,0)</f>
        <v>040000177512</v>
      </c>
      <c r="C26" s="46">
        <v>12320</v>
      </c>
      <c r="D26" s="81">
        <f t="shared" si="3"/>
        <v>12320</v>
      </c>
      <c r="E26" s="79" t="s">
        <v>2492</v>
      </c>
      <c r="F26" s="82" t="str">
        <f t="shared" si="0"/>
        <v>insert into ins_premium_det (premium_rcv_code,assorted_code, rec_amount,premium_rcv_detail_code,remaining_amt, payrec, mode_code,coinsurance_code,class_cd,it_remarks) values</v>
      </c>
      <c r="G26" s="83" t="str">
        <f t="shared" si="1"/>
        <v>('24Sep240082','040000177512','12320',(select max(to_number(i.premium_rcv_detail_code))+1
from ins_premium_det i),'12320','12320','02', '11000003','00','Request by Mr. Omair Ali 25-Sep-2024 allocation no 24Sep240082 ');</v>
      </c>
      <c r="H26" s="84" t="str">
        <f t="shared" si="2"/>
        <v>insert into ins_premium_det (premium_rcv_code,assorted_code, rec_amount,premium_rcv_detail_code,remaining_amt, payrec, mode_code,coinsurance_code,class_cd,it_remarks) values('24Sep240082','040000177512','12320',(select max(to_number(i.premium_rcv_detail_code))+1
from ins_premium_det i),'12320','12320','02', '11000003','00','Request by Mr. Omair Ali 25-Sep-2024 allocation no 24Sep240082 ');</v>
      </c>
    </row>
    <row r="27" spans="1:8" ht="105" x14ac:dyDescent="0.25">
      <c r="A27" t="s">
        <v>139</v>
      </c>
      <c r="B27" s="80" t="str">
        <f>VLOOKUP(A27,[1]Sheet1!$B:$C,2,0)</f>
        <v>040000177513</v>
      </c>
      <c r="C27" s="46">
        <v>12320</v>
      </c>
      <c r="D27" s="81">
        <f t="shared" si="3"/>
        <v>12320</v>
      </c>
      <c r="E27" s="79" t="s">
        <v>2492</v>
      </c>
      <c r="F27" s="82" t="str">
        <f t="shared" si="0"/>
        <v>insert into ins_premium_det (premium_rcv_code,assorted_code, rec_amount,premium_rcv_detail_code,remaining_amt, payrec, mode_code,coinsurance_code,class_cd,it_remarks) values</v>
      </c>
      <c r="G27" s="83" t="str">
        <f t="shared" si="1"/>
        <v>('24Sep240082','040000177513','12320',(select max(to_number(i.premium_rcv_detail_code))+1
from ins_premium_det i),'12320','12320','02', '11000003','00','Request by Mr. Omair Ali 25-Sep-2024 allocation no 24Sep240082 ');</v>
      </c>
      <c r="H27" s="84" t="str">
        <f t="shared" si="2"/>
        <v>insert into ins_premium_det (premium_rcv_code,assorted_code, rec_amount,premium_rcv_detail_code,remaining_amt, payrec, mode_code,coinsurance_code,class_cd,it_remarks) values('24Sep240082','040000177513','12320',(select max(to_number(i.premium_rcv_detail_code))+1
from ins_premium_det i),'12320','12320','02', '11000003','00','Request by Mr. Omair Ali 25-Sep-2024 allocation no 24Sep240082 ');</v>
      </c>
    </row>
    <row r="28" spans="1:8" ht="105" x14ac:dyDescent="0.25">
      <c r="A28" t="s">
        <v>140</v>
      </c>
      <c r="B28" s="80" t="str">
        <f>VLOOKUP(A28,[1]Sheet1!$B:$C,2,0)</f>
        <v>040000177515</v>
      </c>
      <c r="C28" s="46">
        <v>12320</v>
      </c>
      <c r="D28" s="81">
        <f t="shared" si="3"/>
        <v>12320</v>
      </c>
      <c r="E28" s="79" t="s">
        <v>2492</v>
      </c>
      <c r="F28" s="82" t="str">
        <f t="shared" si="0"/>
        <v>insert into ins_premium_det (premium_rcv_code,assorted_code, rec_amount,premium_rcv_detail_code,remaining_amt, payrec, mode_code,coinsurance_code,class_cd,it_remarks) values</v>
      </c>
      <c r="G28" s="83" t="str">
        <f t="shared" si="1"/>
        <v>('24Sep240082','040000177515','12320',(select max(to_number(i.premium_rcv_detail_code))+1
from ins_premium_det i),'12320','12320','02', '11000003','00','Request by Mr. Omair Ali 25-Sep-2024 allocation no 24Sep240082 ');</v>
      </c>
      <c r="H28" s="84" t="str">
        <f t="shared" si="2"/>
        <v>insert into ins_premium_det (premium_rcv_code,assorted_code, rec_amount,premium_rcv_detail_code,remaining_amt, payrec, mode_code,coinsurance_code,class_cd,it_remarks) values('24Sep240082','040000177515','12320',(select max(to_number(i.premium_rcv_detail_code))+1
from ins_premium_det i),'12320','12320','02', '11000003','00','Request by Mr. Omair Ali 25-Sep-2024 allocation no 24Sep240082 ');</v>
      </c>
    </row>
    <row r="29" spans="1:8" ht="105" x14ac:dyDescent="0.25">
      <c r="A29" t="s">
        <v>141</v>
      </c>
      <c r="B29" s="80" t="str">
        <f>VLOOKUP(A29,[1]Sheet1!$B:$C,2,0)</f>
        <v>040000177516</v>
      </c>
      <c r="C29" s="46">
        <v>12320</v>
      </c>
      <c r="D29" s="81">
        <f t="shared" si="3"/>
        <v>12320</v>
      </c>
      <c r="E29" s="79" t="s">
        <v>2492</v>
      </c>
      <c r="F29" s="82" t="str">
        <f t="shared" si="0"/>
        <v>insert into ins_premium_det (premium_rcv_code,assorted_code, rec_amount,premium_rcv_detail_code,remaining_amt, payrec, mode_code,coinsurance_code,class_cd,it_remarks) values</v>
      </c>
      <c r="G29" s="83" t="str">
        <f t="shared" si="1"/>
        <v>('24Sep240082','040000177516','12320',(select max(to_number(i.premium_rcv_detail_code))+1
from ins_premium_det i),'12320','12320','02', '11000003','00','Request by Mr. Omair Ali 25-Sep-2024 allocation no 24Sep240082 ');</v>
      </c>
      <c r="H29" s="84" t="str">
        <f t="shared" si="2"/>
        <v>insert into ins_premium_det (premium_rcv_code,assorted_code, rec_amount,premium_rcv_detail_code,remaining_amt, payrec, mode_code,coinsurance_code,class_cd,it_remarks) values('24Sep240082','040000177516','12320',(select max(to_number(i.premium_rcv_detail_code))+1
from ins_premium_det i),'12320','12320','02', '11000003','00','Request by Mr. Omair Ali 25-Sep-2024 allocation no 24Sep240082 ');</v>
      </c>
    </row>
    <row r="30" spans="1:8" ht="105" x14ac:dyDescent="0.25">
      <c r="A30" t="s">
        <v>142</v>
      </c>
      <c r="B30" s="80" t="str">
        <f>VLOOKUP(A30,[1]Sheet1!$B:$C,2,0)</f>
        <v>040000177517</v>
      </c>
      <c r="C30" s="46">
        <v>12320</v>
      </c>
      <c r="D30" s="81">
        <f t="shared" si="3"/>
        <v>12320</v>
      </c>
      <c r="E30" s="79" t="s">
        <v>2492</v>
      </c>
      <c r="F30" s="82" t="str">
        <f t="shared" si="0"/>
        <v>insert into ins_premium_det (premium_rcv_code,assorted_code, rec_amount,premium_rcv_detail_code,remaining_amt, payrec, mode_code,coinsurance_code,class_cd,it_remarks) values</v>
      </c>
      <c r="G30" s="83" t="str">
        <f t="shared" si="1"/>
        <v>('24Sep240082','040000177517','12320',(select max(to_number(i.premium_rcv_detail_code))+1
from ins_premium_det i),'12320','12320','02', '11000003','00','Request by Mr. Omair Ali 25-Sep-2024 allocation no 24Sep240082 ');</v>
      </c>
      <c r="H30" s="84" t="str">
        <f t="shared" si="2"/>
        <v>insert into ins_premium_det (premium_rcv_code,assorted_code, rec_amount,premium_rcv_detail_code,remaining_amt, payrec, mode_code,coinsurance_code,class_cd,it_remarks) values('24Sep240082','040000177517','12320',(select max(to_number(i.premium_rcv_detail_code))+1
from ins_premium_det i),'12320','12320','02', '11000003','00','Request by Mr. Omair Ali 25-Sep-2024 allocation no 24Sep240082 ');</v>
      </c>
    </row>
    <row r="31" spans="1:8" ht="105" x14ac:dyDescent="0.25">
      <c r="A31" t="s">
        <v>143</v>
      </c>
      <c r="B31" s="80" t="str">
        <f>VLOOKUP(A31,[1]Sheet1!$B:$C,2,0)</f>
        <v>040000177519</v>
      </c>
      <c r="C31" s="46">
        <v>19145</v>
      </c>
      <c r="D31" s="81">
        <f t="shared" si="3"/>
        <v>19145</v>
      </c>
      <c r="E31" s="79" t="s">
        <v>2492</v>
      </c>
      <c r="F31" s="82" t="str">
        <f t="shared" si="0"/>
        <v>insert into ins_premium_det (premium_rcv_code,assorted_code, rec_amount,premium_rcv_detail_code,remaining_amt, payrec, mode_code,coinsurance_code,class_cd,it_remarks) values</v>
      </c>
      <c r="G31" s="83" t="str">
        <f t="shared" si="1"/>
        <v>('24Sep240082','040000177519','19145',(select max(to_number(i.premium_rcv_detail_code))+1
from ins_premium_det i),'19145','19145','02', '11000003','00','Request by Mr. Omair Ali 25-Sep-2024 allocation no 24Sep240082 ');</v>
      </c>
      <c r="H31" s="84" t="str">
        <f t="shared" si="2"/>
        <v>insert into ins_premium_det (premium_rcv_code,assorted_code, rec_amount,premium_rcv_detail_code,remaining_amt, payrec, mode_code,coinsurance_code,class_cd,it_remarks) values('24Sep240082','040000177519','19145',(select max(to_number(i.premium_rcv_detail_code))+1
from ins_premium_det i),'19145','19145','02', '11000003','00','Request by Mr. Omair Ali 25-Sep-2024 allocation no 24Sep240082 ');</v>
      </c>
    </row>
    <row r="32" spans="1:8" ht="105" x14ac:dyDescent="0.25">
      <c r="A32" t="s">
        <v>144</v>
      </c>
      <c r="B32" s="80" t="str">
        <f>VLOOKUP(A32,[1]Sheet1!$B:$C,2,0)</f>
        <v>040000177522</v>
      </c>
      <c r="C32" s="46">
        <v>13370</v>
      </c>
      <c r="D32" s="81">
        <f t="shared" si="3"/>
        <v>13370</v>
      </c>
      <c r="E32" s="79" t="s">
        <v>2492</v>
      </c>
      <c r="F32" s="82" t="str">
        <f t="shared" si="0"/>
        <v>insert into ins_premium_det (premium_rcv_code,assorted_code, rec_amount,premium_rcv_detail_code,remaining_amt, payrec, mode_code,coinsurance_code,class_cd,it_remarks) values</v>
      </c>
      <c r="G32" s="83" t="str">
        <f t="shared" si="1"/>
        <v>('24Sep240082','040000177522','13370',(select max(to_number(i.premium_rcv_detail_code))+1
from ins_premium_det i),'13370','13370','02', '11000003','00','Request by Mr. Omair Ali 25-Sep-2024 allocation no 24Sep240082 ');</v>
      </c>
      <c r="H32" s="84" t="str">
        <f t="shared" si="2"/>
        <v>insert into ins_premium_det (premium_rcv_code,assorted_code, rec_amount,premium_rcv_detail_code,remaining_amt, payrec, mode_code,coinsurance_code,class_cd,it_remarks) values('24Sep240082','040000177522','13370',(select max(to_number(i.premium_rcv_detail_code))+1
from ins_premium_det i),'13370','13370','02', '11000003','00','Request by Mr. Omair Ali 25-Sep-2024 allocation no 24Sep240082 ');</v>
      </c>
    </row>
    <row r="33" spans="1:8" ht="105" x14ac:dyDescent="0.25">
      <c r="A33" t="s">
        <v>145</v>
      </c>
      <c r="B33" s="80" t="str">
        <f>VLOOKUP(A33,[1]Sheet1!$B:$C,2,0)</f>
        <v>040000177523</v>
      </c>
      <c r="C33" s="46">
        <v>13370</v>
      </c>
      <c r="D33" s="81">
        <f t="shared" si="3"/>
        <v>13370</v>
      </c>
      <c r="E33" s="79" t="s">
        <v>2492</v>
      </c>
      <c r="F33" s="82" t="str">
        <f t="shared" si="0"/>
        <v>insert into ins_premium_det (premium_rcv_code,assorted_code, rec_amount,premium_rcv_detail_code,remaining_amt, payrec, mode_code,coinsurance_code,class_cd,it_remarks) values</v>
      </c>
      <c r="G33" s="83" t="str">
        <f t="shared" si="1"/>
        <v>('24Sep240082','040000177523','13370',(select max(to_number(i.premium_rcv_detail_code))+1
from ins_premium_det i),'13370','13370','02', '11000003','00','Request by Mr. Omair Ali 25-Sep-2024 allocation no 24Sep240082 ');</v>
      </c>
      <c r="H33" s="84" t="str">
        <f t="shared" si="2"/>
        <v>insert into ins_premium_det (premium_rcv_code,assorted_code, rec_amount,premium_rcv_detail_code,remaining_amt, payrec, mode_code,coinsurance_code,class_cd,it_remarks) values('24Sep240082','040000177523','13370',(select max(to_number(i.premium_rcv_detail_code))+1
from ins_premium_det i),'13370','13370','02', '11000003','00','Request by Mr. Omair Ali 25-Sep-2024 allocation no 24Sep240082 ');</v>
      </c>
    </row>
    <row r="34" spans="1:8" ht="105" x14ac:dyDescent="0.25">
      <c r="A34" t="s">
        <v>146</v>
      </c>
      <c r="B34" s="80" t="str">
        <f>VLOOKUP(A34,[1]Sheet1!$B:$C,2,0)</f>
        <v>040000177524</v>
      </c>
      <c r="C34" s="46">
        <v>13370</v>
      </c>
      <c r="D34" s="81">
        <f t="shared" si="3"/>
        <v>13370</v>
      </c>
      <c r="E34" s="79" t="s">
        <v>2492</v>
      </c>
      <c r="F34" s="82" t="str">
        <f t="shared" si="0"/>
        <v>insert into ins_premium_det (premium_rcv_code,assorted_code, rec_amount,premium_rcv_detail_code,remaining_amt, payrec, mode_code,coinsurance_code,class_cd,it_remarks) values</v>
      </c>
      <c r="G34" s="83" t="str">
        <f t="shared" si="1"/>
        <v>('24Sep240082','040000177524','13370',(select max(to_number(i.premium_rcv_detail_code))+1
from ins_premium_det i),'13370','13370','02', '11000003','00','Request by Mr. Omair Ali 25-Sep-2024 allocation no 24Sep240082 ');</v>
      </c>
      <c r="H34" s="84" t="str">
        <f t="shared" si="2"/>
        <v>insert into ins_premium_det (premium_rcv_code,assorted_code, rec_amount,premium_rcv_detail_code,remaining_amt, payrec, mode_code,coinsurance_code,class_cd,it_remarks) values('24Sep240082','040000177524','13370',(select max(to_number(i.premium_rcv_detail_code))+1
from ins_premium_det i),'13370','13370','02', '11000003','00','Request by Mr. Omair Ali 25-Sep-2024 allocation no 24Sep240082 ');</v>
      </c>
    </row>
    <row r="35" spans="1:8" ht="105" x14ac:dyDescent="0.25">
      <c r="A35" t="s">
        <v>147</v>
      </c>
      <c r="B35" s="80" t="str">
        <f>VLOOKUP(A35,[1]Sheet1!$B:$C,2,0)</f>
        <v>040000177525</v>
      </c>
      <c r="C35" s="46">
        <v>19145</v>
      </c>
      <c r="D35" s="81">
        <f t="shared" si="3"/>
        <v>19145</v>
      </c>
      <c r="E35" s="79" t="s">
        <v>2492</v>
      </c>
      <c r="F35" s="82" t="str">
        <f t="shared" si="0"/>
        <v>insert into ins_premium_det (premium_rcv_code,assorted_code, rec_amount,premium_rcv_detail_code,remaining_amt, payrec, mode_code,coinsurance_code,class_cd,it_remarks) values</v>
      </c>
      <c r="G35" s="83" t="str">
        <f t="shared" si="1"/>
        <v>('24Sep240082','040000177525','19145',(select max(to_number(i.premium_rcv_detail_code))+1
from ins_premium_det i),'19145','19145','02', '11000003','00','Request by Mr. Omair Ali 25-Sep-2024 allocation no 24Sep240082 ');</v>
      </c>
      <c r="H35" s="84" t="str">
        <f t="shared" si="2"/>
        <v>insert into ins_premium_det (premium_rcv_code,assorted_code, rec_amount,premium_rcv_detail_code,remaining_amt, payrec, mode_code,coinsurance_code,class_cd,it_remarks) values('24Sep240082','040000177525','19145',(select max(to_number(i.premium_rcv_detail_code))+1
from ins_premium_det i),'19145','19145','02', '11000003','00','Request by Mr. Omair Ali 25-Sep-2024 allocation no 24Sep240082 ');</v>
      </c>
    </row>
    <row r="36" spans="1:8" ht="105" x14ac:dyDescent="0.25">
      <c r="A36" t="s">
        <v>148</v>
      </c>
      <c r="B36" s="80" t="str">
        <f>VLOOKUP(A36,[1]Sheet1!$B:$C,2,0)</f>
        <v>040000177526</v>
      </c>
      <c r="C36" s="46">
        <v>19145</v>
      </c>
      <c r="D36" s="81">
        <f t="shared" si="3"/>
        <v>19145</v>
      </c>
      <c r="E36" s="79" t="s">
        <v>2492</v>
      </c>
      <c r="F36" s="82" t="str">
        <f t="shared" si="0"/>
        <v>insert into ins_premium_det (premium_rcv_code,assorted_code, rec_amount,premium_rcv_detail_code,remaining_amt, payrec, mode_code,coinsurance_code,class_cd,it_remarks) values</v>
      </c>
      <c r="G36" s="83" t="str">
        <f t="shared" si="1"/>
        <v>('24Sep240082','040000177526','19145',(select max(to_number(i.premium_rcv_detail_code))+1
from ins_premium_det i),'19145','19145','02', '11000003','00','Request by Mr. Omair Ali 25-Sep-2024 allocation no 24Sep240082 ');</v>
      </c>
      <c r="H36" s="84" t="str">
        <f t="shared" si="2"/>
        <v>insert into ins_premium_det (premium_rcv_code,assorted_code, rec_amount,premium_rcv_detail_code,remaining_amt, payrec, mode_code,coinsurance_code,class_cd,it_remarks) values('24Sep240082','040000177526','19145',(select max(to_number(i.premium_rcv_detail_code))+1
from ins_premium_det i),'19145','19145','02', '11000003','00','Request by Mr. Omair Ali 25-Sep-2024 allocation no 24Sep240082 ');</v>
      </c>
    </row>
    <row r="37" spans="1:8" ht="105" x14ac:dyDescent="0.25">
      <c r="A37" t="s">
        <v>149</v>
      </c>
      <c r="B37" s="80" t="str">
        <f>VLOOKUP(A37,[1]Sheet1!$B:$C,2,0)</f>
        <v>040000177541</v>
      </c>
      <c r="C37" s="46">
        <v>13370</v>
      </c>
      <c r="D37" s="81">
        <f t="shared" si="3"/>
        <v>13370</v>
      </c>
      <c r="E37" s="79" t="s">
        <v>2492</v>
      </c>
      <c r="F37" s="82" t="str">
        <f t="shared" si="0"/>
        <v>insert into ins_premium_det (premium_rcv_code,assorted_code, rec_amount,premium_rcv_detail_code,remaining_amt, payrec, mode_code,coinsurance_code,class_cd,it_remarks) values</v>
      </c>
      <c r="G37" s="83" t="str">
        <f t="shared" si="1"/>
        <v>('24Sep240082','040000177541','13370',(select max(to_number(i.premium_rcv_detail_code))+1
from ins_premium_det i),'13370','13370','02', '11000003','00','Request by Mr. Omair Ali 25-Sep-2024 allocation no 24Sep240082 ');</v>
      </c>
      <c r="H37" s="84" t="str">
        <f t="shared" si="2"/>
        <v>insert into ins_premium_det (premium_rcv_code,assorted_code, rec_amount,premium_rcv_detail_code,remaining_amt, payrec, mode_code,coinsurance_code,class_cd,it_remarks) values('24Sep240082','040000177541','13370',(select max(to_number(i.premium_rcv_detail_code))+1
from ins_premium_det i),'13370','13370','02', '11000003','00','Request by Mr. Omair Ali 25-Sep-2024 allocation no 24Sep240082 ');</v>
      </c>
    </row>
    <row r="38" spans="1:8" ht="105" x14ac:dyDescent="0.25">
      <c r="A38" t="s">
        <v>150</v>
      </c>
      <c r="B38" s="80" t="str">
        <f>VLOOKUP(A38,[1]Sheet1!$B:$C,2,0)</f>
        <v>040000177542</v>
      </c>
      <c r="C38" s="46">
        <v>13370</v>
      </c>
      <c r="D38" s="81">
        <f t="shared" si="3"/>
        <v>13370</v>
      </c>
      <c r="E38" s="79" t="s">
        <v>2492</v>
      </c>
      <c r="F38" s="82" t="str">
        <f t="shared" si="0"/>
        <v>insert into ins_premium_det (premium_rcv_code,assorted_code, rec_amount,premium_rcv_detail_code,remaining_amt, payrec, mode_code,coinsurance_code,class_cd,it_remarks) values</v>
      </c>
      <c r="G38" s="83" t="str">
        <f t="shared" si="1"/>
        <v>('24Sep240082','040000177542','13370',(select max(to_number(i.premium_rcv_detail_code))+1
from ins_premium_det i),'13370','13370','02', '11000003','00','Request by Mr. Omair Ali 25-Sep-2024 allocation no 24Sep240082 ');</v>
      </c>
      <c r="H38" s="84" t="str">
        <f t="shared" si="2"/>
        <v>insert into ins_premium_det (premium_rcv_code,assorted_code, rec_amount,premium_rcv_detail_code,remaining_amt, payrec, mode_code,coinsurance_code,class_cd,it_remarks) values('24Sep240082','040000177542','13370',(select max(to_number(i.premium_rcv_detail_code))+1
from ins_premium_det i),'13370','13370','02', '11000003','00','Request by Mr. Omair Ali 25-Sep-2024 allocation no 24Sep240082 ');</v>
      </c>
    </row>
    <row r="39" spans="1:8" ht="105" x14ac:dyDescent="0.25">
      <c r="A39" t="s">
        <v>151</v>
      </c>
      <c r="B39" s="80" t="str">
        <f>VLOOKUP(A39,[1]Sheet1!$B:$C,2,0)</f>
        <v>040000177545</v>
      </c>
      <c r="C39" s="46">
        <v>12320</v>
      </c>
      <c r="D39" s="81">
        <f t="shared" si="3"/>
        <v>12320</v>
      </c>
      <c r="E39" s="79" t="s">
        <v>2492</v>
      </c>
      <c r="F39" s="82" t="str">
        <f t="shared" si="0"/>
        <v>insert into ins_premium_det (premium_rcv_code,assorted_code, rec_amount,premium_rcv_detail_code,remaining_amt, payrec, mode_code,coinsurance_code,class_cd,it_remarks) values</v>
      </c>
      <c r="G39" s="83" t="str">
        <f t="shared" si="1"/>
        <v>('24Sep240082','040000177545','12320',(select max(to_number(i.premium_rcv_detail_code))+1
from ins_premium_det i),'12320','12320','02', '11000003','00','Request by Mr. Omair Ali 25-Sep-2024 allocation no 24Sep240082 ');</v>
      </c>
      <c r="H39" s="84" t="str">
        <f t="shared" si="2"/>
        <v>insert into ins_premium_det (premium_rcv_code,assorted_code, rec_amount,premium_rcv_detail_code,remaining_amt, payrec, mode_code,coinsurance_code,class_cd,it_remarks) values('24Sep240082','040000177545','12320',(select max(to_number(i.premium_rcv_detail_code))+1
from ins_premium_det i),'12320','12320','02', '11000003','00','Request by Mr. Omair Ali 25-Sep-2024 allocation no 24Sep240082 ');</v>
      </c>
    </row>
    <row r="40" spans="1:8" ht="105" x14ac:dyDescent="0.25">
      <c r="A40" t="s">
        <v>152</v>
      </c>
      <c r="B40" s="80" t="str">
        <f>VLOOKUP(A40,[1]Sheet1!$B:$C,2,0)</f>
        <v>040000177546</v>
      </c>
      <c r="C40" s="46">
        <v>12320</v>
      </c>
      <c r="D40" s="81">
        <f t="shared" si="3"/>
        <v>12320</v>
      </c>
      <c r="E40" s="79" t="s">
        <v>2492</v>
      </c>
      <c r="F40" s="82" t="str">
        <f t="shared" si="0"/>
        <v>insert into ins_premium_det (premium_rcv_code,assorted_code, rec_amount,premium_rcv_detail_code,remaining_amt, payrec, mode_code,coinsurance_code,class_cd,it_remarks) values</v>
      </c>
      <c r="G40" s="83" t="str">
        <f t="shared" si="1"/>
        <v>('24Sep240082','040000177546','12320',(select max(to_number(i.premium_rcv_detail_code))+1
from ins_premium_det i),'12320','12320','02', '11000003','00','Request by Mr. Omair Ali 25-Sep-2024 allocation no 24Sep240082 ');</v>
      </c>
      <c r="H40" s="84" t="str">
        <f t="shared" si="2"/>
        <v>insert into ins_premium_det (premium_rcv_code,assorted_code, rec_amount,premium_rcv_detail_code,remaining_amt, payrec, mode_code,coinsurance_code,class_cd,it_remarks) values('24Sep240082','040000177546','12320',(select max(to_number(i.premium_rcv_detail_code))+1
from ins_premium_det i),'12320','12320','02', '11000003','00','Request by Mr. Omair Ali 25-Sep-2024 allocation no 24Sep240082 ');</v>
      </c>
    </row>
    <row r="41" spans="1:8" ht="105" x14ac:dyDescent="0.25">
      <c r="A41" t="s">
        <v>153</v>
      </c>
      <c r="B41" s="80" t="str">
        <f>VLOOKUP(A41,[1]Sheet1!$B:$C,2,0)</f>
        <v>040000177547</v>
      </c>
      <c r="C41" s="46">
        <v>13370</v>
      </c>
      <c r="D41" s="81">
        <f t="shared" si="3"/>
        <v>13370</v>
      </c>
      <c r="E41" s="79" t="s">
        <v>2492</v>
      </c>
      <c r="F41" s="82" t="str">
        <f t="shared" si="0"/>
        <v>insert into ins_premium_det (premium_rcv_code,assorted_code, rec_amount,premium_rcv_detail_code,remaining_amt, payrec, mode_code,coinsurance_code,class_cd,it_remarks) values</v>
      </c>
      <c r="G41" s="83" t="str">
        <f t="shared" si="1"/>
        <v>('24Sep240082','040000177547','13370',(select max(to_number(i.premium_rcv_detail_code))+1
from ins_premium_det i),'13370','13370','02', '11000003','00','Request by Mr. Omair Ali 25-Sep-2024 allocation no 24Sep240082 ');</v>
      </c>
      <c r="H41" s="84" t="str">
        <f t="shared" si="2"/>
        <v>insert into ins_premium_det (premium_rcv_code,assorted_code, rec_amount,premium_rcv_detail_code,remaining_amt, payrec, mode_code,coinsurance_code,class_cd,it_remarks) values('24Sep240082','040000177547','13370',(select max(to_number(i.premium_rcv_detail_code))+1
from ins_premium_det i),'13370','13370','02', '11000003','00','Request by Mr. Omair Ali 25-Sep-2024 allocation no 24Sep240082 ');</v>
      </c>
    </row>
    <row r="42" spans="1:8" ht="105" x14ac:dyDescent="0.25">
      <c r="A42" t="s">
        <v>154</v>
      </c>
      <c r="B42" s="80" t="str">
        <f>VLOOKUP(A42,[1]Sheet1!$B:$C,2,0)</f>
        <v>040000177548</v>
      </c>
      <c r="C42" s="46">
        <v>13370</v>
      </c>
      <c r="D42" s="81">
        <f t="shared" si="3"/>
        <v>13370</v>
      </c>
      <c r="E42" s="79" t="s">
        <v>2492</v>
      </c>
      <c r="F42" s="82" t="str">
        <f t="shared" si="0"/>
        <v>insert into ins_premium_det (premium_rcv_code,assorted_code, rec_amount,premium_rcv_detail_code,remaining_amt, payrec, mode_code,coinsurance_code,class_cd,it_remarks) values</v>
      </c>
      <c r="G42" s="83" t="str">
        <f t="shared" si="1"/>
        <v>('24Sep240082','040000177548','13370',(select max(to_number(i.premium_rcv_detail_code))+1
from ins_premium_det i),'13370','13370','02', '11000003','00','Request by Mr. Omair Ali 25-Sep-2024 allocation no 24Sep240082 ');</v>
      </c>
      <c r="H42" s="84" t="str">
        <f t="shared" si="2"/>
        <v>insert into ins_premium_det (premium_rcv_code,assorted_code, rec_amount,premium_rcv_detail_code,remaining_amt, payrec, mode_code,coinsurance_code,class_cd,it_remarks) values('24Sep240082','040000177548','13370',(select max(to_number(i.premium_rcv_detail_code))+1
from ins_premium_det i),'13370','13370','02', '11000003','00','Request by Mr. Omair Ali 25-Sep-2024 allocation no 24Sep240082 ');</v>
      </c>
    </row>
    <row r="43" spans="1:8" ht="105" x14ac:dyDescent="0.25">
      <c r="A43" t="s">
        <v>155</v>
      </c>
      <c r="B43" s="80" t="str">
        <f>VLOOKUP(A43,[1]Sheet1!$B:$C,2,0)</f>
        <v>040000177551</v>
      </c>
      <c r="C43" s="46">
        <v>12320</v>
      </c>
      <c r="D43" s="81">
        <f t="shared" si="3"/>
        <v>12320</v>
      </c>
      <c r="E43" s="79" t="s">
        <v>2492</v>
      </c>
      <c r="F43" s="82" t="str">
        <f t="shared" si="0"/>
        <v>insert into ins_premium_det (premium_rcv_code,assorted_code, rec_amount,premium_rcv_detail_code,remaining_amt, payrec, mode_code,coinsurance_code,class_cd,it_remarks) values</v>
      </c>
      <c r="G43" s="83" t="str">
        <f t="shared" si="1"/>
        <v>('24Sep240082','040000177551','12320',(select max(to_number(i.premium_rcv_detail_code))+1
from ins_premium_det i),'12320','12320','02', '11000003','00','Request by Mr. Omair Ali 25-Sep-2024 allocation no 24Sep240082 ');</v>
      </c>
      <c r="H43" s="84" t="str">
        <f t="shared" si="2"/>
        <v>insert into ins_premium_det (premium_rcv_code,assorted_code, rec_amount,premium_rcv_detail_code,remaining_amt, payrec, mode_code,coinsurance_code,class_cd,it_remarks) values('24Sep240082','040000177551','12320',(select max(to_number(i.premium_rcv_detail_code))+1
from ins_premium_det i),'12320','12320','02', '11000003','00','Request by Mr. Omair Ali 25-Sep-2024 allocation no 24Sep240082 ');</v>
      </c>
    </row>
    <row r="44" spans="1:8" ht="105" x14ac:dyDescent="0.25">
      <c r="A44" t="s">
        <v>156</v>
      </c>
      <c r="B44" s="80" t="str">
        <f>VLOOKUP(A44,[1]Sheet1!$B:$C,2,0)</f>
        <v>040000177557</v>
      </c>
      <c r="C44" s="46">
        <v>19145</v>
      </c>
      <c r="D44" s="81">
        <f t="shared" si="3"/>
        <v>19145</v>
      </c>
      <c r="E44" s="79" t="s">
        <v>2492</v>
      </c>
      <c r="F44" s="82" t="str">
        <f t="shared" si="0"/>
        <v>insert into ins_premium_det (premium_rcv_code,assorted_code, rec_amount,premium_rcv_detail_code,remaining_amt, payrec, mode_code,coinsurance_code,class_cd,it_remarks) values</v>
      </c>
      <c r="G44" s="83" t="str">
        <f t="shared" si="1"/>
        <v>('24Sep240082','040000177557','19145',(select max(to_number(i.premium_rcv_detail_code))+1
from ins_premium_det i),'19145','19145','02', '11000003','00','Request by Mr. Omair Ali 25-Sep-2024 allocation no 24Sep240082 ');</v>
      </c>
      <c r="H44" s="84" t="str">
        <f t="shared" si="2"/>
        <v>insert into ins_premium_det (premium_rcv_code,assorted_code, rec_amount,premium_rcv_detail_code,remaining_amt, payrec, mode_code,coinsurance_code,class_cd,it_remarks) values('24Sep240082','040000177557','19145',(select max(to_number(i.premium_rcv_detail_code))+1
from ins_premium_det i),'19145','19145','02', '11000003','00','Request by Mr. Omair Ali 25-Sep-2024 allocation no 24Sep240082 ');</v>
      </c>
    </row>
    <row r="45" spans="1:8" ht="105" x14ac:dyDescent="0.25">
      <c r="A45" t="s">
        <v>157</v>
      </c>
      <c r="B45" s="80" t="str">
        <f>VLOOKUP(A45,[1]Sheet1!$B:$C,2,0)</f>
        <v>040000177558</v>
      </c>
      <c r="C45" s="46">
        <v>19145</v>
      </c>
      <c r="D45" s="81">
        <f t="shared" si="3"/>
        <v>19145</v>
      </c>
      <c r="E45" s="79" t="s">
        <v>2492</v>
      </c>
      <c r="F45" s="82" t="str">
        <f t="shared" si="0"/>
        <v>insert into ins_premium_det (premium_rcv_code,assorted_code, rec_amount,premium_rcv_detail_code,remaining_amt, payrec, mode_code,coinsurance_code,class_cd,it_remarks) values</v>
      </c>
      <c r="G45" s="83" t="str">
        <f t="shared" si="1"/>
        <v>('24Sep240082','040000177558','19145',(select max(to_number(i.premium_rcv_detail_code))+1
from ins_premium_det i),'19145','19145','02', '11000003','00','Request by Mr. Omair Ali 25-Sep-2024 allocation no 24Sep240082 ');</v>
      </c>
      <c r="H45" s="84" t="str">
        <f t="shared" si="2"/>
        <v>insert into ins_premium_det (premium_rcv_code,assorted_code, rec_amount,premium_rcv_detail_code,remaining_amt, payrec, mode_code,coinsurance_code,class_cd,it_remarks) values('24Sep240082','040000177558','19145',(select max(to_number(i.premium_rcv_detail_code))+1
from ins_premium_det i),'19145','19145','02', '11000003','00','Request by Mr. Omair Ali 25-Sep-2024 allocation no 24Sep240082 ');</v>
      </c>
    </row>
    <row r="46" spans="1:8" ht="105" x14ac:dyDescent="0.25">
      <c r="A46" t="s">
        <v>158</v>
      </c>
      <c r="B46" s="80" t="str">
        <f>VLOOKUP(A46,[1]Sheet1!$B:$C,2,0)</f>
        <v>040000177560</v>
      </c>
      <c r="C46" s="46">
        <v>12320</v>
      </c>
      <c r="D46" s="81">
        <f t="shared" si="3"/>
        <v>12320</v>
      </c>
      <c r="E46" s="79" t="s">
        <v>2492</v>
      </c>
      <c r="F46" s="82" t="str">
        <f t="shared" si="0"/>
        <v>insert into ins_premium_det (premium_rcv_code,assorted_code, rec_amount,premium_rcv_detail_code,remaining_amt, payrec, mode_code,coinsurance_code,class_cd,it_remarks) values</v>
      </c>
      <c r="G46" s="83" t="str">
        <f t="shared" si="1"/>
        <v>('24Sep240082','040000177560','12320',(select max(to_number(i.premium_rcv_detail_code))+1
from ins_premium_det i),'12320','12320','02', '11000003','00','Request by Mr. Omair Ali 25-Sep-2024 allocation no 24Sep240082 ');</v>
      </c>
      <c r="H46" s="84" t="str">
        <f t="shared" si="2"/>
        <v>insert into ins_premium_det (premium_rcv_code,assorted_code, rec_amount,premium_rcv_detail_code,remaining_amt, payrec, mode_code,coinsurance_code,class_cd,it_remarks) values('24Sep240082','040000177560','12320',(select max(to_number(i.premium_rcv_detail_code))+1
from ins_premium_det i),'12320','12320','02', '11000003','00','Request by Mr. Omair Ali 25-Sep-2024 allocation no 24Sep240082 ');</v>
      </c>
    </row>
    <row r="47" spans="1:8" ht="105" x14ac:dyDescent="0.25">
      <c r="A47" t="s">
        <v>159</v>
      </c>
      <c r="B47" s="80" t="str">
        <f>VLOOKUP(A47,[1]Sheet1!$B:$C,2,0)</f>
        <v>040000177561</v>
      </c>
      <c r="C47" s="46">
        <v>12320</v>
      </c>
      <c r="D47" s="81">
        <f t="shared" si="3"/>
        <v>12320</v>
      </c>
      <c r="E47" s="79" t="s">
        <v>2492</v>
      </c>
      <c r="F47" s="82" t="str">
        <f t="shared" si="0"/>
        <v>insert into ins_premium_det (premium_rcv_code,assorted_code, rec_amount,premium_rcv_detail_code,remaining_amt, payrec, mode_code,coinsurance_code,class_cd,it_remarks) values</v>
      </c>
      <c r="G47" s="83" t="str">
        <f t="shared" si="1"/>
        <v>('24Sep240082','040000177561','12320',(select max(to_number(i.premium_rcv_detail_code))+1
from ins_premium_det i),'12320','12320','02', '11000003','00','Request by Mr. Omair Ali 25-Sep-2024 allocation no 24Sep240082 ');</v>
      </c>
      <c r="H47" s="84" t="str">
        <f t="shared" si="2"/>
        <v>insert into ins_premium_det (premium_rcv_code,assorted_code, rec_amount,premium_rcv_detail_code,remaining_amt, payrec, mode_code,coinsurance_code,class_cd,it_remarks) values('24Sep240082','040000177561','12320',(select max(to_number(i.premium_rcv_detail_code))+1
from ins_premium_det i),'12320','12320','02', '11000003','00','Request by Mr. Omair Ali 25-Sep-2024 allocation no 24Sep240082 ');</v>
      </c>
    </row>
    <row r="48" spans="1:8" ht="105" x14ac:dyDescent="0.25">
      <c r="A48" t="s">
        <v>160</v>
      </c>
      <c r="B48" s="80" t="str">
        <f>VLOOKUP(A48,[1]Sheet1!$B:$C,2,0)</f>
        <v>040000177563</v>
      </c>
      <c r="C48" s="46">
        <v>12320</v>
      </c>
      <c r="D48" s="81">
        <f t="shared" si="3"/>
        <v>12320</v>
      </c>
      <c r="E48" s="79" t="s">
        <v>2492</v>
      </c>
      <c r="F48" s="82" t="str">
        <f t="shared" si="0"/>
        <v>insert into ins_premium_det (premium_rcv_code,assorted_code, rec_amount,premium_rcv_detail_code,remaining_amt, payrec, mode_code,coinsurance_code,class_cd,it_remarks) values</v>
      </c>
      <c r="G48" s="83" t="str">
        <f t="shared" si="1"/>
        <v>('24Sep240082','040000177563','12320',(select max(to_number(i.premium_rcv_detail_code))+1
from ins_premium_det i),'12320','12320','02', '11000003','00','Request by Mr. Omair Ali 25-Sep-2024 allocation no 24Sep240082 ');</v>
      </c>
      <c r="H48" s="84" t="str">
        <f t="shared" si="2"/>
        <v>insert into ins_premium_det (premium_rcv_code,assorted_code, rec_amount,premium_rcv_detail_code,remaining_amt, payrec, mode_code,coinsurance_code,class_cd,it_remarks) values('24Sep240082','040000177563','12320',(select max(to_number(i.premium_rcv_detail_code))+1
from ins_premium_det i),'12320','12320','02', '11000003','00','Request by Mr. Omair Ali 25-Sep-2024 allocation no 24Sep240082 ');</v>
      </c>
    </row>
    <row r="49" spans="1:8" ht="105" x14ac:dyDescent="0.25">
      <c r="A49" t="s">
        <v>161</v>
      </c>
      <c r="B49" s="80" t="str">
        <f>VLOOKUP(A49,[1]Sheet1!$B:$C,2,0)</f>
        <v>040000177564</v>
      </c>
      <c r="C49" s="46">
        <v>12320</v>
      </c>
      <c r="D49" s="81">
        <f t="shared" si="3"/>
        <v>12320</v>
      </c>
      <c r="E49" s="79" t="s">
        <v>2492</v>
      </c>
      <c r="F49" s="82" t="str">
        <f t="shared" si="0"/>
        <v>insert into ins_premium_det (premium_rcv_code,assorted_code, rec_amount,premium_rcv_detail_code,remaining_amt, payrec, mode_code,coinsurance_code,class_cd,it_remarks) values</v>
      </c>
      <c r="G49" s="83" t="str">
        <f t="shared" si="1"/>
        <v>('24Sep240082','040000177564','12320',(select max(to_number(i.premium_rcv_detail_code))+1
from ins_premium_det i),'12320','12320','02', '11000003','00','Request by Mr. Omair Ali 25-Sep-2024 allocation no 24Sep240082 ');</v>
      </c>
      <c r="H49" s="84" t="str">
        <f t="shared" si="2"/>
        <v>insert into ins_premium_det (premium_rcv_code,assorted_code, rec_amount,premium_rcv_detail_code,remaining_amt, payrec, mode_code,coinsurance_code,class_cd,it_remarks) values('24Sep240082','040000177564','12320',(select max(to_number(i.premium_rcv_detail_code))+1
from ins_premium_det i),'12320','12320','02', '11000003','00','Request by Mr. Omair Ali 25-Sep-2024 allocation no 24Sep240082 ');</v>
      </c>
    </row>
    <row r="50" spans="1:8" ht="105" x14ac:dyDescent="0.25">
      <c r="A50" t="s">
        <v>162</v>
      </c>
      <c r="B50" s="80" t="str">
        <f>VLOOKUP(A50,[1]Sheet1!$B:$C,2,0)</f>
        <v>040000177571</v>
      </c>
      <c r="C50" s="46">
        <v>13675</v>
      </c>
      <c r="D50" s="81">
        <f t="shared" si="3"/>
        <v>13675</v>
      </c>
      <c r="E50" s="79" t="s">
        <v>2492</v>
      </c>
      <c r="F50" s="82" t="str">
        <f t="shared" si="0"/>
        <v>insert into ins_premium_det (premium_rcv_code,assorted_code, rec_amount,premium_rcv_detail_code,remaining_amt, payrec, mode_code,coinsurance_code,class_cd,it_remarks) values</v>
      </c>
      <c r="G50" s="83" t="str">
        <f t="shared" si="1"/>
        <v>('24Sep240082','040000177571','13675',(select max(to_number(i.premium_rcv_detail_code))+1
from ins_premium_det i),'13675','13675','02', '11000003','00','Request by Mr. Omair Ali 25-Sep-2024 allocation no 24Sep240082 ');</v>
      </c>
      <c r="H50" s="84" t="str">
        <f t="shared" si="2"/>
        <v>insert into ins_premium_det (premium_rcv_code,assorted_code, rec_amount,premium_rcv_detail_code,remaining_amt, payrec, mode_code,coinsurance_code,class_cd,it_remarks) values('24Sep240082','040000177571','13675',(select max(to_number(i.premium_rcv_detail_code))+1
from ins_premium_det i),'13675','13675','02', '11000003','00','Request by Mr. Omair Ali 25-Sep-2024 allocation no 24Sep240082 ');</v>
      </c>
    </row>
    <row r="51" spans="1:8" ht="105" x14ac:dyDescent="0.25">
      <c r="A51" t="s">
        <v>163</v>
      </c>
      <c r="B51" s="80" t="str">
        <f>VLOOKUP(A51,[1]Sheet1!$B:$C,2,0)</f>
        <v>040000177572</v>
      </c>
      <c r="C51" s="46">
        <v>13370</v>
      </c>
      <c r="D51" s="81">
        <f t="shared" si="3"/>
        <v>13370</v>
      </c>
      <c r="E51" s="79" t="s">
        <v>2492</v>
      </c>
      <c r="F51" s="82" t="str">
        <f t="shared" si="0"/>
        <v>insert into ins_premium_det (premium_rcv_code,assorted_code, rec_amount,premium_rcv_detail_code,remaining_amt, payrec, mode_code,coinsurance_code,class_cd,it_remarks) values</v>
      </c>
      <c r="G51" s="83" t="str">
        <f t="shared" si="1"/>
        <v>('24Sep240082','040000177572','13370',(select max(to_number(i.premium_rcv_detail_code))+1
from ins_premium_det i),'13370','13370','02', '11000003','00','Request by Mr. Omair Ali 25-Sep-2024 allocation no 24Sep240082 ');</v>
      </c>
      <c r="H51" s="84" t="str">
        <f t="shared" si="2"/>
        <v>insert into ins_premium_det (premium_rcv_code,assorted_code, rec_amount,premium_rcv_detail_code,remaining_amt, payrec, mode_code,coinsurance_code,class_cd,it_remarks) values('24Sep240082','040000177572','13370',(select max(to_number(i.premium_rcv_detail_code))+1
from ins_premium_det i),'13370','13370','02', '11000003','00','Request by Mr. Omair Ali 25-Sep-2024 allocation no 24Sep240082 ');</v>
      </c>
    </row>
    <row r="52" spans="1:8" ht="105" x14ac:dyDescent="0.25">
      <c r="A52" t="s">
        <v>164</v>
      </c>
      <c r="B52" s="80" t="str">
        <f>VLOOKUP(A52,[1]Sheet1!$B:$C,2,0)</f>
        <v>040000177573</v>
      </c>
      <c r="C52" s="46">
        <v>13370</v>
      </c>
      <c r="D52" s="81">
        <f t="shared" si="3"/>
        <v>13370</v>
      </c>
      <c r="E52" s="79" t="s">
        <v>2492</v>
      </c>
      <c r="F52" s="82" t="str">
        <f t="shared" si="0"/>
        <v>insert into ins_premium_det (premium_rcv_code,assorted_code, rec_amount,premium_rcv_detail_code,remaining_amt, payrec, mode_code,coinsurance_code,class_cd,it_remarks) values</v>
      </c>
      <c r="G52" s="83" t="str">
        <f t="shared" si="1"/>
        <v>('24Sep240082','040000177573','13370',(select max(to_number(i.premium_rcv_detail_code))+1
from ins_premium_det i),'13370','13370','02', '11000003','00','Request by Mr. Omair Ali 25-Sep-2024 allocation no 24Sep240082 ');</v>
      </c>
      <c r="H52" s="84" t="str">
        <f t="shared" si="2"/>
        <v>insert into ins_premium_det (premium_rcv_code,assorted_code, rec_amount,premium_rcv_detail_code,remaining_amt, payrec, mode_code,coinsurance_code,class_cd,it_remarks) values('24Sep240082','040000177573','13370',(select max(to_number(i.premium_rcv_detail_code))+1
from ins_premium_det i),'13370','13370','02', '11000003','00','Request by Mr. Omair Ali 25-Sep-2024 allocation no 24Sep240082 ');</v>
      </c>
    </row>
    <row r="53" spans="1:8" ht="105" x14ac:dyDescent="0.25">
      <c r="A53" t="s">
        <v>165</v>
      </c>
      <c r="B53" s="80" t="str">
        <f>VLOOKUP(A53,[1]Sheet1!$B:$C,2,0)</f>
        <v>040000177575</v>
      </c>
      <c r="C53" s="46">
        <v>8800</v>
      </c>
      <c r="D53" s="81">
        <f t="shared" si="3"/>
        <v>8800</v>
      </c>
      <c r="E53" s="79" t="s">
        <v>2492</v>
      </c>
      <c r="F53" s="82" t="str">
        <f t="shared" si="0"/>
        <v>insert into ins_premium_det (premium_rcv_code,assorted_code, rec_amount,premium_rcv_detail_code,remaining_amt, payrec, mode_code,coinsurance_code,class_cd,it_remarks) values</v>
      </c>
      <c r="G53" s="83" t="str">
        <f t="shared" si="1"/>
        <v>('24Sep240082','040000177575','8800',(select max(to_number(i.premium_rcv_detail_code))+1
from ins_premium_det i),'8800','8800','02', '11000003','00','Request by Mr. Omair Ali 25-Sep-2024 allocation no 24Sep240082 ');</v>
      </c>
      <c r="H53" s="84" t="str">
        <f t="shared" si="2"/>
        <v>insert into ins_premium_det (premium_rcv_code,assorted_code, rec_amount,premium_rcv_detail_code,remaining_amt, payrec, mode_code,coinsurance_code,class_cd,it_remarks) values('24Sep240082','040000177575','8800',(select max(to_number(i.premium_rcv_detail_code))+1
from ins_premium_det i),'8800','8800','02', '11000003','00','Request by Mr. Omair Ali 25-Sep-2024 allocation no 24Sep240082 ');</v>
      </c>
    </row>
    <row r="54" spans="1:8" ht="105" x14ac:dyDescent="0.25">
      <c r="A54" t="s">
        <v>166</v>
      </c>
      <c r="B54" s="80" t="str">
        <f>VLOOKUP(A54,[1]Sheet1!$B:$C,2,0)</f>
        <v>040000177576</v>
      </c>
      <c r="C54" s="46">
        <v>9550</v>
      </c>
      <c r="D54" s="81">
        <f t="shared" si="3"/>
        <v>9550</v>
      </c>
      <c r="E54" s="79" t="s">
        <v>2492</v>
      </c>
      <c r="F54" s="82" t="str">
        <f t="shared" si="0"/>
        <v>insert into ins_premium_det (premium_rcv_code,assorted_code, rec_amount,premium_rcv_detail_code,remaining_amt, payrec, mode_code,coinsurance_code,class_cd,it_remarks) values</v>
      </c>
      <c r="G54" s="83" t="str">
        <f t="shared" si="1"/>
        <v>('24Sep240082','040000177576','9550',(select max(to_number(i.premium_rcv_detail_code))+1
from ins_premium_det i),'9550','9550','02', '11000003','00','Request by Mr. Omair Ali 25-Sep-2024 allocation no 24Sep240082 ');</v>
      </c>
      <c r="H54" s="84" t="str">
        <f t="shared" si="2"/>
        <v>insert into ins_premium_det (premium_rcv_code,assorted_code, rec_amount,premium_rcv_detail_code,remaining_amt, payrec, mode_code,coinsurance_code,class_cd,it_remarks) values('24Sep240082','040000177576','9550',(select max(to_number(i.premium_rcv_detail_code))+1
from ins_premium_det i),'9550','9550','02', '11000003','00','Request by Mr. Omair Ali 25-Sep-2024 allocation no 24Sep240082 ');</v>
      </c>
    </row>
    <row r="55" spans="1:8" ht="105" x14ac:dyDescent="0.25">
      <c r="A55" t="s">
        <v>167</v>
      </c>
      <c r="B55" s="80" t="str">
        <f>VLOOKUP(A55,[1]Sheet1!$B:$C,2,0)</f>
        <v>040000177577</v>
      </c>
      <c r="C55" s="46">
        <v>17465</v>
      </c>
      <c r="D55" s="81">
        <f t="shared" si="3"/>
        <v>17465</v>
      </c>
      <c r="E55" s="79" t="s">
        <v>2492</v>
      </c>
      <c r="F55" s="82" t="str">
        <f t="shared" si="0"/>
        <v>insert into ins_premium_det (premium_rcv_code,assorted_code, rec_amount,premium_rcv_detail_code,remaining_amt, payrec, mode_code,coinsurance_code,class_cd,it_remarks) values</v>
      </c>
      <c r="G55" s="83" t="str">
        <f t="shared" si="1"/>
        <v>('24Sep240082','040000177577','17465',(select max(to_number(i.premium_rcv_detail_code))+1
from ins_premium_det i),'17465','17465','02', '11000003','00','Request by Mr. Omair Ali 25-Sep-2024 allocation no 24Sep240082 ');</v>
      </c>
      <c r="H55" s="84" t="str">
        <f t="shared" si="2"/>
        <v>insert into ins_premium_det (premium_rcv_code,assorted_code, rec_amount,premium_rcv_detail_code,remaining_amt, payrec, mode_code,coinsurance_code,class_cd,it_remarks) values('24Sep240082','040000177577','17465',(select max(to_number(i.premium_rcv_detail_code))+1
from ins_premium_det i),'17465','17465','02', '11000003','00','Request by Mr. Omair Ali 25-Sep-2024 allocation no 24Sep240082 ');</v>
      </c>
    </row>
    <row r="56" spans="1:8" ht="105" x14ac:dyDescent="0.25">
      <c r="A56" t="s">
        <v>168</v>
      </c>
      <c r="B56" s="80" t="str">
        <f>VLOOKUP(A56,[1]Sheet1!$B:$C,2,0)</f>
        <v>040000177578</v>
      </c>
      <c r="C56" s="46">
        <v>17465</v>
      </c>
      <c r="D56" s="81">
        <f t="shared" si="3"/>
        <v>17465</v>
      </c>
      <c r="E56" s="79" t="s">
        <v>2492</v>
      </c>
      <c r="F56" s="82" t="str">
        <f t="shared" si="0"/>
        <v>insert into ins_premium_det (premium_rcv_code,assorted_code, rec_amount,premium_rcv_detail_code,remaining_amt, payrec, mode_code,coinsurance_code,class_cd,it_remarks) values</v>
      </c>
      <c r="G56" s="83" t="str">
        <f t="shared" si="1"/>
        <v>('24Sep240082','040000177578','17465',(select max(to_number(i.premium_rcv_detail_code))+1
from ins_premium_det i),'17465','17465','02', '11000003','00','Request by Mr. Omair Ali 25-Sep-2024 allocation no 24Sep240082 ');</v>
      </c>
      <c r="H56" s="84" t="str">
        <f t="shared" si="2"/>
        <v>insert into ins_premium_det (premium_rcv_code,assorted_code, rec_amount,premium_rcv_detail_code,remaining_amt, payrec, mode_code,coinsurance_code,class_cd,it_remarks) values('24Sep240082','040000177578','17465',(select max(to_number(i.premium_rcv_detail_code))+1
from ins_premium_det i),'17465','17465','02', '11000003','00','Request by Mr. Omair Ali 25-Sep-2024 allocation no 24Sep240082 ');</v>
      </c>
    </row>
    <row r="57" spans="1:8" ht="105" x14ac:dyDescent="0.25">
      <c r="A57" t="s">
        <v>169</v>
      </c>
      <c r="B57" s="80" t="str">
        <f>VLOOKUP(A57,[1]Sheet1!$B:$C,2,0)</f>
        <v>040000177579</v>
      </c>
      <c r="C57" s="46">
        <v>9550</v>
      </c>
      <c r="D57" s="81">
        <f t="shared" si="3"/>
        <v>9550</v>
      </c>
      <c r="E57" s="79" t="s">
        <v>2492</v>
      </c>
      <c r="F57" s="82" t="str">
        <f t="shared" si="0"/>
        <v>insert into ins_premium_det (premium_rcv_code,assorted_code, rec_amount,premium_rcv_detail_code,remaining_amt, payrec, mode_code,coinsurance_code,class_cd,it_remarks) values</v>
      </c>
      <c r="G57" s="83" t="str">
        <f t="shared" si="1"/>
        <v>('24Sep240082','040000177579','9550',(select max(to_number(i.premium_rcv_detail_code))+1
from ins_premium_det i),'9550','9550','02', '11000003','00','Request by Mr. Omair Ali 25-Sep-2024 allocation no 24Sep240082 ');</v>
      </c>
      <c r="H57" s="84" t="str">
        <f t="shared" si="2"/>
        <v>insert into ins_premium_det (premium_rcv_code,assorted_code, rec_amount,premium_rcv_detail_code,remaining_amt, payrec, mode_code,coinsurance_code,class_cd,it_remarks) values('24Sep240082','040000177579','9550',(select max(to_number(i.premium_rcv_detail_code))+1
from ins_premium_det i),'9550','9550','02', '11000003','00','Request by Mr. Omair Ali 25-Sep-2024 allocation no 24Sep240082 ');</v>
      </c>
    </row>
    <row r="58" spans="1:8" ht="105" x14ac:dyDescent="0.25">
      <c r="A58" t="s">
        <v>170</v>
      </c>
      <c r="B58" s="80" t="str">
        <f>VLOOKUP(A58,[1]Sheet1!$B:$C,2,0)</f>
        <v>040000177582</v>
      </c>
      <c r="C58" s="46">
        <v>8800</v>
      </c>
      <c r="D58" s="81">
        <f t="shared" si="3"/>
        <v>8800</v>
      </c>
      <c r="E58" s="79" t="s">
        <v>2492</v>
      </c>
      <c r="F58" s="82" t="str">
        <f t="shared" si="0"/>
        <v>insert into ins_premium_det (premium_rcv_code,assorted_code, rec_amount,premium_rcv_detail_code,remaining_amt, payrec, mode_code,coinsurance_code,class_cd,it_remarks) values</v>
      </c>
      <c r="G58" s="83" t="str">
        <f t="shared" si="1"/>
        <v>('24Sep240082','040000177582','8800',(select max(to_number(i.premium_rcv_detail_code))+1
from ins_premium_det i),'8800','8800','02', '11000003','00','Request by Mr. Omair Ali 25-Sep-2024 allocation no 24Sep240082 ');</v>
      </c>
      <c r="H58" s="84" t="str">
        <f t="shared" si="2"/>
        <v>insert into ins_premium_det (premium_rcv_code,assorted_code, rec_amount,premium_rcv_detail_code,remaining_amt, payrec, mode_code,coinsurance_code,class_cd,it_remarks) values('24Sep240082','040000177582','8800',(select max(to_number(i.premium_rcv_detail_code))+1
from ins_premium_det i),'8800','8800','02', '11000003','00','Request by Mr. Omair Ali 25-Sep-2024 allocation no 24Sep240082 ');</v>
      </c>
    </row>
    <row r="59" spans="1:8" ht="105" x14ac:dyDescent="0.25">
      <c r="A59" t="s">
        <v>171</v>
      </c>
      <c r="B59" s="80" t="str">
        <f>VLOOKUP(A59,[1]Sheet1!$B:$C,2,0)</f>
        <v>040000177588</v>
      </c>
      <c r="C59" s="46">
        <v>8800</v>
      </c>
      <c r="D59" s="81">
        <f t="shared" si="3"/>
        <v>8800</v>
      </c>
      <c r="E59" s="79" t="s">
        <v>2492</v>
      </c>
      <c r="F59" s="82" t="str">
        <f t="shared" si="0"/>
        <v>insert into ins_premium_det (premium_rcv_code,assorted_code, rec_amount,premium_rcv_detail_code,remaining_amt, payrec, mode_code,coinsurance_code,class_cd,it_remarks) values</v>
      </c>
      <c r="G59" s="83" t="str">
        <f t="shared" si="1"/>
        <v>('24Sep240082','040000177588','8800',(select max(to_number(i.premium_rcv_detail_code))+1
from ins_premium_det i),'8800','8800','02', '11000003','00','Request by Mr. Omair Ali 25-Sep-2024 allocation no 24Sep240082 ');</v>
      </c>
      <c r="H59" s="84" t="str">
        <f t="shared" si="2"/>
        <v>insert into ins_premium_det (premium_rcv_code,assorted_code, rec_amount,premium_rcv_detail_code,remaining_amt, payrec, mode_code,coinsurance_code,class_cd,it_remarks) values('24Sep240082','040000177588','8800',(select max(to_number(i.premium_rcv_detail_code))+1
from ins_premium_det i),'8800','8800','02', '11000003','00','Request by Mr. Omair Ali 25-Sep-2024 allocation no 24Sep240082 ');</v>
      </c>
    </row>
    <row r="60" spans="1:8" ht="105" x14ac:dyDescent="0.25">
      <c r="A60" t="s">
        <v>172</v>
      </c>
      <c r="B60" s="80" t="str">
        <f>VLOOKUP(A60,[1]Sheet1!$B:$C,2,0)</f>
        <v>040000177590</v>
      </c>
      <c r="C60" s="46">
        <v>12320</v>
      </c>
      <c r="D60" s="81">
        <f t="shared" si="3"/>
        <v>12320</v>
      </c>
      <c r="E60" s="79" t="s">
        <v>2492</v>
      </c>
      <c r="F60" s="82" t="str">
        <f t="shared" si="0"/>
        <v>insert into ins_premium_det (premium_rcv_code,assorted_code, rec_amount,premium_rcv_detail_code,remaining_amt, payrec, mode_code,coinsurance_code,class_cd,it_remarks) values</v>
      </c>
      <c r="G60" s="83" t="str">
        <f t="shared" si="1"/>
        <v>('24Sep240082','040000177590','12320',(select max(to_number(i.premium_rcv_detail_code))+1
from ins_premium_det i),'12320','12320','02', '11000003','00','Request by Mr. Omair Ali 25-Sep-2024 allocation no 24Sep240082 ');</v>
      </c>
      <c r="H60" s="84" t="str">
        <f t="shared" si="2"/>
        <v>insert into ins_premium_det (premium_rcv_code,assorted_code, rec_amount,premium_rcv_detail_code,remaining_amt, payrec, mode_code,coinsurance_code,class_cd,it_remarks) values('24Sep240082','040000177590','12320',(select max(to_number(i.premium_rcv_detail_code))+1
from ins_premium_det i),'12320','12320','02', '11000003','00','Request by Mr. Omair Ali 25-Sep-2024 allocation no 24Sep240082 ');</v>
      </c>
    </row>
    <row r="61" spans="1:8" ht="105" x14ac:dyDescent="0.25">
      <c r="A61" t="s">
        <v>173</v>
      </c>
      <c r="B61" s="80" t="str">
        <f>VLOOKUP(A61,[1]Sheet1!$B:$C,2,0)</f>
        <v>040000177592</v>
      </c>
      <c r="C61" s="46">
        <v>8800</v>
      </c>
      <c r="D61" s="81">
        <f t="shared" si="3"/>
        <v>8800</v>
      </c>
      <c r="E61" s="79" t="s">
        <v>2492</v>
      </c>
      <c r="F61" s="82" t="str">
        <f t="shared" si="0"/>
        <v>insert into ins_premium_det (premium_rcv_code,assorted_code, rec_amount,premium_rcv_detail_code,remaining_amt, payrec, mode_code,coinsurance_code,class_cd,it_remarks) values</v>
      </c>
      <c r="G61" s="83" t="str">
        <f t="shared" si="1"/>
        <v>('24Sep240082','040000177592','8800',(select max(to_number(i.premium_rcv_detail_code))+1
from ins_premium_det i),'8800','8800','02', '11000003','00','Request by Mr. Omair Ali 25-Sep-2024 allocation no 24Sep240082 ');</v>
      </c>
      <c r="H61" s="84" t="str">
        <f t="shared" si="2"/>
        <v>insert into ins_premium_det (premium_rcv_code,assorted_code, rec_amount,premium_rcv_detail_code,remaining_amt, payrec, mode_code,coinsurance_code,class_cd,it_remarks) values('24Sep240082','040000177592','8800',(select max(to_number(i.premium_rcv_detail_code))+1
from ins_premium_det i),'8800','8800','02', '11000003','00','Request by Mr. Omair Ali 25-Sep-2024 allocation no 24Sep240082 ');</v>
      </c>
    </row>
    <row r="62" spans="1:8" ht="105" x14ac:dyDescent="0.25">
      <c r="A62" t="s">
        <v>174</v>
      </c>
      <c r="B62" s="80" t="str">
        <f>VLOOKUP(A62,[1]Sheet1!$B:$C,2,0)</f>
        <v>040000177602</v>
      </c>
      <c r="C62" s="46">
        <v>12320</v>
      </c>
      <c r="D62" s="81">
        <f t="shared" si="3"/>
        <v>12320</v>
      </c>
      <c r="E62" s="79" t="s">
        <v>2492</v>
      </c>
      <c r="F62" s="82" t="str">
        <f t="shared" si="0"/>
        <v>insert into ins_premium_det (premium_rcv_code,assorted_code, rec_amount,premium_rcv_detail_code,remaining_amt, payrec, mode_code,coinsurance_code,class_cd,it_remarks) values</v>
      </c>
      <c r="G62" s="83" t="str">
        <f t="shared" si="1"/>
        <v>('24Sep240082','040000177602','12320',(select max(to_number(i.premium_rcv_detail_code))+1
from ins_premium_det i),'12320','12320','02', '11000003','00','Request by Mr. Omair Ali 25-Sep-2024 allocation no 24Sep240082 ');</v>
      </c>
      <c r="H62" s="84" t="str">
        <f t="shared" si="2"/>
        <v>insert into ins_premium_det (premium_rcv_code,assorted_code, rec_amount,premium_rcv_detail_code,remaining_amt, payrec, mode_code,coinsurance_code,class_cd,it_remarks) values('24Sep240082','040000177602','12320',(select max(to_number(i.premium_rcv_detail_code))+1
from ins_premium_det i),'12320','12320','02', '11000003','00','Request by Mr. Omair Ali 25-Sep-2024 allocation no 24Sep240082 ');</v>
      </c>
    </row>
    <row r="63" spans="1:8" ht="105" x14ac:dyDescent="0.25">
      <c r="A63" t="s">
        <v>175</v>
      </c>
      <c r="B63" s="80" t="str">
        <f>VLOOKUP(A63,[1]Sheet1!$B:$C,2,0)</f>
        <v>040000177608</v>
      </c>
      <c r="C63" s="46">
        <v>13370</v>
      </c>
      <c r="D63" s="81">
        <f t="shared" si="3"/>
        <v>13370</v>
      </c>
      <c r="E63" s="79" t="s">
        <v>2492</v>
      </c>
      <c r="F63" s="82" t="str">
        <f t="shared" si="0"/>
        <v>insert into ins_premium_det (premium_rcv_code,assorted_code, rec_amount,premium_rcv_detail_code,remaining_amt, payrec, mode_code,coinsurance_code,class_cd,it_remarks) values</v>
      </c>
      <c r="G63" s="83" t="str">
        <f t="shared" si="1"/>
        <v>('24Sep240082','040000177608','13370',(select max(to_number(i.premium_rcv_detail_code))+1
from ins_premium_det i),'13370','13370','02', '11000003','00','Request by Mr. Omair Ali 25-Sep-2024 allocation no 24Sep240082 ');</v>
      </c>
      <c r="H63" s="84" t="str">
        <f t="shared" si="2"/>
        <v>insert into ins_premium_det (premium_rcv_code,assorted_code, rec_amount,premium_rcv_detail_code,remaining_amt, payrec, mode_code,coinsurance_code,class_cd,it_remarks) values('24Sep240082','040000177608','13370',(select max(to_number(i.premium_rcv_detail_code))+1
from ins_premium_det i),'13370','13370','02', '11000003','00','Request by Mr. Omair Ali 25-Sep-2024 allocation no 24Sep240082 ');</v>
      </c>
    </row>
    <row r="64" spans="1:8" ht="105" x14ac:dyDescent="0.25">
      <c r="A64" t="s">
        <v>176</v>
      </c>
      <c r="B64" s="80" t="str">
        <f>VLOOKUP(A64,[1]Sheet1!$B:$C,2,0)</f>
        <v>040000177614</v>
      </c>
      <c r="C64" s="46">
        <v>13675</v>
      </c>
      <c r="D64" s="81">
        <f t="shared" si="3"/>
        <v>13675</v>
      </c>
      <c r="E64" s="79" t="s">
        <v>2492</v>
      </c>
      <c r="F64" s="82" t="str">
        <f t="shared" si="0"/>
        <v>insert into ins_premium_det (premium_rcv_code,assorted_code, rec_amount,premium_rcv_detail_code,remaining_amt, payrec, mode_code,coinsurance_code,class_cd,it_remarks) values</v>
      </c>
      <c r="G64" s="83" t="str">
        <f t="shared" si="1"/>
        <v>('24Sep240082','040000177614','13675',(select max(to_number(i.premium_rcv_detail_code))+1
from ins_premium_det i),'13675','13675','02', '11000003','00','Request by Mr. Omair Ali 25-Sep-2024 allocation no 24Sep240082 ');</v>
      </c>
      <c r="H64" s="84" t="str">
        <f t="shared" si="2"/>
        <v>insert into ins_premium_det (premium_rcv_code,assorted_code, rec_amount,premium_rcv_detail_code,remaining_amt, payrec, mode_code,coinsurance_code,class_cd,it_remarks) values('24Sep240082','040000177614','13675',(select max(to_number(i.premium_rcv_detail_code))+1
from ins_premium_det i),'13675','13675','02', '11000003','00','Request by Mr. Omair Ali 25-Sep-2024 allocation no 24Sep240082 ');</v>
      </c>
    </row>
    <row r="65" spans="1:8" ht="105" x14ac:dyDescent="0.25">
      <c r="A65" t="s">
        <v>177</v>
      </c>
      <c r="B65" s="80" t="str">
        <f>VLOOKUP(A65,[1]Sheet1!$B:$C,2,0)</f>
        <v>040000177616</v>
      </c>
      <c r="C65" s="46">
        <v>9550</v>
      </c>
      <c r="D65" s="81">
        <f t="shared" si="3"/>
        <v>9550</v>
      </c>
      <c r="E65" s="79" t="s">
        <v>2492</v>
      </c>
      <c r="F65" s="82" t="str">
        <f t="shared" si="0"/>
        <v>insert into ins_premium_det (premium_rcv_code,assorted_code, rec_amount,premium_rcv_detail_code,remaining_amt, payrec, mode_code,coinsurance_code,class_cd,it_remarks) values</v>
      </c>
      <c r="G65" s="83" t="str">
        <f t="shared" si="1"/>
        <v>('24Sep240082','040000177616','9550',(select max(to_number(i.premium_rcv_detail_code))+1
from ins_premium_det i),'9550','9550','02', '11000003','00','Request by Mr. Omair Ali 25-Sep-2024 allocation no 24Sep240082 ');</v>
      </c>
      <c r="H65" s="84" t="str">
        <f t="shared" si="2"/>
        <v>insert into ins_premium_det (premium_rcv_code,assorted_code, rec_amount,premium_rcv_detail_code,remaining_amt, payrec, mode_code,coinsurance_code,class_cd,it_remarks) values('24Sep240082','040000177616','9550',(select max(to_number(i.premium_rcv_detail_code))+1
from ins_premium_det i),'9550','9550','02', '11000003','00','Request by Mr. Omair Ali 25-Sep-2024 allocation no 24Sep240082 ');</v>
      </c>
    </row>
    <row r="66" spans="1:8" ht="105" x14ac:dyDescent="0.25">
      <c r="A66" t="s">
        <v>178</v>
      </c>
      <c r="B66" s="80" t="str">
        <f>VLOOKUP(A66,[1]Sheet1!$B:$C,2,0)</f>
        <v>040000177625</v>
      </c>
      <c r="C66" s="46">
        <v>8800</v>
      </c>
      <c r="D66" s="81">
        <f t="shared" si="3"/>
        <v>8800</v>
      </c>
      <c r="E66" s="79" t="s">
        <v>2492</v>
      </c>
      <c r="F66" s="82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83" t="str">
        <f t="shared" si="1"/>
        <v>('24Sep240082','040000177625','8800',(select max(to_number(i.premium_rcv_detail_code))+1
from ins_premium_det i),'8800','8800','02', '11000003','00','Request by Mr. Omair Ali 25-Sep-2024 allocation no 24Sep240082 ');</v>
      </c>
      <c r="H66" s="84" t="str">
        <f t="shared" si="2"/>
        <v>insert into ins_premium_det (premium_rcv_code,assorted_code, rec_amount,premium_rcv_detail_code,remaining_amt, payrec, mode_code,coinsurance_code,class_cd,it_remarks) values('24Sep240082','040000177625','8800',(select max(to_number(i.premium_rcv_detail_code))+1
from ins_premium_det i),'8800','8800','02', '11000003','00','Request by Mr. Omair Ali 25-Sep-2024 allocation no 24Sep240082 ');</v>
      </c>
    </row>
    <row r="67" spans="1:8" ht="105" x14ac:dyDescent="0.25">
      <c r="A67" t="s">
        <v>179</v>
      </c>
      <c r="B67" s="80" t="str">
        <f>VLOOKUP(A67,[1]Sheet1!$B:$C,2,0)</f>
        <v>040000177631</v>
      </c>
      <c r="C67" s="46">
        <v>9550</v>
      </c>
      <c r="D67" s="81">
        <f t="shared" si="3"/>
        <v>9550</v>
      </c>
      <c r="E67" s="79" t="s">
        <v>2492</v>
      </c>
      <c r="F67" s="82" t="str">
        <f t="shared" si="4"/>
        <v>insert into ins_premium_det (premium_rcv_code,assorted_code, rec_amount,premium_rcv_detail_code,remaining_amt, payrec, mode_code,coinsurance_code,class_cd,it_remarks) values</v>
      </c>
      <c r="G67" s="83" t="str">
        <f t="shared" ref="G67:G130" si="5">"('"&amp;E67&amp;"','"&amp;B67&amp;"','"&amp;D67&amp;"',(select max(to_number(i.premium_rcv_detail_code))+1
from ins_premium_det i),'"&amp;D67&amp;"','"&amp;D67&amp;"','02', '11000003','00','Request by Mr. Omair Ali 25-Sep-2024 allocation no 24Sep240082 ');"</f>
        <v>('24Sep240082','040000177631','9550',(select max(to_number(i.premium_rcv_detail_code))+1
from ins_premium_det i),'9550','9550','02', '11000003','00','Request by Mr. Omair Ali 25-Sep-2024 allocation no 24Sep240082 ');</v>
      </c>
      <c r="H67" s="84" t="str">
        <f t="shared" ref="H67:H130" si="6">F67&amp;G67</f>
        <v>insert into ins_premium_det (premium_rcv_code,assorted_code, rec_amount,premium_rcv_detail_code,remaining_amt, payrec, mode_code,coinsurance_code,class_cd,it_remarks) values('24Sep240082','040000177631','9550',(select max(to_number(i.premium_rcv_detail_code))+1
from ins_premium_det i),'9550','9550','02', '11000003','00','Request by Mr. Omair Ali 25-Sep-2024 allocation no 24Sep240082 ');</v>
      </c>
    </row>
    <row r="68" spans="1:8" ht="105" x14ac:dyDescent="0.25">
      <c r="A68" t="s">
        <v>180</v>
      </c>
      <c r="B68" s="80" t="str">
        <f>VLOOKUP(A68,[1]Sheet1!$B:$C,2,0)</f>
        <v>040000177634</v>
      </c>
      <c r="C68" s="46">
        <v>17465</v>
      </c>
      <c r="D68" s="81">
        <f t="shared" ref="D68:D131" si="7">ROUND(C68,0)</f>
        <v>17465</v>
      </c>
      <c r="E68" s="79" t="s">
        <v>2492</v>
      </c>
      <c r="F68" s="82" t="str">
        <f t="shared" si="4"/>
        <v>insert into ins_premium_det (premium_rcv_code,assorted_code, rec_amount,premium_rcv_detail_code,remaining_amt, payrec, mode_code,coinsurance_code,class_cd,it_remarks) values</v>
      </c>
      <c r="G68" s="83" t="str">
        <f t="shared" si="5"/>
        <v>('24Sep240082','040000177634','17465',(select max(to_number(i.premium_rcv_detail_code))+1
from ins_premium_det i),'17465','17465','02', '11000003','00','Request by Mr. Omair Ali 25-Sep-2024 allocation no 24Sep240082 ');</v>
      </c>
      <c r="H68" s="84" t="str">
        <f t="shared" si="6"/>
        <v>insert into ins_premium_det (premium_rcv_code,assorted_code, rec_amount,premium_rcv_detail_code,remaining_amt, payrec, mode_code,coinsurance_code,class_cd,it_remarks) values('24Sep240082','040000177634','17465',(select max(to_number(i.premium_rcv_detail_code))+1
from ins_premium_det i),'17465','17465','02', '11000003','00','Request by Mr. Omair Ali 25-Sep-2024 allocation no 24Sep240082 ');</v>
      </c>
    </row>
    <row r="69" spans="1:8" ht="105" x14ac:dyDescent="0.25">
      <c r="A69" t="s">
        <v>181</v>
      </c>
      <c r="B69" s="80" t="str">
        <f>VLOOKUP(A69,[1]Sheet1!$B:$C,2,0)</f>
        <v>040000177635</v>
      </c>
      <c r="C69" s="46">
        <v>17465</v>
      </c>
      <c r="D69" s="81">
        <f t="shared" si="7"/>
        <v>17465</v>
      </c>
      <c r="E69" s="79" t="s">
        <v>2492</v>
      </c>
      <c r="F69" s="82" t="str">
        <f t="shared" si="4"/>
        <v>insert into ins_premium_det (premium_rcv_code,assorted_code, rec_amount,premium_rcv_detail_code,remaining_amt, payrec, mode_code,coinsurance_code,class_cd,it_remarks) values</v>
      </c>
      <c r="G69" s="83" t="str">
        <f t="shared" si="5"/>
        <v>('24Sep240082','040000177635','17465',(select max(to_number(i.premium_rcv_detail_code))+1
from ins_premium_det i),'17465','17465','02', '11000003','00','Request by Mr. Omair Ali 25-Sep-2024 allocation no 24Sep240082 ');</v>
      </c>
      <c r="H69" s="84" t="str">
        <f t="shared" si="6"/>
        <v>insert into ins_premium_det (premium_rcv_code,assorted_code, rec_amount,premium_rcv_detail_code,remaining_amt, payrec, mode_code,coinsurance_code,class_cd,it_remarks) values('24Sep240082','040000177635','17465',(select max(to_number(i.premium_rcv_detail_code))+1
from ins_premium_det i),'17465','17465','02', '11000003','00','Request by Mr. Omair Ali 25-Sep-2024 allocation no 24Sep240082 ');</v>
      </c>
    </row>
    <row r="70" spans="1:8" ht="105" x14ac:dyDescent="0.25">
      <c r="A70" t="s">
        <v>182</v>
      </c>
      <c r="B70" s="80" t="str">
        <f>VLOOKUP(A70,[1]Sheet1!$B:$C,2,0)</f>
        <v>040000177637</v>
      </c>
      <c r="C70" s="46">
        <v>12320</v>
      </c>
      <c r="D70" s="81">
        <f t="shared" si="7"/>
        <v>12320</v>
      </c>
      <c r="E70" s="79" t="s">
        <v>2492</v>
      </c>
      <c r="F70" s="82" t="str">
        <f t="shared" si="4"/>
        <v>insert into ins_premium_det (premium_rcv_code,assorted_code, rec_amount,premium_rcv_detail_code,remaining_amt, payrec, mode_code,coinsurance_code,class_cd,it_remarks) values</v>
      </c>
      <c r="G70" s="83" t="str">
        <f t="shared" si="5"/>
        <v>('24Sep240082','040000177637','12320',(select max(to_number(i.premium_rcv_detail_code))+1
from ins_premium_det i),'12320','12320','02', '11000003','00','Request by Mr. Omair Ali 25-Sep-2024 allocation no 24Sep240082 ');</v>
      </c>
      <c r="H70" s="84" t="str">
        <f t="shared" si="6"/>
        <v>insert into ins_premium_det (premium_rcv_code,assorted_code, rec_amount,premium_rcv_detail_code,remaining_amt, payrec, mode_code,coinsurance_code,class_cd,it_remarks) values('24Sep240082','040000177637','12320',(select max(to_number(i.premium_rcv_detail_code))+1
from ins_premium_det i),'12320','12320','02', '11000003','00','Request by Mr. Omair Ali 25-Sep-2024 allocation no 24Sep240082 ');</v>
      </c>
    </row>
    <row r="71" spans="1:8" ht="105" x14ac:dyDescent="0.25">
      <c r="A71" t="s">
        <v>183</v>
      </c>
      <c r="B71" s="80" t="str">
        <f>VLOOKUP(A71,[1]Sheet1!$B:$C,2,0)</f>
        <v>040000177638</v>
      </c>
      <c r="C71" s="46">
        <v>12320</v>
      </c>
      <c r="D71" s="81">
        <f t="shared" si="7"/>
        <v>12320</v>
      </c>
      <c r="E71" s="79" t="s">
        <v>2492</v>
      </c>
      <c r="F71" s="82" t="str">
        <f t="shared" si="4"/>
        <v>insert into ins_premium_det (premium_rcv_code,assorted_code, rec_amount,premium_rcv_detail_code,remaining_amt, payrec, mode_code,coinsurance_code,class_cd,it_remarks) values</v>
      </c>
      <c r="G71" s="83" t="str">
        <f t="shared" si="5"/>
        <v>('24Sep240082','040000177638','12320',(select max(to_number(i.premium_rcv_detail_code))+1
from ins_premium_det i),'12320','12320','02', '11000003','00','Request by Mr. Omair Ali 25-Sep-2024 allocation no 24Sep240082 ');</v>
      </c>
      <c r="H71" s="84" t="str">
        <f t="shared" si="6"/>
        <v>insert into ins_premium_det (premium_rcv_code,assorted_code, rec_amount,premium_rcv_detail_code,remaining_amt, payrec, mode_code,coinsurance_code,class_cd,it_remarks) values('24Sep240082','040000177638','12320',(select max(to_number(i.premium_rcv_detail_code))+1
from ins_premium_det i),'12320','12320','02', '11000003','00','Request by Mr. Omair Ali 25-Sep-2024 allocation no 24Sep240082 ');</v>
      </c>
    </row>
    <row r="72" spans="1:8" ht="105" x14ac:dyDescent="0.25">
      <c r="A72" t="s">
        <v>184</v>
      </c>
      <c r="B72" s="80" t="str">
        <f>VLOOKUP(A72,[1]Sheet1!$B:$C,2,0)</f>
        <v>040000177642</v>
      </c>
      <c r="C72" s="46">
        <v>19145</v>
      </c>
      <c r="D72" s="81">
        <f t="shared" si="7"/>
        <v>19145</v>
      </c>
      <c r="E72" s="79" t="s">
        <v>2492</v>
      </c>
      <c r="F72" s="82" t="str">
        <f t="shared" si="4"/>
        <v>insert into ins_premium_det (premium_rcv_code,assorted_code, rec_amount,premium_rcv_detail_code,remaining_amt, payrec, mode_code,coinsurance_code,class_cd,it_remarks) values</v>
      </c>
      <c r="G72" s="83" t="str">
        <f t="shared" si="5"/>
        <v>('24Sep240082','040000177642','19145',(select max(to_number(i.premium_rcv_detail_code))+1
from ins_premium_det i),'19145','19145','02', '11000003','00','Request by Mr. Omair Ali 25-Sep-2024 allocation no 24Sep240082 ');</v>
      </c>
      <c r="H72" s="84" t="str">
        <f t="shared" si="6"/>
        <v>insert into ins_premium_det (premium_rcv_code,assorted_code, rec_amount,premium_rcv_detail_code,remaining_amt, payrec, mode_code,coinsurance_code,class_cd,it_remarks) values('24Sep240082','040000177642','19145',(select max(to_number(i.premium_rcv_detail_code))+1
from ins_premium_det i),'19145','19145','02', '11000003','00','Request by Mr. Omair Ali 25-Sep-2024 allocation no 24Sep240082 ');</v>
      </c>
    </row>
    <row r="73" spans="1:8" ht="105" x14ac:dyDescent="0.25">
      <c r="A73" t="s">
        <v>185</v>
      </c>
      <c r="B73" s="80" t="str">
        <f>VLOOKUP(A73,[1]Sheet1!$B:$C,2,0)</f>
        <v>040000177643</v>
      </c>
      <c r="C73" s="46">
        <v>19145</v>
      </c>
      <c r="D73" s="81">
        <f t="shared" si="7"/>
        <v>19145</v>
      </c>
      <c r="E73" s="79" t="s">
        <v>2492</v>
      </c>
      <c r="F73" s="82" t="str">
        <f t="shared" si="4"/>
        <v>insert into ins_premium_det (premium_rcv_code,assorted_code, rec_amount,premium_rcv_detail_code,remaining_amt, payrec, mode_code,coinsurance_code,class_cd,it_remarks) values</v>
      </c>
      <c r="G73" s="83" t="str">
        <f t="shared" si="5"/>
        <v>('24Sep240082','040000177643','19145',(select max(to_number(i.premium_rcv_detail_code))+1
from ins_premium_det i),'19145','19145','02', '11000003','00','Request by Mr. Omair Ali 25-Sep-2024 allocation no 24Sep240082 ');</v>
      </c>
      <c r="H73" s="84" t="str">
        <f t="shared" si="6"/>
        <v>insert into ins_premium_det (premium_rcv_code,assorted_code, rec_amount,premium_rcv_detail_code,remaining_amt, payrec, mode_code,coinsurance_code,class_cd,it_remarks) values('24Sep240082','040000177643','19145',(select max(to_number(i.premium_rcv_detail_code))+1
from ins_premium_det i),'19145','19145','02', '11000003','00','Request by Mr. Omair Ali 25-Sep-2024 allocation no 24Sep240082 ');</v>
      </c>
    </row>
    <row r="74" spans="1:8" ht="105" x14ac:dyDescent="0.25">
      <c r="A74" t="s">
        <v>186</v>
      </c>
      <c r="B74" s="80" t="str">
        <f>VLOOKUP(A74,[1]Sheet1!$B:$C,2,0)</f>
        <v>040000177648</v>
      </c>
      <c r="C74" s="46">
        <v>9550</v>
      </c>
      <c r="D74" s="81">
        <f t="shared" si="7"/>
        <v>9550</v>
      </c>
      <c r="E74" s="79" t="s">
        <v>2492</v>
      </c>
      <c r="F74" s="82" t="str">
        <f t="shared" si="4"/>
        <v>insert into ins_premium_det (premium_rcv_code,assorted_code, rec_amount,premium_rcv_detail_code,remaining_amt, payrec, mode_code,coinsurance_code,class_cd,it_remarks) values</v>
      </c>
      <c r="G74" s="83" t="str">
        <f t="shared" si="5"/>
        <v>('24Sep240082','040000177648','9550',(select max(to_number(i.premium_rcv_detail_code))+1
from ins_premium_det i),'9550','9550','02', '11000003','00','Request by Mr. Omair Ali 25-Sep-2024 allocation no 24Sep240082 ');</v>
      </c>
      <c r="H74" s="84" t="str">
        <f t="shared" si="6"/>
        <v>insert into ins_premium_det (premium_rcv_code,assorted_code, rec_amount,premium_rcv_detail_code,remaining_amt, payrec, mode_code,coinsurance_code,class_cd,it_remarks) values('24Sep240082','040000177648','9550',(select max(to_number(i.premium_rcv_detail_code))+1
from ins_premium_det i),'9550','9550','02', '11000003','00','Request by Mr. Omair Ali 25-Sep-2024 allocation no 24Sep240082 ');</v>
      </c>
    </row>
    <row r="75" spans="1:8" ht="105" x14ac:dyDescent="0.25">
      <c r="A75" t="s">
        <v>187</v>
      </c>
      <c r="B75" s="80" t="str">
        <f>VLOOKUP(A75,[1]Sheet1!$B:$C,2,0)</f>
        <v>040000177650</v>
      </c>
      <c r="C75" s="46">
        <v>13675</v>
      </c>
      <c r="D75" s="81">
        <f t="shared" si="7"/>
        <v>13675</v>
      </c>
      <c r="E75" s="79" t="s">
        <v>2492</v>
      </c>
      <c r="F75" s="82" t="str">
        <f t="shared" si="4"/>
        <v>insert into ins_premium_det (premium_rcv_code,assorted_code, rec_amount,premium_rcv_detail_code,remaining_amt, payrec, mode_code,coinsurance_code,class_cd,it_remarks) values</v>
      </c>
      <c r="G75" s="83" t="str">
        <f t="shared" si="5"/>
        <v>('24Sep240082','040000177650','13675',(select max(to_number(i.premium_rcv_detail_code))+1
from ins_premium_det i),'13675','13675','02', '11000003','00','Request by Mr. Omair Ali 25-Sep-2024 allocation no 24Sep240082 ');</v>
      </c>
      <c r="H75" s="84" t="str">
        <f t="shared" si="6"/>
        <v>insert into ins_premium_det (premium_rcv_code,assorted_code, rec_amount,premium_rcv_detail_code,remaining_amt, payrec, mode_code,coinsurance_code,class_cd,it_remarks) values('24Sep240082','040000177650','13675',(select max(to_number(i.premium_rcv_detail_code))+1
from ins_premium_det i),'13675','13675','02', '11000003','00','Request by Mr. Omair Ali 25-Sep-2024 allocation no 24Sep240082 ');</v>
      </c>
    </row>
    <row r="76" spans="1:8" ht="105" x14ac:dyDescent="0.25">
      <c r="A76" t="s">
        <v>188</v>
      </c>
      <c r="B76" s="80" t="str">
        <f>VLOOKUP(A76,[1]Sheet1!$B:$C,2,0)</f>
        <v>040000177675</v>
      </c>
      <c r="C76" s="46">
        <v>12320</v>
      </c>
      <c r="D76" s="81">
        <f t="shared" si="7"/>
        <v>12320</v>
      </c>
      <c r="E76" s="79" t="s">
        <v>2492</v>
      </c>
      <c r="F76" s="82" t="str">
        <f t="shared" si="4"/>
        <v>insert into ins_premium_det (premium_rcv_code,assorted_code, rec_amount,premium_rcv_detail_code,remaining_amt, payrec, mode_code,coinsurance_code,class_cd,it_remarks) values</v>
      </c>
      <c r="G76" s="83" t="str">
        <f t="shared" si="5"/>
        <v>('24Sep240082','040000177675','12320',(select max(to_number(i.premium_rcv_detail_code))+1
from ins_premium_det i),'12320','12320','02', '11000003','00','Request by Mr. Omair Ali 25-Sep-2024 allocation no 24Sep240082 ');</v>
      </c>
      <c r="H76" s="84" t="str">
        <f t="shared" si="6"/>
        <v>insert into ins_premium_det (premium_rcv_code,assorted_code, rec_amount,premium_rcv_detail_code,remaining_amt, payrec, mode_code,coinsurance_code,class_cd,it_remarks) values('24Sep240082','040000177675','12320',(select max(to_number(i.premium_rcv_detail_code))+1
from ins_premium_det i),'12320','12320','02', '11000003','00','Request by Mr. Omair Ali 25-Sep-2024 allocation no 24Sep240082 ');</v>
      </c>
    </row>
    <row r="77" spans="1:8" ht="105" x14ac:dyDescent="0.25">
      <c r="A77" t="s">
        <v>189</v>
      </c>
      <c r="B77" s="80" t="str">
        <f>VLOOKUP(A77,[1]Sheet1!$B:$C,2,0)</f>
        <v>040000177676</v>
      </c>
      <c r="C77" s="46">
        <v>12320</v>
      </c>
      <c r="D77" s="81">
        <f t="shared" si="7"/>
        <v>12320</v>
      </c>
      <c r="E77" s="79" t="s">
        <v>2492</v>
      </c>
      <c r="F77" s="82" t="str">
        <f t="shared" si="4"/>
        <v>insert into ins_premium_det (premium_rcv_code,assorted_code, rec_amount,premium_rcv_detail_code,remaining_amt, payrec, mode_code,coinsurance_code,class_cd,it_remarks) values</v>
      </c>
      <c r="G77" s="83" t="str">
        <f t="shared" si="5"/>
        <v>('24Sep240082','040000177676','12320',(select max(to_number(i.premium_rcv_detail_code))+1
from ins_premium_det i),'12320','12320','02', '11000003','00','Request by Mr. Omair Ali 25-Sep-2024 allocation no 24Sep240082 ');</v>
      </c>
      <c r="H77" s="84" t="str">
        <f t="shared" si="6"/>
        <v>insert into ins_premium_det (premium_rcv_code,assorted_code, rec_amount,premium_rcv_detail_code,remaining_amt, payrec, mode_code,coinsurance_code,class_cd,it_remarks) values('24Sep240082','040000177676','12320',(select max(to_number(i.premium_rcv_detail_code))+1
from ins_premium_det i),'12320','12320','02', '11000003','00','Request by Mr. Omair Ali 25-Sep-2024 allocation no 24Sep240082 ');</v>
      </c>
    </row>
    <row r="78" spans="1:8" ht="105" x14ac:dyDescent="0.25">
      <c r="A78" t="s">
        <v>190</v>
      </c>
      <c r="B78" s="80" t="str">
        <f>VLOOKUP(A78,[1]Sheet1!$B:$C,2,0)</f>
        <v>040000177686</v>
      </c>
      <c r="C78" s="46">
        <v>13370</v>
      </c>
      <c r="D78" s="81">
        <f t="shared" si="7"/>
        <v>13370</v>
      </c>
      <c r="E78" s="79" t="s">
        <v>2492</v>
      </c>
      <c r="F78" s="82" t="str">
        <f t="shared" si="4"/>
        <v>insert into ins_premium_det (premium_rcv_code,assorted_code, rec_amount,premium_rcv_detail_code,remaining_amt, payrec, mode_code,coinsurance_code,class_cd,it_remarks) values</v>
      </c>
      <c r="G78" s="83" t="str">
        <f t="shared" si="5"/>
        <v>('24Sep240082','040000177686','13370',(select max(to_number(i.premium_rcv_detail_code))+1
from ins_premium_det i),'13370','13370','02', '11000003','00','Request by Mr. Omair Ali 25-Sep-2024 allocation no 24Sep240082 ');</v>
      </c>
      <c r="H78" s="84" t="str">
        <f t="shared" si="6"/>
        <v>insert into ins_premium_det (premium_rcv_code,assorted_code, rec_amount,premium_rcv_detail_code,remaining_amt, payrec, mode_code,coinsurance_code,class_cd,it_remarks) values('24Sep240082','040000177686','13370',(select max(to_number(i.premium_rcv_detail_code))+1
from ins_premium_det i),'13370','13370','02', '11000003','00','Request by Mr. Omair Ali 25-Sep-2024 allocation no 24Sep240082 ');</v>
      </c>
    </row>
    <row r="79" spans="1:8" ht="105" x14ac:dyDescent="0.25">
      <c r="A79" t="s">
        <v>191</v>
      </c>
      <c r="B79" s="80" t="str">
        <f>VLOOKUP(A79,[1]Sheet1!$B:$C,2,0)</f>
        <v>040000177687</v>
      </c>
      <c r="C79" s="46">
        <v>13370</v>
      </c>
      <c r="D79" s="81">
        <f t="shared" si="7"/>
        <v>13370</v>
      </c>
      <c r="E79" s="79" t="s">
        <v>2492</v>
      </c>
      <c r="F79" s="82" t="str">
        <f t="shared" si="4"/>
        <v>insert into ins_premium_det (premium_rcv_code,assorted_code, rec_amount,premium_rcv_detail_code,remaining_amt, payrec, mode_code,coinsurance_code,class_cd,it_remarks) values</v>
      </c>
      <c r="G79" s="83" t="str">
        <f t="shared" si="5"/>
        <v>('24Sep240082','040000177687','13370',(select max(to_number(i.premium_rcv_detail_code))+1
from ins_premium_det i),'13370','13370','02', '11000003','00','Request by Mr. Omair Ali 25-Sep-2024 allocation no 24Sep240082 ');</v>
      </c>
      <c r="H79" s="84" t="str">
        <f t="shared" si="6"/>
        <v>insert into ins_premium_det (premium_rcv_code,assorted_code, rec_amount,premium_rcv_detail_code,remaining_amt, payrec, mode_code,coinsurance_code,class_cd,it_remarks) values('24Sep240082','040000177687','13370',(select max(to_number(i.premium_rcv_detail_code))+1
from ins_premium_det i),'13370','13370','02', '11000003','00','Request by Mr. Omair Ali 25-Sep-2024 allocation no 24Sep240082 ');</v>
      </c>
    </row>
    <row r="80" spans="1:8" ht="105" x14ac:dyDescent="0.25">
      <c r="A80" t="s">
        <v>192</v>
      </c>
      <c r="B80" s="80" t="str">
        <f>VLOOKUP(A80,[1]Sheet1!$B:$C,2,0)</f>
        <v>040000177691</v>
      </c>
      <c r="C80" s="46">
        <v>13370</v>
      </c>
      <c r="D80" s="81">
        <f t="shared" si="7"/>
        <v>13370</v>
      </c>
      <c r="E80" s="79" t="s">
        <v>2492</v>
      </c>
      <c r="F80" s="82" t="str">
        <f t="shared" si="4"/>
        <v>insert into ins_premium_det (premium_rcv_code,assorted_code, rec_amount,premium_rcv_detail_code,remaining_amt, payrec, mode_code,coinsurance_code,class_cd,it_remarks) values</v>
      </c>
      <c r="G80" s="83" t="str">
        <f t="shared" si="5"/>
        <v>('24Sep240082','040000177691','13370',(select max(to_number(i.premium_rcv_detail_code))+1
from ins_premium_det i),'13370','13370','02', '11000003','00','Request by Mr. Omair Ali 25-Sep-2024 allocation no 24Sep240082 ');</v>
      </c>
      <c r="H80" s="84" t="str">
        <f t="shared" si="6"/>
        <v>insert into ins_premium_det (premium_rcv_code,assorted_code, rec_amount,premium_rcv_detail_code,remaining_amt, payrec, mode_code,coinsurance_code,class_cd,it_remarks) values('24Sep240082','040000177691','13370',(select max(to_number(i.premium_rcv_detail_code))+1
from ins_premium_det i),'13370','13370','02', '11000003','00','Request by Mr. Omair Ali 25-Sep-2024 allocation no 24Sep240082 ');</v>
      </c>
    </row>
    <row r="81" spans="1:8" ht="105" x14ac:dyDescent="0.25">
      <c r="A81" t="s">
        <v>193</v>
      </c>
      <c r="B81" s="80" t="str">
        <f>VLOOKUP(A81,[1]Sheet1!$B:$C,2,0)</f>
        <v>040000177692</v>
      </c>
      <c r="C81" s="46">
        <v>13370</v>
      </c>
      <c r="D81" s="81">
        <f t="shared" si="7"/>
        <v>13370</v>
      </c>
      <c r="E81" s="79" t="s">
        <v>2492</v>
      </c>
      <c r="F81" s="82" t="str">
        <f t="shared" si="4"/>
        <v>insert into ins_premium_det (premium_rcv_code,assorted_code, rec_amount,premium_rcv_detail_code,remaining_amt, payrec, mode_code,coinsurance_code,class_cd,it_remarks) values</v>
      </c>
      <c r="G81" s="83" t="str">
        <f t="shared" si="5"/>
        <v>('24Sep240082','040000177692','13370',(select max(to_number(i.premium_rcv_detail_code))+1
from ins_premium_det i),'13370','13370','02', '11000003','00','Request by Mr. Omair Ali 25-Sep-2024 allocation no 24Sep240082 ');</v>
      </c>
      <c r="H81" s="84" t="str">
        <f t="shared" si="6"/>
        <v>insert into ins_premium_det (premium_rcv_code,assorted_code, rec_amount,premium_rcv_detail_code,remaining_amt, payrec, mode_code,coinsurance_code,class_cd,it_remarks) values('24Sep240082','040000177692','13370',(select max(to_number(i.premium_rcv_detail_code))+1
from ins_premium_det i),'13370','13370','02', '11000003','00','Request by Mr. Omair Ali 25-Sep-2024 allocation no 24Sep240082 ');</v>
      </c>
    </row>
    <row r="82" spans="1:8" ht="105" x14ac:dyDescent="0.25">
      <c r="A82" t="s">
        <v>194</v>
      </c>
      <c r="B82" s="80" t="str">
        <f>VLOOKUP(A82,[1]Sheet1!$B:$C,2,0)</f>
        <v>040000177695</v>
      </c>
      <c r="C82" s="46">
        <v>12320</v>
      </c>
      <c r="D82" s="81">
        <f t="shared" si="7"/>
        <v>12320</v>
      </c>
      <c r="E82" s="79" t="s">
        <v>2492</v>
      </c>
      <c r="F82" s="82" t="str">
        <f t="shared" si="4"/>
        <v>insert into ins_premium_det (premium_rcv_code,assorted_code, rec_amount,premium_rcv_detail_code,remaining_amt, payrec, mode_code,coinsurance_code,class_cd,it_remarks) values</v>
      </c>
      <c r="G82" s="83" t="str">
        <f t="shared" si="5"/>
        <v>('24Sep240082','040000177695','12320',(select max(to_number(i.premium_rcv_detail_code))+1
from ins_premium_det i),'12320','12320','02', '11000003','00','Request by Mr. Omair Ali 25-Sep-2024 allocation no 24Sep240082 ');</v>
      </c>
      <c r="H82" s="84" t="str">
        <f t="shared" si="6"/>
        <v>insert into ins_premium_det (premium_rcv_code,assorted_code, rec_amount,premium_rcv_detail_code,remaining_amt, payrec, mode_code,coinsurance_code,class_cd,it_remarks) values('24Sep240082','040000177695','12320',(select max(to_number(i.premium_rcv_detail_code))+1
from ins_premium_det i),'12320','12320','02', '11000003','00','Request by Mr. Omair Ali 25-Sep-2024 allocation no 24Sep240082 ');</v>
      </c>
    </row>
    <row r="83" spans="1:8" ht="105" x14ac:dyDescent="0.25">
      <c r="A83" t="s">
        <v>195</v>
      </c>
      <c r="B83" s="80" t="str">
        <f>VLOOKUP(A83,[1]Sheet1!$B:$C,2,0)</f>
        <v>040000177698</v>
      </c>
      <c r="C83" s="46">
        <v>13370</v>
      </c>
      <c r="D83" s="81">
        <f t="shared" si="7"/>
        <v>13370</v>
      </c>
      <c r="E83" s="79" t="s">
        <v>2492</v>
      </c>
      <c r="F83" s="82" t="str">
        <f t="shared" si="4"/>
        <v>insert into ins_premium_det (premium_rcv_code,assorted_code, rec_amount,premium_rcv_detail_code,remaining_amt, payrec, mode_code,coinsurance_code,class_cd,it_remarks) values</v>
      </c>
      <c r="G83" s="83" t="str">
        <f t="shared" si="5"/>
        <v>('24Sep240082','040000177698','13370',(select max(to_number(i.premium_rcv_detail_code))+1
from ins_premium_det i),'13370','13370','02', '11000003','00','Request by Mr. Omair Ali 25-Sep-2024 allocation no 24Sep240082 ');</v>
      </c>
      <c r="H83" s="84" t="str">
        <f t="shared" si="6"/>
        <v>insert into ins_premium_det (premium_rcv_code,assorted_code, rec_amount,premium_rcv_detail_code,remaining_amt, payrec, mode_code,coinsurance_code,class_cd,it_remarks) values('24Sep240082','040000177698','13370',(select max(to_number(i.premium_rcv_detail_code))+1
from ins_premium_det i),'13370','13370','02', '11000003','00','Request by Mr. Omair Ali 25-Sep-2024 allocation no 24Sep240082 ');</v>
      </c>
    </row>
    <row r="84" spans="1:8" ht="105" x14ac:dyDescent="0.25">
      <c r="A84" t="s">
        <v>196</v>
      </c>
      <c r="B84" s="80" t="str">
        <f>VLOOKUP(A84,[1]Sheet1!$B:$C,2,0)</f>
        <v>040000177702</v>
      </c>
      <c r="C84" s="46">
        <v>13370</v>
      </c>
      <c r="D84" s="81">
        <f t="shared" si="7"/>
        <v>13370</v>
      </c>
      <c r="E84" s="79" t="s">
        <v>2492</v>
      </c>
      <c r="F84" s="82" t="str">
        <f t="shared" si="4"/>
        <v>insert into ins_premium_det (premium_rcv_code,assorted_code, rec_amount,premium_rcv_detail_code,remaining_amt, payrec, mode_code,coinsurance_code,class_cd,it_remarks) values</v>
      </c>
      <c r="G84" s="83" t="str">
        <f t="shared" si="5"/>
        <v>('24Sep240082','040000177702','13370',(select max(to_number(i.premium_rcv_detail_code))+1
from ins_premium_det i),'13370','13370','02', '11000003','00','Request by Mr. Omair Ali 25-Sep-2024 allocation no 24Sep240082 ');</v>
      </c>
      <c r="H84" s="84" t="str">
        <f t="shared" si="6"/>
        <v>insert into ins_premium_det (premium_rcv_code,assorted_code, rec_amount,premium_rcv_detail_code,remaining_amt, payrec, mode_code,coinsurance_code,class_cd,it_remarks) values('24Sep240082','040000177702','13370',(select max(to_number(i.premium_rcv_detail_code))+1
from ins_premium_det i),'13370','13370','02', '11000003','00','Request by Mr. Omair Ali 25-Sep-2024 allocation no 24Sep240082 ');</v>
      </c>
    </row>
    <row r="85" spans="1:8" ht="105" x14ac:dyDescent="0.25">
      <c r="A85" t="s">
        <v>197</v>
      </c>
      <c r="B85" s="80" t="str">
        <f>VLOOKUP(A85,[1]Sheet1!$B:$C,2,0)</f>
        <v>040000177704</v>
      </c>
      <c r="C85" s="46">
        <v>9550</v>
      </c>
      <c r="D85" s="81">
        <f t="shared" si="7"/>
        <v>9550</v>
      </c>
      <c r="E85" s="79" t="s">
        <v>2492</v>
      </c>
      <c r="F85" s="82" t="str">
        <f t="shared" si="4"/>
        <v>insert into ins_premium_det (premium_rcv_code,assorted_code, rec_amount,premium_rcv_detail_code,remaining_amt, payrec, mode_code,coinsurance_code,class_cd,it_remarks) values</v>
      </c>
      <c r="G85" s="83" t="str">
        <f t="shared" si="5"/>
        <v>('24Sep240082','040000177704','9550',(select max(to_number(i.premium_rcv_detail_code))+1
from ins_premium_det i),'9550','9550','02', '11000003','00','Request by Mr. Omair Ali 25-Sep-2024 allocation no 24Sep240082 ');</v>
      </c>
      <c r="H85" s="84" t="str">
        <f t="shared" si="6"/>
        <v>insert into ins_premium_det (premium_rcv_code,assorted_code, rec_amount,premium_rcv_detail_code,remaining_amt, payrec, mode_code,coinsurance_code,class_cd,it_remarks) values('24Sep240082','040000177704','9550',(select max(to_number(i.premium_rcv_detail_code))+1
from ins_premium_det i),'9550','9550','02', '11000003','00','Request by Mr. Omair Ali 25-Sep-2024 allocation no 24Sep240082 ');</v>
      </c>
    </row>
    <row r="86" spans="1:8" ht="105" x14ac:dyDescent="0.25">
      <c r="A86" t="s">
        <v>198</v>
      </c>
      <c r="B86" s="80" t="str">
        <f>VLOOKUP(A86,[1]Sheet1!$B:$C,2,0)</f>
        <v>040000177713</v>
      </c>
      <c r="C86" s="46">
        <v>9550</v>
      </c>
      <c r="D86" s="81">
        <f t="shared" si="7"/>
        <v>9550</v>
      </c>
      <c r="E86" s="79" t="s">
        <v>2492</v>
      </c>
      <c r="F86" s="82" t="str">
        <f t="shared" si="4"/>
        <v>insert into ins_premium_det (premium_rcv_code,assorted_code, rec_amount,premium_rcv_detail_code,remaining_amt, payrec, mode_code,coinsurance_code,class_cd,it_remarks) values</v>
      </c>
      <c r="G86" s="83" t="str">
        <f t="shared" si="5"/>
        <v>('24Sep240082','040000177713','9550',(select max(to_number(i.premium_rcv_detail_code))+1
from ins_premium_det i),'9550','9550','02', '11000003','00','Request by Mr. Omair Ali 25-Sep-2024 allocation no 24Sep240082 ');</v>
      </c>
      <c r="H86" s="84" t="str">
        <f t="shared" si="6"/>
        <v>insert into ins_premium_det (premium_rcv_code,assorted_code, rec_amount,premium_rcv_detail_code,remaining_amt, payrec, mode_code,coinsurance_code,class_cd,it_remarks) values('24Sep240082','040000177713','9550',(select max(to_number(i.premium_rcv_detail_code))+1
from ins_premium_det i),'9550','9550','02', '11000003','00','Request by Mr. Omair Ali 25-Sep-2024 allocation no 24Sep240082 ');</v>
      </c>
    </row>
    <row r="87" spans="1:8" ht="105" x14ac:dyDescent="0.25">
      <c r="A87" t="s">
        <v>199</v>
      </c>
      <c r="B87" s="80" t="str">
        <f>VLOOKUP(A87,[1]Sheet1!$B:$C,2,0)</f>
        <v>040000177715</v>
      </c>
      <c r="C87" s="46">
        <v>17465</v>
      </c>
      <c r="D87" s="81">
        <f t="shared" si="7"/>
        <v>17465</v>
      </c>
      <c r="E87" s="79" t="s">
        <v>2492</v>
      </c>
      <c r="F87" s="82" t="str">
        <f t="shared" si="4"/>
        <v>insert into ins_premium_det (premium_rcv_code,assorted_code, rec_amount,premium_rcv_detail_code,remaining_amt, payrec, mode_code,coinsurance_code,class_cd,it_remarks) values</v>
      </c>
      <c r="G87" s="83" t="str">
        <f t="shared" si="5"/>
        <v>('24Sep240082','040000177715','17465',(select max(to_number(i.premium_rcv_detail_code))+1
from ins_premium_det i),'17465','17465','02', '11000003','00','Request by Mr. Omair Ali 25-Sep-2024 allocation no 24Sep240082 ');</v>
      </c>
      <c r="H87" s="84" t="str">
        <f t="shared" si="6"/>
        <v>insert into ins_premium_det (premium_rcv_code,assorted_code, rec_amount,premium_rcv_detail_code,remaining_amt, payrec, mode_code,coinsurance_code,class_cd,it_remarks) values('24Sep240082','040000177715','17465',(select max(to_number(i.premium_rcv_detail_code))+1
from ins_premium_det i),'17465','17465','02', '11000003','00','Request by Mr. Omair Ali 25-Sep-2024 allocation no 24Sep240082 ');</v>
      </c>
    </row>
    <row r="88" spans="1:8" ht="105" x14ac:dyDescent="0.25">
      <c r="A88" t="s">
        <v>200</v>
      </c>
      <c r="B88" s="80" t="str">
        <f>VLOOKUP(A88,[1]Sheet1!$B:$C,2,0)</f>
        <v>040000177716</v>
      </c>
      <c r="C88" s="46">
        <v>17465</v>
      </c>
      <c r="D88" s="81">
        <f t="shared" si="7"/>
        <v>17465</v>
      </c>
      <c r="E88" s="79" t="s">
        <v>2492</v>
      </c>
      <c r="F88" s="82" t="str">
        <f t="shared" si="4"/>
        <v>insert into ins_premium_det (premium_rcv_code,assorted_code, rec_amount,premium_rcv_detail_code,remaining_amt, payrec, mode_code,coinsurance_code,class_cd,it_remarks) values</v>
      </c>
      <c r="G88" s="83" t="str">
        <f t="shared" si="5"/>
        <v>('24Sep240082','040000177716','17465',(select max(to_number(i.premium_rcv_detail_code))+1
from ins_premium_det i),'17465','17465','02', '11000003','00','Request by Mr. Omair Ali 25-Sep-2024 allocation no 24Sep240082 ');</v>
      </c>
      <c r="H88" s="84" t="str">
        <f t="shared" si="6"/>
        <v>insert into ins_premium_det (premium_rcv_code,assorted_code, rec_amount,premium_rcv_detail_code,remaining_amt, payrec, mode_code,coinsurance_code,class_cd,it_remarks) values('24Sep240082','040000177716','17465',(select max(to_number(i.premium_rcv_detail_code))+1
from ins_premium_det i),'17465','17465','02', '11000003','00','Request by Mr. Omair Ali 25-Sep-2024 allocation no 24Sep240082 ');</v>
      </c>
    </row>
    <row r="89" spans="1:8" ht="105" x14ac:dyDescent="0.25">
      <c r="A89" t="s">
        <v>201</v>
      </c>
      <c r="B89" s="80" t="str">
        <f>VLOOKUP(A89,[1]Sheet1!$B:$C,2,0)</f>
        <v>040000177738</v>
      </c>
      <c r="C89" s="46">
        <v>12320</v>
      </c>
      <c r="D89" s="81">
        <f t="shared" si="7"/>
        <v>12320</v>
      </c>
      <c r="E89" s="79" t="s">
        <v>2492</v>
      </c>
      <c r="F89" s="82" t="str">
        <f t="shared" si="4"/>
        <v>insert into ins_premium_det (premium_rcv_code,assorted_code, rec_amount,premium_rcv_detail_code,remaining_amt, payrec, mode_code,coinsurance_code,class_cd,it_remarks) values</v>
      </c>
      <c r="G89" s="83" t="str">
        <f t="shared" si="5"/>
        <v>('24Sep240082','040000177738','12320',(select max(to_number(i.premium_rcv_detail_code))+1
from ins_premium_det i),'12320','12320','02', '11000003','00','Request by Mr. Omair Ali 25-Sep-2024 allocation no 24Sep240082 ');</v>
      </c>
      <c r="H89" s="84" t="str">
        <f t="shared" si="6"/>
        <v>insert into ins_premium_det (premium_rcv_code,assorted_code, rec_amount,premium_rcv_detail_code,remaining_amt, payrec, mode_code,coinsurance_code,class_cd,it_remarks) values('24Sep240082','040000177738','12320',(select max(to_number(i.premium_rcv_detail_code))+1
from ins_premium_det i),'12320','12320','02', '11000003','00','Request by Mr. Omair Ali 25-Sep-2024 allocation no 24Sep240082 ');</v>
      </c>
    </row>
    <row r="90" spans="1:8" ht="105" x14ac:dyDescent="0.25">
      <c r="A90" t="s">
        <v>202</v>
      </c>
      <c r="B90" s="80" t="str">
        <f>VLOOKUP(A90,[1]Sheet1!$B:$C,2,0)</f>
        <v>040000177739</v>
      </c>
      <c r="C90" s="46">
        <v>12320</v>
      </c>
      <c r="D90" s="81">
        <f t="shared" si="7"/>
        <v>12320</v>
      </c>
      <c r="E90" s="79" t="s">
        <v>2492</v>
      </c>
      <c r="F90" s="82" t="str">
        <f t="shared" si="4"/>
        <v>insert into ins_premium_det (premium_rcv_code,assorted_code, rec_amount,premium_rcv_detail_code,remaining_amt, payrec, mode_code,coinsurance_code,class_cd,it_remarks) values</v>
      </c>
      <c r="G90" s="83" t="str">
        <f t="shared" si="5"/>
        <v>('24Sep240082','040000177739','12320',(select max(to_number(i.premium_rcv_detail_code))+1
from ins_premium_det i),'12320','12320','02', '11000003','00','Request by Mr. Omair Ali 25-Sep-2024 allocation no 24Sep240082 ');</v>
      </c>
      <c r="H90" s="84" t="str">
        <f t="shared" si="6"/>
        <v>insert into ins_premium_det (premium_rcv_code,assorted_code, rec_amount,premium_rcv_detail_code,remaining_amt, payrec, mode_code,coinsurance_code,class_cd,it_remarks) values('24Sep240082','040000177739','12320',(select max(to_number(i.premium_rcv_detail_code))+1
from ins_premium_det i),'12320','12320','02', '11000003','00','Request by Mr. Omair Ali 25-Sep-2024 allocation no 24Sep240082 ');</v>
      </c>
    </row>
    <row r="91" spans="1:8" ht="105" x14ac:dyDescent="0.25">
      <c r="A91" t="s">
        <v>203</v>
      </c>
      <c r="B91" s="80" t="str">
        <f>VLOOKUP(A91,[1]Sheet1!$B:$C,2,0)</f>
        <v>040000177751</v>
      </c>
      <c r="C91" s="46">
        <v>19145</v>
      </c>
      <c r="D91" s="81">
        <f t="shared" si="7"/>
        <v>19145</v>
      </c>
      <c r="E91" s="79" t="s">
        <v>2492</v>
      </c>
      <c r="F91" s="82" t="str">
        <f t="shared" si="4"/>
        <v>insert into ins_premium_det (premium_rcv_code,assorted_code, rec_amount,premium_rcv_detail_code,remaining_amt, payrec, mode_code,coinsurance_code,class_cd,it_remarks) values</v>
      </c>
      <c r="G91" s="83" t="str">
        <f t="shared" si="5"/>
        <v>('24Sep240082','040000177751','19145',(select max(to_number(i.premium_rcv_detail_code))+1
from ins_premium_det i),'19145','19145','02', '11000003','00','Request by Mr. Omair Ali 25-Sep-2024 allocation no 24Sep240082 ');</v>
      </c>
      <c r="H91" s="84" t="str">
        <f t="shared" si="6"/>
        <v>insert into ins_premium_det (premium_rcv_code,assorted_code, rec_amount,premium_rcv_detail_code,remaining_amt, payrec, mode_code,coinsurance_code,class_cd,it_remarks) values('24Sep240082','040000177751','19145',(select max(to_number(i.premium_rcv_detail_code))+1
from ins_premium_det i),'19145','19145','02', '11000003','00','Request by Mr. Omair Ali 25-Sep-2024 allocation no 24Sep240082 ');</v>
      </c>
    </row>
    <row r="92" spans="1:8" ht="105" x14ac:dyDescent="0.25">
      <c r="A92" t="s">
        <v>204</v>
      </c>
      <c r="B92" s="80" t="str">
        <f>VLOOKUP(A92,[1]Sheet1!$B:$C,2,0)</f>
        <v>040000177752</v>
      </c>
      <c r="C92" s="46">
        <v>19145</v>
      </c>
      <c r="D92" s="81">
        <f t="shared" si="7"/>
        <v>19145</v>
      </c>
      <c r="E92" s="79" t="s">
        <v>2492</v>
      </c>
      <c r="F92" s="82" t="str">
        <f t="shared" si="4"/>
        <v>insert into ins_premium_det (premium_rcv_code,assorted_code, rec_amount,premium_rcv_detail_code,remaining_amt, payrec, mode_code,coinsurance_code,class_cd,it_remarks) values</v>
      </c>
      <c r="G92" s="83" t="str">
        <f t="shared" si="5"/>
        <v>('24Sep240082','040000177752','19145',(select max(to_number(i.premium_rcv_detail_code))+1
from ins_premium_det i),'19145','19145','02', '11000003','00','Request by Mr. Omair Ali 25-Sep-2024 allocation no 24Sep240082 ');</v>
      </c>
      <c r="H92" s="84" t="str">
        <f t="shared" si="6"/>
        <v>insert into ins_premium_det (premium_rcv_code,assorted_code, rec_amount,premium_rcv_detail_code,remaining_amt, payrec, mode_code,coinsurance_code,class_cd,it_remarks) values('24Sep240082','040000177752','19145',(select max(to_number(i.premium_rcv_detail_code))+1
from ins_premium_det i),'19145','19145','02', '11000003','00','Request by Mr. Omair Ali 25-Sep-2024 allocation no 24Sep240082 ');</v>
      </c>
    </row>
    <row r="93" spans="1:8" ht="105" x14ac:dyDescent="0.25">
      <c r="A93" t="s">
        <v>205</v>
      </c>
      <c r="B93" s="80" t="str">
        <f>VLOOKUP(A93,[1]Sheet1!$B:$C,2,0)</f>
        <v>040000177762</v>
      </c>
      <c r="C93" s="46">
        <v>12320</v>
      </c>
      <c r="D93" s="81">
        <f t="shared" si="7"/>
        <v>12320</v>
      </c>
      <c r="E93" s="79" t="s">
        <v>2492</v>
      </c>
      <c r="F93" s="82" t="str">
        <f t="shared" si="4"/>
        <v>insert into ins_premium_det (premium_rcv_code,assorted_code, rec_amount,premium_rcv_detail_code,remaining_amt, payrec, mode_code,coinsurance_code,class_cd,it_remarks) values</v>
      </c>
      <c r="G93" s="83" t="str">
        <f t="shared" si="5"/>
        <v>('24Sep240082','040000177762','12320',(select max(to_number(i.premium_rcv_detail_code))+1
from ins_premium_det i),'12320','12320','02', '11000003','00','Request by Mr. Omair Ali 25-Sep-2024 allocation no 24Sep240082 ');</v>
      </c>
      <c r="H93" s="84" t="str">
        <f t="shared" si="6"/>
        <v>insert into ins_premium_det (premium_rcv_code,assorted_code, rec_amount,premium_rcv_detail_code,remaining_amt, payrec, mode_code,coinsurance_code,class_cd,it_remarks) values('24Sep240082','040000177762','12320',(select max(to_number(i.premium_rcv_detail_code))+1
from ins_premium_det i),'12320','12320','02', '11000003','00','Request by Mr. Omair Ali 25-Sep-2024 allocation no 24Sep240082 ');</v>
      </c>
    </row>
    <row r="94" spans="1:8" ht="105" x14ac:dyDescent="0.25">
      <c r="A94" t="s">
        <v>206</v>
      </c>
      <c r="B94" s="80" t="str">
        <f>VLOOKUP(A94,[1]Sheet1!$B:$C,2,0)</f>
        <v>040000177766</v>
      </c>
      <c r="C94" s="46">
        <v>9550</v>
      </c>
      <c r="D94" s="81">
        <f t="shared" si="7"/>
        <v>9550</v>
      </c>
      <c r="E94" s="79" t="s">
        <v>2492</v>
      </c>
      <c r="F94" s="82" t="str">
        <f t="shared" si="4"/>
        <v>insert into ins_premium_det (premium_rcv_code,assorted_code, rec_amount,premium_rcv_detail_code,remaining_amt, payrec, mode_code,coinsurance_code,class_cd,it_remarks) values</v>
      </c>
      <c r="G94" s="83" t="str">
        <f t="shared" si="5"/>
        <v>('24Sep240082','040000177766','9550',(select max(to_number(i.premium_rcv_detail_code))+1
from ins_premium_det i),'9550','9550','02', '11000003','00','Request by Mr. Omair Ali 25-Sep-2024 allocation no 24Sep240082 ');</v>
      </c>
      <c r="H94" s="84" t="str">
        <f t="shared" si="6"/>
        <v>insert into ins_premium_det (premium_rcv_code,assorted_code, rec_amount,premium_rcv_detail_code,remaining_amt, payrec, mode_code,coinsurance_code,class_cd,it_remarks) values('24Sep240082','040000177766','9550',(select max(to_number(i.premium_rcv_detail_code))+1
from ins_premium_det i),'9550','9550','02', '11000003','00','Request by Mr. Omair Ali 25-Sep-2024 allocation no 24Sep240082 ');</v>
      </c>
    </row>
    <row r="95" spans="1:8" ht="105" x14ac:dyDescent="0.25">
      <c r="A95" t="s">
        <v>207</v>
      </c>
      <c r="B95" s="80" t="str">
        <f>VLOOKUP(A95,[1]Sheet1!$B:$C,2,0)</f>
        <v>040000177770</v>
      </c>
      <c r="C95" s="46">
        <v>9550</v>
      </c>
      <c r="D95" s="81">
        <f t="shared" si="7"/>
        <v>9550</v>
      </c>
      <c r="E95" s="79" t="s">
        <v>2492</v>
      </c>
      <c r="F95" s="82" t="str">
        <f t="shared" si="4"/>
        <v>insert into ins_premium_det (premium_rcv_code,assorted_code, rec_amount,premium_rcv_detail_code,remaining_amt, payrec, mode_code,coinsurance_code,class_cd,it_remarks) values</v>
      </c>
      <c r="G95" s="83" t="str">
        <f t="shared" si="5"/>
        <v>('24Sep240082','040000177770','9550',(select max(to_number(i.premium_rcv_detail_code))+1
from ins_premium_det i),'9550','9550','02', '11000003','00','Request by Mr. Omair Ali 25-Sep-2024 allocation no 24Sep240082 ');</v>
      </c>
      <c r="H95" s="84" t="str">
        <f t="shared" si="6"/>
        <v>insert into ins_premium_det (premium_rcv_code,assorted_code, rec_amount,premium_rcv_detail_code,remaining_amt, payrec, mode_code,coinsurance_code,class_cd,it_remarks) values('24Sep240082','040000177770','9550',(select max(to_number(i.premium_rcv_detail_code))+1
from ins_premium_det i),'9550','9550','02', '11000003','00','Request by Mr. Omair Ali 25-Sep-2024 allocation no 24Sep240082 ');</v>
      </c>
    </row>
    <row r="96" spans="1:8" ht="105" x14ac:dyDescent="0.25">
      <c r="A96" t="s">
        <v>208</v>
      </c>
      <c r="B96" s="80" t="str">
        <f>VLOOKUP(A96,[1]Sheet1!$B:$C,2,0)</f>
        <v>040000177773</v>
      </c>
      <c r="C96" s="46">
        <v>13370</v>
      </c>
      <c r="D96" s="81">
        <f t="shared" si="7"/>
        <v>13370</v>
      </c>
      <c r="E96" s="79" t="s">
        <v>2492</v>
      </c>
      <c r="F96" s="82" t="str">
        <f t="shared" si="4"/>
        <v>insert into ins_premium_det (premium_rcv_code,assorted_code, rec_amount,premium_rcv_detail_code,remaining_amt, payrec, mode_code,coinsurance_code,class_cd,it_remarks) values</v>
      </c>
      <c r="G96" s="83" t="str">
        <f t="shared" si="5"/>
        <v>('24Sep240082','040000177773','13370',(select max(to_number(i.premium_rcv_detail_code))+1
from ins_premium_det i),'13370','13370','02', '11000003','00','Request by Mr. Omair Ali 25-Sep-2024 allocation no 24Sep240082 ');</v>
      </c>
      <c r="H96" s="84" t="str">
        <f t="shared" si="6"/>
        <v>insert into ins_premium_det (premium_rcv_code,assorted_code, rec_amount,premium_rcv_detail_code,remaining_amt, payrec, mode_code,coinsurance_code,class_cd,it_remarks) values('24Sep240082','040000177773','13370',(select max(to_number(i.premium_rcv_detail_code))+1
from ins_premium_det i),'13370','13370','02', '11000003','00','Request by Mr. Omair Ali 25-Sep-2024 allocation no 24Sep240082 ');</v>
      </c>
    </row>
    <row r="97" spans="1:8" ht="105" x14ac:dyDescent="0.25">
      <c r="A97" t="s">
        <v>209</v>
      </c>
      <c r="B97" s="80" t="str">
        <f>VLOOKUP(A97,[1]Sheet1!$B:$C,2,0)</f>
        <v>040000177774</v>
      </c>
      <c r="C97" s="46">
        <v>8800</v>
      </c>
      <c r="D97" s="81">
        <f t="shared" si="7"/>
        <v>8800</v>
      </c>
      <c r="E97" s="79" t="s">
        <v>2492</v>
      </c>
      <c r="F97" s="82" t="str">
        <f t="shared" si="4"/>
        <v>insert into ins_premium_det (premium_rcv_code,assorted_code, rec_amount,premium_rcv_detail_code,remaining_amt, payrec, mode_code,coinsurance_code,class_cd,it_remarks) values</v>
      </c>
      <c r="G97" s="83" t="str">
        <f t="shared" si="5"/>
        <v>('24Sep240082','040000177774','8800',(select max(to_number(i.premium_rcv_detail_code))+1
from ins_premium_det i),'8800','8800','02', '11000003','00','Request by Mr. Omair Ali 25-Sep-2024 allocation no 24Sep240082 ');</v>
      </c>
      <c r="H97" s="84" t="str">
        <f t="shared" si="6"/>
        <v>insert into ins_premium_det (premium_rcv_code,assorted_code, rec_amount,premium_rcv_detail_code,remaining_amt, payrec, mode_code,coinsurance_code,class_cd,it_remarks) values('24Sep240082','040000177774','8800',(select max(to_number(i.premium_rcv_detail_code))+1
from ins_premium_det i),'8800','8800','02', '11000003','00','Request by Mr. Omair Ali 25-Sep-2024 allocation no 24Sep240082 ');</v>
      </c>
    </row>
    <row r="98" spans="1:8" ht="105" x14ac:dyDescent="0.25">
      <c r="A98" t="s">
        <v>210</v>
      </c>
      <c r="B98" s="80" t="str">
        <f>VLOOKUP(A98,[1]Sheet1!$B:$C,2,0)</f>
        <v>040000177778</v>
      </c>
      <c r="C98" s="46">
        <v>12475</v>
      </c>
      <c r="D98" s="81">
        <f t="shared" si="7"/>
        <v>12475</v>
      </c>
      <c r="E98" s="79" t="s">
        <v>2492</v>
      </c>
      <c r="F98" s="82" t="str">
        <f t="shared" si="4"/>
        <v>insert into ins_premium_det (premium_rcv_code,assorted_code, rec_amount,premium_rcv_detail_code,remaining_amt, payrec, mode_code,coinsurance_code,class_cd,it_remarks) values</v>
      </c>
      <c r="G98" s="83" t="str">
        <f t="shared" si="5"/>
        <v>('24Sep240082','040000177778','12475',(select max(to_number(i.premium_rcv_detail_code))+1
from ins_premium_det i),'12475','12475','02', '11000003','00','Request by Mr. Omair Ali 25-Sep-2024 allocation no 24Sep240082 ');</v>
      </c>
      <c r="H98" s="84" t="str">
        <f t="shared" si="6"/>
        <v>insert into ins_premium_det (premium_rcv_code,assorted_code, rec_amount,premium_rcv_detail_code,remaining_amt, payrec, mode_code,coinsurance_code,class_cd,it_remarks) values('24Sep240082','040000177778','12475',(select max(to_number(i.premium_rcv_detail_code))+1
from ins_premium_det i),'12475','12475','02', '11000003','00','Request by Mr. Omair Ali 25-Sep-2024 allocation no 24Sep240082 ');</v>
      </c>
    </row>
    <row r="99" spans="1:8" ht="105" x14ac:dyDescent="0.25">
      <c r="A99" t="s">
        <v>211</v>
      </c>
      <c r="B99" s="80" t="str">
        <f>VLOOKUP(A99,[1]Sheet1!$B:$C,2,0)</f>
        <v>040000177781</v>
      </c>
      <c r="C99" s="46">
        <v>8800</v>
      </c>
      <c r="D99" s="81">
        <f t="shared" si="7"/>
        <v>8800</v>
      </c>
      <c r="E99" s="79" t="s">
        <v>2492</v>
      </c>
      <c r="F99" s="82" t="str">
        <f t="shared" si="4"/>
        <v>insert into ins_premium_det (premium_rcv_code,assorted_code, rec_amount,premium_rcv_detail_code,remaining_amt, payrec, mode_code,coinsurance_code,class_cd,it_remarks) values</v>
      </c>
      <c r="G99" s="83" t="str">
        <f t="shared" si="5"/>
        <v>('24Sep240082','040000177781','8800',(select max(to_number(i.premium_rcv_detail_code))+1
from ins_premium_det i),'8800','8800','02', '11000003','00','Request by Mr. Omair Ali 25-Sep-2024 allocation no 24Sep240082 ');</v>
      </c>
      <c r="H99" s="84" t="str">
        <f t="shared" si="6"/>
        <v>insert into ins_premium_det (premium_rcv_code,assorted_code, rec_amount,premium_rcv_detail_code,remaining_amt, payrec, mode_code,coinsurance_code,class_cd,it_remarks) values('24Sep240082','040000177781','8800',(select max(to_number(i.premium_rcv_detail_code))+1
from ins_premium_det i),'8800','8800','02', '11000003','00','Request by Mr. Omair Ali 25-Sep-2024 allocation no 24Sep240082 ');</v>
      </c>
    </row>
    <row r="100" spans="1:8" ht="105" x14ac:dyDescent="0.25">
      <c r="A100" t="s">
        <v>212</v>
      </c>
      <c r="B100" s="80" t="str">
        <f>VLOOKUP(A100,[1]Sheet1!$B:$C,2,0)</f>
        <v>040000177783</v>
      </c>
      <c r="C100" s="46">
        <v>8800</v>
      </c>
      <c r="D100" s="81">
        <f t="shared" si="7"/>
        <v>8800</v>
      </c>
      <c r="E100" s="79" t="s">
        <v>2492</v>
      </c>
      <c r="F100" s="82" t="str">
        <f t="shared" si="4"/>
        <v>insert into ins_premium_det (premium_rcv_code,assorted_code, rec_amount,premium_rcv_detail_code,remaining_amt, payrec, mode_code,coinsurance_code,class_cd,it_remarks) values</v>
      </c>
      <c r="G100" s="83" t="str">
        <f t="shared" si="5"/>
        <v>('24Sep240082','040000177783','8800',(select max(to_number(i.premium_rcv_detail_code))+1
from ins_premium_det i),'8800','8800','02', '11000003','00','Request by Mr. Omair Ali 25-Sep-2024 allocation no 24Sep240082 ');</v>
      </c>
      <c r="H100" s="84" t="str">
        <f t="shared" si="6"/>
        <v>insert into ins_premium_det (premium_rcv_code,assorted_code, rec_amount,premium_rcv_detail_code,remaining_amt, payrec, mode_code,coinsurance_code,class_cd,it_remarks) values('24Sep240082','040000177783','8800',(select max(to_number(i.premium_rcv_detail_code))+1
from ins_premium_det i),'8800','8800','02', '11000003','00','Request by Mr. Omair Ali 25-Sep-2024 allocation no 24Sep240082 ');</v>
      </c>
    </row>
    <row r="101" spans="1:8" ht="105" x14ac:dyDescent="0.25">
      <c r="A101" t="s">
        <v>213</v>
      </c>
      <c r="B101" s="80" t="str">
        <f>VLOOKUP(A101,[1]Sheet1!$B:$C,2,0)</f>
        <v>040000177787</v>
      </c>
      <c r="C101" s="46">
        <v>9550</v>
      </c>
      <c r="D101" s="81">
        <f t="shared" si="7"/>
        <v>9550</v>
      </c>
      <c r="E101" s="79" t="s">
        <v>2492</v>
      </c>
      <c r="F101" s="82" t="str">
        <f t="shared" si="4"/>
        <v>insert into ins_premium_det (premium_rcv_code,assorted_code, rec_amount,premium_rcv_detail_code,remaining_amt, payrec, mode_code,coinsurance_code,class_cd,it_remarks) values</v>
      </c>
      <c r="G101" s="83" t="str">
        <f t="shared" si="5"/>
        <v>('24Sep240082','040000177787','9550',(select max(to_number(i.premium_rcv_detail_code))+1
from ins_premium_det i),'9550','9550','02', '11000003','00','Request by Mr. Omair Ali 25-Sep-2024 allocation no 24Sep240082 ');</v>
      </c>
      <c r="H101" s="84" t="str">
        <f t="shared" si="6"/>
        <v>insert into ins_premium_det (premium_rcv_code,assorted_code, rec_amount,premium_rcv_detail_code,remaining_amt, payrec, mode_code,coinsurance_code,class_cd,it_remarks) values('24Sep240082','040000177787','9550',(select max(to_number(i.premium_rcv_detail_code))+1
from ins_premium_det i),'9550','9550','02', '11000003','00','Request by Mr. Omair Ali 25-Sep-2024 allocation no 24Sep240082 ');</v>
      </c>
    </row>
    <row r="102" spans="1:8" ht="105" x14ac:dyDescent="0.25">
      <c r="A102" t="s">
        <v>214</v>
      </c>
      <c r="B102" s="80" t="str">
        <f>VLOOKUP(A102,[1]Sheet1!$B:$C,2,0)</f>
        <v>040000177789</v>
      </c>
      <c r="C102" s="46">
        <v>8800</v>
      </c>
      <c r="D102" s="81">
        <f t="shared" si="7"/>
        <v>8800</v>
      </c>
      <c r="E102" s="79" t="s">
        <v>2492</v>
      </c>
      <c r="F102" s="82" t="str">
        <f t="shared" si="4"/>
        <v>insert into ins_premium_det (premium_rcv_code,assorted_code, rec_amount,premium_rcv_detail_code,remaining_amt, payrec, mode_code,coinsurance_code,class_cd,it_remarks) values</v>
      </c>
      <c r="G102" s="83" t="str">
        <f t="shared" si="5"/>
        <v>('24Sep240082','040000177789','8800',(select max(to_number(i.premium_rcv_detail_code))+1
from ins_premium_det i),'8800','8800','02', '11000003','00','Request by Mr. Omair Ali 25-Sep-2024 allocation no 24Sep240082 ');</v>
      </c>
      <c r="H102" s="84" t="str">
        <f t="shared" si="6"/>
        <v>insert into ins_premium_det (premium_rcv_code,assorted_code, rec_amount,premium_rcv_detail_code,remaining_amt, payrec, mode_code,coinsurance_code,class_cd,it_remarks) values('24Sep240082','040000177789','8800',(select max(to_number(i.premium_rcv_detail_code))+1
from ins_premium_det i),'8800','8800','02', '11000003','00','Request by Mr. Omair Ali 25-Sep-2024 allocation no 24Sep240082 ');</v>
      </c>
    </row>
    <row r="103" spans="1:8" ht="105" x14ac:dyDescent="0.25">
      <c r="A103" t="s">
        <v>215</v>
      </c>
      <c r="B103" s="80" t="str">
        <f>VLOOKUP(A103,[1]Sheet1!$B:$C,2,0)</f>
        <v>040000177791</v>
      </c>
      <c r="C103" s="46">
        <v>8800</v>
      </c>
      <c r="D103" s="81">
        <f t="shared" si="7"/>
        <v>8800</v>
      </c>
      <c r="E103" s="79" t="s">
        <v>2492</v>
      </c>
      <c r="F103" s="82" t="str">
        <f t="shared" si="4"/>
        <v>insert into ins_premium_det (premium_rcv_code,assorted_code, rec_amount,premium_rcv_detail_code,remaining_amt, payrec, mode_code,coinsurance_code,class_cd,it_remarks) values</v>
      </c>
      <c r="G103" s="83" t="str">
        <f t="shared" si="5"/>
        <v>('24Sep240082','040000177791','8800',(select max(to_number(i.premium_rcv_detail_code))+1
from ins_premium_det i),'8800','8800','02', '11000003','00','Request by Mr. Omair Ali 25-Sep-2024 allocation no 24Sep240082 ');</v>
      </c>
      <c r="H103" s="84" t="str">
        <f t="shared" si="6"/>
        <v>insert into ins_premium_det (premium_rcv_code,assorted_code, rec_amount,premium_rcv_detail_code,remaining_amt, payrec, mode_code,coinsurance_code,class_cd,it_remarks) values('24Sep240082','040000177791','8800',(select max(to_number(i.premium_rcv_detail_code))+1
from ins_premium_det i),'8800','8800','02', '11000003','00','Request by Mr. Omair Ali 25-Sep-2024 allocation no 24Sep240082 ');</v>
      </c>
    </row>
    <row r="104" spans="1:8" ht="105" x14ac:dyDescent="0.25">
      <c r="A104" t="s">
        <v>216</v>
      </c>
      <c r="B104" s="80" t="str">
        <f>VLOOKUP(A104,[1]Sheet1!$B:$C,2,0)</f>
        <v>040000177794</v>
      </c>
      <c r="C104" s="46">
        <v>8800</v>
      </c>
      <c r="D104" s="81">
        <f t="shared" si="7"/>
        <v>8800</v>
      </c>
      <c r="E104" s="79" t="s">
        <v>2492</v>
      </c>
      <c r="F104" s="82" t="str">
        <f t="shared" si="4"/>
        <v>insert into ins_premium_det (premium_rcv_code,assorted_code, rec_amount,premium_rcv_detail_code,remaining_amt, payrec, mode_code,coinsurance_code,class_cd,it_remarks) values</v>
      </c>
      <c r="G104" s="83" t="str">
        <f t="shared" si="5"/>
        <v>('24Sep240082','040000177794','8800',(select max(to_number(i.premium_rcv_detail_code))+1
from ins_premium_det i),'8800','8800','02', '11000003','00','Request by Mr. Omair Ali 25-Sep-2024 allocation no 24Sep240082 ');</v>
      </c>
      <c r="H104" s="84" t="str">
        <f t="shared" si="6"/>
        <v>insert into ins_premium_det (premium_rcv_code,assorted_code, rec_amount,premium_rcv_detail_code,remaining_amt, payrec, mode_code,coinsurance_code,class_cd,it_remarks) values('24Sep240082','040000177794','8800',(select max(to_number(i.premium_rcv_detail_code))+1
from ins_premium_det i),'8800','8800','02', '11000003','00','Request by Mr. Omair Ali 25-Sep-2024 allocation no 24Sep240082 ');</v>
      </c>
    </row>
    <row r="105" spans="1:8" ht="105" x14ac:dyDescent="0.25">
      <c r="A105" t="s">
        <v>217</v>
      </c>
      <c r="B105" s="80" t="str">
        <f>VLOOKUP(A105,[1]Sheet1!$B:$C,2,0)</f>
        <v>040000177796</v>
      </c>
      <c r="C105" s="46">
        <v>8800</v>
      </c>
      <c r="D105" s="81">
        <f t="shared" si="7"/>
        <v>8800</v>
      </c>
      <c r="E105" s="79" t="s">
        <v>2492</v>
      </c>
      <c r="F105" s="82" t="str">
        <f t="shared" si="4"/>
        <v>insert into ins_premium_det (premium_rcv_code,assorted_code, rec_amount,premium_rcv_detail_code,remaining_amt, payrec, mode_code,coinsurance_code,class_cd,it_remarks) values</v>
      </c>
      <c r="G105" s="83" t="str">
        <f t="shared" si="5"/>
        <v>('24Sep240082','040000177796','8800',(select max(to_number(i.premium_rcv_detail_code))+1
from ins_premium_det i),'8800','8800','02', '11000003','00','Request by Mr. Omair Ali 25-Sep-2024 allocation no 24Sep240082 ');</v>
      </c>
      <c r="H105" s="84" t="str">
        <f t="shared" si="6"/>
        <v>insert into ins_premium_det (premium_rcv_code,assorted_code, rec_amount,premium_rcv_detail_code,remaining_amt, payrec, mode_code,coinsurance_code,class_cd,it_remarks) values('24Sep240082','040000177796','8800',(select max(to_number(i.premium_rcv_detail_code))+1
from ins_premium_det i),'8800','8800','02', '11000003','00','Request by Mr. Omair Ali 25-Sep-2024 allocation no 24Sep240082 ');</v>
      </c>
    </row>
    <row r="106" spans="1:8" ht="105" x14ac:dyDescent="0.25">
      <c r="A106" t="s">
        <v>218</v>
      </c>
      <c r="B106" s="80" t="str">
        <f>VLOOKUP(A106,[1]Sheet1!$B:$C,2,0)</f>
        <v>040000177798</v>
      </c>
      <c r="C106" s="46">
        <v>8800</v>
      </c>
      <c r="D106" s="81">
        <f t="shared" si="7"/>
        <v>8800</v>
      </c>
      <c r="E106" s="79" t="s">
        <v>2492</v>
      </c>
      <c r="F106" s="82" t="str">
        <f t="shared" si="4"/>
        <v>insert into ins_premium_det (premium_rcv_code,assorted_code, rec_amount,premium_rcv_detail_code,remaining_amt, payrec, mode_code,coinsurance_code,class_cd,it_remarks) values</v>
      </c>
      <c r="G106" s="83" t="str">
        <f t="shared" si="5"/>
        <v>('24Sep240082','040000177798','8800',(select max(to_number(i.premium_rcv_detail_code))+1
from ins_premium_det i),'8800','8800','02', '11000003','00','Request by Mr. Omair Ali 25-Sep-2024 allocation no 24Sep240082 ');</v>
      </c>
      <c r="H106" s="84" t="str">
        <f t="shared" si="6"/>
        <v>insert into ins_premium_det (premium_rcv_code,assorted_code, rec_amount,premium_rcv_detail_code,remaining_amt, payrec, mode_code,coinsurance_code,class_cd,it_remarks) values('24Sep240082','040000177798','8800',(select max(to_number(i.premium_rcv_detail_code))+1
from ins_premium_det i),'8800','8800','02', '11000003','00','Request by Mr. Omair Ali 25-Sep-2024 allocation no 24Sep240082 ');</v>
      </c>
    </row>
    <row r="107" spans="1:8" ht="105" x14ac:dyDescent="0.25">
      <c r="A107" t="s">
        <v>219</v>
      </c>
      <c r="B107" s="80" t="str">
        <f>VLOOKUP(A107,[1]Sheet1!$B:$C,2,0)</f>
        <v>040000177800</v>
      </c>
      <c r="C107" s="46">
        <v>13675</v>
      </c>
      <c r="D107" s="81">
        <f t="shared" si="7"/>
        <v>13675</v>
      </c>
      <c r="E107" s="79" t="s">
        <v>2492</v>
      </c>
      <c r="F107" s="82" t="str">
        <f t="shared" si="4"/>
        <v>insert into ins_premium_det (premium_rcv_code,assorted_code, rec_amount,premium_rcv_detail_code,remaining_amt, payrec, mode_code,coinsurance_code,class_cd,it_remarks) values</v>
      </c>
      <c r="G107" s="83" t="str">
        <f t="shared" si="5"/>
        <v>('24Sep240082','040000177800','13675',(select max(to_number(i.premium_rcv_detail_code))+1
from ins_premium_det i),'13675','13675','02', '11000003','00','Request by Mr. Omair Ali 25-Sep-2024 allocation no 24Sep240082 ');</v>
      </c>
      <c r="H107" s="84" t="str">
        <f t="shared" si="6"/>
        <v>insert into ins_premium_det (premium_rcv_code,assorted_code, rec_amount,premium_rcv_detail_code,remaining_amt, payrec, mode_code,coinsurance_code,class_cd,it_remarks) values('24Sep240082','040000177800','13675',(select max(to_number(i.premium_rcv_detail_code))+1
from ins_premium_det i),'13675','13675','02', '11000003','00','Request by Mr. Omair Ali 25-Sep-2024 allocation no 24Sep240082 ');</v>
      </c>
    </row>
    <row r="108" spans="1:8" ht="105" x14ac:dyDescent="0.25">
      <c r="A108" t="s">
        <v>220</v>
      </c>
      <c r="B108" s="80" t="str">
        <f>VLOOKUP(A108,[1]Sheet1!$B:$C,2,0)</f>
        <v>040000177802</v>
      </c>
      <c r="C108" s="46">
        <v>12320</v>
      </c>
      <c r="D108" s="81">
        <f t="shared" si="7"/>
        <v>12320</v>
      </c>
      <c r="E108" s="79" t="s">
        <v>2492</v>
      </c>
      <c r="F108" s="82" t="str">
        <f t="shared" si="4"/>
        <v>insert into ins_premium_det (premium_rcv_code,assorted_code, rec_amount,premium_rcv_detail_code,remaining_amt, payrec, mode_code,coinsurance_code,class_cd,it_remarks) values</v>
      </c>
      <c r="G108" s="83" t="str">
        <f t="shared" si="5"/>
        <v>('24Sep240082','040000177802','12320',(select max(to_number(i.premium_rcv_detail_code))+1
from ins_premium_det i),'12320','12320','02', '11000003','00','Request by Mr. Omair Ali 25-Sep-2024 allocation no 24Sep240082 ');</v>
      </c>
      <c r="H108" s="84" t="str">
        <f t="shared" si="6"/>
        <v>insert into ins_premium_det (premium_rcv_code,assorted_code, rec_amount,premium_rcv_detail_code,remaining_amt, payrec, mode_code,coinsurance_code,class_cd,it_remarks) values('24Sep240082','040000177802','12320',(select max(to_number(i.premium_rcv_detail_code))+1
from ins_premium_det i),'12320','12320','02', '11000003','00','Request by Mr. Omair Ali 25-Sep-2024 allocation no 24Sep240082 ');</v>
      </c>
    </row>
    <row r="109" spans="1:8" ht="105" x14ac:dyDescent="0.25">
      <c r="A109" t="s">
        <v>221</v>
      </c>
      <c r="B109" s="80" t="str">
        <f>VLOOKUP(A109,[1]Sheet1!$B:$C,2,0)</f>
        <v>040000177803</v>
      </c>
      <c r="C109" s="46">
        <v>12320</v>
      </c>
      <c r="D109" s="81">
        <f t="shared" si="7"/>
        <v>12320</v>
      </c>
      <c r="E109" s="79" t="s">
        <v>2492</v>
      </c>
      <c r="F109" s="82" t="str">
        <f t="shared" si="4"/>
        <v>insert into ins_premium_det (premium_rcv_code,assorted_code, rec_amount,premium_rcv_detail_code,remaining_amt, payrec, mode_code,coinsurance_code,class_cd,it_remarks) values</v>
      </c>
      <c r="G109" s="83" t="str">
        <f t="shared" si="5"/>
        <v>('24Sep240082','040000177803','12320',(select max(to_number(i.premium_rcv_detail_code))+1
from ins_premium_det i),'12320','12320','02', '11000003','00','Request by Mr. Omair Ali 25-Sep-2024 allocation no 24Sep240082 ');</v>
      </c>
      <c r="H109" s="84" t="str">
        <f t="shared" si="6"/>
        <v>insert into ins_premium_det (premium_rcv_code,assorted_code, rec_amount,premium_rcv_detail_code,remaining_amt, payrec, mode_code,coinsurance_code,class_cd,it_remarks) values('24Sep240082','040000177803','12320',(select max(to_number(i.premium_rcv_detail_code))+1
from ins_premium_det i),'12320','12320','02', '11000003','00','Request by Mr. Omair Ali 25-Sep-2024 allocation no 24Sep240082 ');</v>
      </c>
    </row>
    <row r="110" spans="1:8" ht="105" x14ac:dyDescent="0.25">
      <c r="A110" t="s">
        <v>222</v>
      </c>
      <c r="B110" s="80" t="str">
        <f>VLOOKUP(A110,[1]Sheet1!$B:$C,2,0)</f>
        <v>040000177805</v>
      </c>
      <c r="C110" s="46">
        <v>12320</v>
      </c>
      <c r="D110" s="81">
        <f t="shared" si="7"/>
        <v>12320</v>
      </c>
      <c r="E110" s="79" t="s">
        <v>2492</v>
      </c>
      <c r="F110" s="82" t="str">
        <f t="shared" si="4"/>
        <v>insert into ins_premium_det (premium_rcv_code,assorted_code, rec_amount,premium_rcv_detail_code,remaining_amt, payrec, mode_code,coinsurance_code,class_cd,it_remarks) values</v>
      </c>
      <c r="G110" s="83" t="str">
        <f t="shared" si="5"/>
        <v>('24Sep240082','040000177805','12320',(select max(to_number(i.premium_rcv_detail_code))+1
from ins_premium_det i),'12320','12320','02', '11000003','00','Request by Mr. Omair Ali 25-Sep-2024 allocation no 24Sep240082 ');</v>
      </c>
      <c r="H110" s="84" t="str">
        <f t="shared" si="6"/>
        <v>insert into ins_premium_det (premium_rcv_code,assorted_code, rec_amount,premium_rcv_detail_code,remaining_amt, payrec, mode_code,coinsurance_code,class_cd,it_remarks) values('24Sep240082','040000177805','12320',(select max(to_number(i.premium_rcv_detail_code))+1
from ins_premium_det i),'12320','12320','02', '11000003','00','Request by Mr. Omair Ali 25-Sep-2024 allocation no 24Sep240082 ');</v>
      </c>
    </row>
    <row r="111" spans="1:8" ht="105" x14ac:dyDescent="0.25">
      <c r="A111" t="s">
        <v>223</v>
      </c>
      <c r="B111" s="80" t="str">
        <f>VLOOKUP(A111,[1]Sheet1!$B:$C,2,0)</f>
        <v>040000177808</v>
      </c>
      <c r="C111" s="46">
        <v>8800</v>
      </c>
      <c r="D111" s="81">
        <f t="shared" si="7"/>
        <v>8800</v>
      </c>
      <c r="E111" s="79" t="s">
        <v>2492</v>
      </c>
      <c r="F111" s="82" t="str">
        <f t="shared" si="4"/>
        <v>insert into ins_premium_det (premium_rcv_code,assorted_code, rec_amount,premium_rcv_detail_code,remaining_amt, payrec, mode_code,coinsurance_code,class_cd,it_remarks) values</v>
      </c>
      <c r="G111" s="83" t="str">
        <f t="shared" si="5"/>
        <v>('24Sep240082','040000177808','8800',(select max(to_number(i.premium_rcv_detail_code))+1
from ins_premium_det i),'8800','8800','02', '11000003','00','Request by Mr. Omair Ali 25-Sep-2024 allocation no 24Sep240082 ');</v>
      </c>
      <c r="H111" s="84" t="str">
        <f t="shared" si="6"/>
        <v>insert into ins_premium_det (premium_rcv_code,assorted_code, rec_amount,premium_rcv_detail_code,remaining_amt, payrec, mode_code,coinsurance_code,class_cd,it_remarks) values('24Sep240082','040000177808','8800',(select max(to_number(i.premium_rcv_detail_code))+1
from ins_premium_det i),'8800','8800','02', '11000003','00','Request by Mr. Omair Ali 25-Sep-2024 allocation no 24Sep240082 ');</v>
      </c>
    </row>
    <row r="112" spans="1:8" ht="105" x14ac:dyDescent="0.25">
      <c r="A112" t="s">
        <v>224</v>
      </c>
      <c r="B112" s="80" t="str">
        <f>VLOOKUP(A112,[1]Sheet1!$B:$C,2,0)</f>
        <v>040000177855</v>
      </c>
      <c r="C112" s="46">
        <v>12475</v>
      </c>
      <c r="D112" s="81">
        <f t="shared" si="7"/>
        <v>12475</v>
      </c>
      <c r="E112" s="79" t="s">
        <v>2492</v>
      </c>
      <c r="F112" s="82" t="str">
        <f t="shared" si="4"/>
        <v>insert into ins_premium_det (premium_rcv_code,assorted_code, rec_amount,premium_rcv_detail_code,remaining_amt, payrec, mode_code,coinsurance_code,class_cd,it_remarks) values</v>
      </c>
      <c r="G112" s="83" t="str">
        <f t="shared" si="5"/>
        <v>('24Sep240082','040000177855','12475',(select max(to_number(i.premium_rcv_detail_code))+1
from ins_premium_det i),'12475','12475','02', '11000003','00','Request by Mr. Omair Ali 25-Sep-2024 allocation no 24Sep240082 ');</v>
      </c>
      <c r="H112" s="84" t="str">
        <f t="shared" si="6"/>
        <v>insert into ins_premium_det (premium_rcv_code,assorted_code, rec_amount,premium_rcv_detail_code,remaining_amt, payrec, mode_code,coinsurance_code,class_cd,it_remarks) values('24Sep240082','040000177855','12475',(select max(to_number(i.premium_rcv_detail_code))+1
from ins_premium_det i),'12475','12475','02', '11000003','00','Request by Mr. Omair Ali 25-Sep-2024 allocation no 24Sep240082 ');</v>
      </c>
    </row>
    <row r="113" spans="1:8" ht="105" x14ac:dyDescent="0.25">
      <c r="A113" t="s">
        <v>225</v>
      </c>
      <c r="B113" s="80" t="str">
        <f>VLOOKUP(A113,[1]Sheet1!$B:$C,2,0)</f>
        <v>040000177867</v>
      </c>
      <c r="C113" s="46">
        <v>8800</v>
      </c>
      <c r="D113" s="81">
        <f t="shared" si="7"/>
        <v>8800</v>
      </c>
      <c r="E113" s="79" t="s">
        <v>2492</v>
      </c>
      <c r="F113" s="82" t="str">
        <f t="shared" si="4"/>
        <v>insert into ins_premium_det (premium_rcv_code,assorted_code, rec_amount,premium_rcv_detail_code,remaining_amt, payrec, mode_code,coinsurance_code,class_cd,it_remarks) values</v>
      </c>
      <c r="G113" s="83" t="str">
        <f t="shared" si="5"/>
        <v>('24Sep240082','040000177867','8800',(select max(to_number(i.premium_rcv_detail_code))+1
from ins_premium_det i),'8800','8800','02', '11000003','00','Request by Mr. Omair Ali 25-Sep-2024 allocation no 24Sep240082 ');</v>
      </c>
      <c r="H113" s="84" t="str">
        <f t="shared" si="6"/>
        <v>insert into ins_premium_det (premium_rcv_code,assorted_code, rec_amount,premium_rcv_detail_code,remaining_amt, payrec, mode_code,coinsurance_code,class_cd,it_remarks) values('24Sep240082','040000177867','8800',(select max(to_number(i.premium_rcv_detail_code))+1
from ins_premium_det i),'8800','8800','02', '11000003','00','Request by Mr. Omair Ali 25-Sep-2024 allocation no 24Sep240082 ');</v>
      </c>
    </row>
    <row r="114" spans="1:8" ht="105" x14ac:dyDescent="0.25">
      <c r="A114" t="s">
        <v>226</v>
      </c>
      <c r="B114" s="80" t="str">
        <f>VLOOKUP(A114,[1]Sheet1!$B:$C,2,0)</f>
        <v>040000177868</v>
      </c>
      <c r="C114" s="46">
        <v>19145</v>
      </c>
      <c r="D114" s="81">
        <f t="shared" si="7"/>
        <v>19145</v>
      </c>
      <c r="E114" s="79" t="s">
        <v>2492</v>
      </c>
      <c r="F114" s="82" t="str">
        <f t="shared" si="4"/>
        <v>insert into ins_premium_det (premium_rcv_code,assorted_code, rec_amount,premium_rcv_detail_code,remaining_amt, payrec, mode_code,coinsurance_code,class_cd,it_remarks) values</v>
      </c>
      <c r="G114" s="83" t="str">
        <f t="shared" si="5"/>
        <v>('24Sep240082','040000177868','19145',(select max(to_number(i.premium_rcv_detail_code))+1
from ins_premium_det i),'19145','19145','02', '11000003','00','Request by Mr. Omair Ali 25-Sep-2024 allocation no 24Sep240082 ');</v>
      </c>
      <c r="H114" s="84" t="str">
        <f t="shared" si="6"/>
        <v>insert into ins_premium_det (premium_rcv_code,assorted_code, rec_amount,premium_rcv_detail_code,remaining_amt, payrec, mode_code,coinsurance_code,class_cd,it_remarks) values('24Sep240082','040000177868','19145',(select max(to_number(i.premium_rcv_detail_code))+1
from ins_premium_det i),'19145','19145','02', '11000003','00','Request by Mr. Omair Ali 25-Sep-2024 allocation no 24Sep240082 ');</v>
      </c>
    </row>
    <row r="115" spans="1:8" ht="105" x14ac:dyDescent="0.25">
      <c r="A115" t="s">
        <v>227</v>
      </c>
      <c r="B115" s="80" t="str">
        <f>VLOOKUP(A115,[1]Sheet1!$B:$C,2,0)</f>
        <v>040000177881</v>
      </c>
      <c r="C115" s="46">
        <v>12320</v>
      </c>
      <c r="D115" s="81">
        <f t="shared" si="7"/>
        <v>12320</v>
      </c>
      <c r="E115" s="79" t="s">
        <v>2492</v>
      </c>
      <c r="F115" s="82" t="str">
        <f t="shared" si="4"/>
        <v>insert into ins_premium_det (premium_rcv_code,assorted_code, rec_amount,premium_rcv_detail_code,remaining_amt, payrec, mode_code,coinsurance_code,class_cd,it_remarks) values</v>
      </c>
      <c r="G115" s="83" t="str">
        <f t="shared" si="5"/>
        <v>('24Sep240082','040000177881','12320',(select max(to_number(i.premium_rcv_detail_code))+1
from ins_premium_det i),'12320','12320','02', '11000003','00','Request by Mr. Omair Ali 25-Sep-2024 allocation no 24Sep240082 ');</v>
      </c>
      <c r="H115" s="84" t="str">
        <f t="shared" si="6"/>
        <v>insert into ins_premium_det (premium_rcv_code,assorted_code, rec_amount,premium_rcv_detail_code,remaining_amt, payrec, mode_code,coinsurance_code,class_cd,it_remarks) values('24Sep240082','040000177881','12320',(select max(to_number(i.premium_rcv_detail_code))+1
from ins_premium_det i),'12320','12320','02', '11000003','00','Request by Mr. Omair Ali 25-Sep-2024 allocation no 24Sep240082 ');</v>
      </c>
    </row>
    <row r="116" spans="1:8" ht="105" x14ac:dyDescent="0.25">
      <c r="A116" t="s">
        <v>228</v>
      </c>
      <c r="B116" s="80" t="str">
        <f>VLOOKUP(A116,[1]Sheet1!$B:$C,2,0)</f>
        <v>040000177882</v>
      </c>
      <c r="C116" s="46">
        <v>12320</v>
      </c>
      <c r="D116" s="81">
        <f t="shared" si="7"/>
        <v>12320</v>
      </c>
      <c r="E116" s="79" t="s">
        <v>2492</v>
      </c>
      <c r="F116" s="82" t="str">
        <f t="shared" si="4"/>
        <v>insert into ins_premium_det (premium_rcv_code,assorted_code, rec_amount,premium_rcv_detail_code,remaining_amt, payrec, mode_code,coinsurance_code,class_cd,it_remarks) values</v>
      </c>
      <c r="G116" s="83" t="str">
        <f t="shared" si="5"/>
        <v>('24Sep240082','040000177882','12320',(select max(to_number(i.premium_rcv_detail_code))+1
from ins_premium_det i),'12320','12320','02', '11000003','00','Request by Mr. Omair Ali 25-Sep-2024 allocation no 24Sep240082 ');</v>
      </c>
      <c r="H116" s="84" t="str">
        <f t="shared" si="6"/>
        <v>insert into ins_premium_det (premium_rcv_code,assorted_code, rec_amount,premium_rcv_detail_code,remaining_amt, payrec, mode_code,coinsurance_code,class_cd,it_remarks) values('24Sep240082','040000177882','12320',(select max(to_number(i.premium_rcv_detail_code))+1
from ins_premium_det i),'12320','12320','02', '11000003','00','Request by Mr. Omair Ali 25-Sep-2024 allocation no 24Sep240082 ');</v>
      </c>
    </row>
    <row r="117" spans="1:8" ht="105" x14ac:dyDescent="0.25">
      <c r="A117" t="s">
        <v>229</v>
      </c>
      <c r="B117" s="80" t="str">
        <f>VLOOKUP(A117,[1]Sheet1!$B:$C,2,0)</f>
        <v>040000177892</v>
      </c>
      <c r="C117" s="46">
        <v>12320</v>
      </c>
      <c r="D117" s="81">
        <f t="shared" si="7"/>
        <v>12320</v>
      </c>
      <c r="E117" s="79" t="s">
        <v>2492</v>
      </c>
      <c r="F117" s="82" t="str">
        <f t="shared" si="4"/>
        <v>insert into ins_premium_det (premium_rcv_code,assorted_code, rec_amount,premium_rcv_detail_code,remaining_amt, payrec, mode_code,coinsurance_code,class_cd,it_remarks) values</v>
      </c>
      <c r="G117" s="83" t="str">
        <f t="shared" si="5"/>
        <v>('24Sep240082','040000177892','12320',(select max(to_number(i.premium_rcv_detail_code))+1
from ins_premium_det i),'12320','12320','02', '11000003','00','Request by Mr. Omair Ali 25-Sep-2024 allocation no 24Sep240082 ');</v>
      </c>
      <c r="H117" s="84" t="str">
        <f t="shared" si="6"/>
        <v>insert into ins_premium_det (premium_rcv_code,assorted_code, rec_amount,premium_rcv_detail_code,remaining_amt, payrec, mode_code,coinsurance_code,class_cd,it_remarks) values('24Sep240082','040000177892','12320',(select max(to_number(i.premium_rcv_detail_code))+1
from ins_premium_det i),'12320','12320','02', '11000003','00','Request by Mr. Omair Ali 25-Sep-2024 allocation no 24Sep240082 ');</v>
      </c>
    </row>
    <row r="118" spans="1:8" ht="105" x14ac:dyDescent="0.25">
      <c r="A118" t="s">
        <v>230</v>
      </c>
      <c r="B118" s="80" t="str">
        <f>VLOOKUP(A118,[1]Sheet1!$B:$C,2,0)</f>
        <v>040000177912</v>
      </c>
      <c r="C118" s="46">
        <v>13675</v>
      </c>
      <c r="D118" s="81">
        <f t="shared" si="7"/>
        <v>13675</v>
      </c>
      <c r="E118" s="79" t="s">
        <v>2492</v>
      </c>
      <c r="F118" s="82" t="str">
        <f t="shared" si="4"/>
        <v>insert into ins_premium_det (premium_rcv_code,assorted_code, rec_amount,premium_rcv_detail_code,remaining_amt, payrec, mode_code,coinsurance_code,class_cd,it_remarks) values</v>
      </c>
      <c r="G118" s="83" t="str">
        <f t="shared" si="5"/>
        <v>('24Sep240082','040000177912','13675',(select max(to_number(i.premium_rcv_detail_code))+1
from ins_premium_det i),'13675','13675','02', '11000003','00','Request by Mr. Omair Ali 25-Sep-2024 allocation no 24Sep240082 ');</v>
      </c>
      <c r="H118" s="84" t="str">
        <f t="shared" si="6"/>
        <v>insert into ins_premium_det (premium_rcv_code,assorted_code, rec_amount,premium_rcv_detail_code,remaining_amt, payrec, mode_code,coinsurance_code,class_cd,it_remarks) values('24Sep240082','040000177912','13675',(select max(to_number(i.premium_rcv_detail_code))+1
from ins_premium_det i),'13675','13675','02', '11000003','00','Request by Mr. Omair Ali 25-Sep-2024 allocation no 24Sep240082 ');</v>
      </c>
    </row>
    <row r="119" spans="1:8" ht="105" x14ac:dyDescent="0.25">
      <c r="A119" t="s">
        <v>231</v>
      </c>
      <c r="B119" s="80" t="str">
        <f>VLOOKUP(A119,[1]Sheet1!$B:$C,2,0)</f>
        <v>040000177934</v>
      </c>
      <c r="C119" s="46">
        <v>8800</v>
      </c>
      <c r="D119" s="81">
        <f t="shared" si="7"/>
        <v>8800</v>
      </c>
      <c r="E119" s="79" t="s">
        <v>2492</v>
      </c>
      <c r="F119" s="82" t="str">
        <f t="shared" si="4"/>
        <v>insert into ins_premium_det (premium_rcv_code,assorted_code, rec_amount,premium_rcv_detail_code,remaining_amt, payrec, mode_code,coinsurance_code,class_cd,it_remarks) values</v>
      </c>
      <c r="G119" s="83" t="str">
        <f t="shared" si="5"/>
        <v>('24Sep240082','040000177934','8800',(select max(to_number(i.premium_rcv_detail_code))+1
from ins_premium_det i),'8800','8800','02', '11000003','00','Request by Mr. Omair Ali 25-Sep-2024 allocation no 24Sep240082 ');</v>
      </c>
      <c r="H119" s="84" t="str">
        <f t="shared" si="6"/>
        <v>insert into ins_premium_det (premium_rcv_code,assorted_code, rec_amount,premium_rcv_detail_code,remaining_amt, payrec, mode_code,coinsurance_code,class_cd,it_remarks) values('24Sep240082','040000177934','8800',(select max(to_number(i.premium_rcv_detail_code))+1
from ins_premium_det i),'8800','8800','02', '11000003','00','Request by Mr. Omair Ali 25-Sep-2024 allocation no 24Sep240082 ');</v>
      </c>
    </row>
    <row r="120" spans="1:8" ht="105" x14ac:dyDescent="0.25">
      <c r="A120" t="s">
        <v>232</v>
      </c>
      <c r="B120" s="80" t="str">
        <f>VLOOKUP(A120,[1]Sheet1!$B:$C,2,0)</f>
        <v>040000177940</v>
      </c>
      <c r="C120" s="46">
        <v>8800</v>
      </c>
      <c r="D120" s="81">
        <f t="shared" si="7"/>
        <v>8800</v>
      </c>
      <c r="E120" s="79" t="s">
        <v>2492</v>
      </c>
      <c r="F120" s="82" t="str">
        <f t="shared" si="4"/>
        <v>insert into ins_premium_det (premium_rcv_code,assorted_code, rec_amount,premium_rcv_detail_code,remaining_amt, payrec, mode_code,coinsurance_code,class_cd,it_remarks) values</v>
      </c>
      <c r="G120" s="83" t="str">
        <f t="shared" si="5"/>
        <v>('24Sep240082','040000177940','8800',(select max(to_number(i.premium_rcv_detail_code))+1
from ins_premium_det i),'8800','8800','02', '11000003','00','Request by Mr. Omair Ali 25-Sep-2024 allocation no 24Sep240082 ');</v>
      </c>
      <c r="H120" s="84" t="str">
        <f t="shared" si="6"/>
        <v>insert into ins_premium_det (premium_rcv_code,assorted_code, rec_amount,premium_rcv_detail_code,remaining_amt, payrec, mode_code,coinsurance_code,class_cd,it_remarks) values('24Sep240082','040000177940','8800',(select max(to_number(i.premium_rcv_detail_code))+1
from ins_premium_det i),'8800','8800','02', '11000003','00','Request by Mr. Omair Ali 25-Sep-2024 allocation no 24Sep240082 ');</v>
      </c>
    </row>
    <row r="121" spans="1:8" ht="105" x14ac:dyDescent="0.25">
      <c r="A121" t="s">
        <v>233</v>
      </c>
      <c r="B121" s="80" t="str">
        <f>VLOOKUP(A121,[1]Sheet1!$B:$C,2,0)</f>
        <v>040000177943</v>
      </c>
      <c r="C121" s="46">
        <v>8800</v>
      </c>
      <c r="D121" s="81">
        <f t="shared" si="7"/>
        <v>8800</v>
      </c>
      <c r="E121" s="79" t="s">
        <v>2492</v>
      </c>
      <c r="F121" s="82" t="str">
        <f t="shared" si="4"/>
        <v>insert into ins_premium_det (premium_rcv_code,assorted_code, rec_amount,premium_rcv_detail_code,remaining_amt, payrec, mode_code,coinsurance_code,class_cd,it_remarks) values</v>
      </c>
      <c r="G121" s="83" t="str">
        <f t="shared" si="5"/>
        <v>('24Sep240082','040000177943','8800',(select max(to_number(i.premium_rcv_detail_code))+1
from ins_premium_det i),'8800','8800','02', '11000003','00','Request by Mr. Omair Ali 25-Sep-2024 allocation no 24Sep240082 ');</v>
      </c>
      <c r="H121" s="84" t="str">
        <f t="shared" si="6"/>
        <v>insert into ins_premium_det (premium_rcv_code,assorted_code, rec_amount,premium_rcv_detail_code,remaining_amt, payrec, mode_code,coinsurance_code,class_cd,it_remarks) values('24Sep240082','040000177943','8800',(select max(to_number(i.premium_rcv_detail_code))+1
from ins_premium_det i),'8800','8800','02', '11000003','00','Request by Mr. Omair Ali 25-Sep-2024 allocation no 24Sep240082 ');</v>
      </c>
    </row>
    <row r="122" spans="1:8" ht="105" x14ac:dyDescent="0.25">
      <c r="A122" t="s">
        <v>234</v>
      </c>
      <c r="B122" s="80" t="str">
        <f>VLOOKUP(A122,[1]Sheet1!$B:$C,2,0)</f>
        <v>040000177945</v>
      </c>
      <c r="C122" s="46">
        <v>8800</v>
      </c>
      <c r="D122" s="81">
        <f t="shared" si="7"/>
        <v>8800</v>
      </c>
      <c r="E122" s="79" t="s">
        <v>2492</v>
      </c>
      <c r="F122" s="82" t="str">
        <f t="shared" si="4"/>
        <v>insert into ins_premium_det (premium_rcv_code,assorted_code, rec_amount,premium_rcv_detail_code,remaining_amt, payrec, mode_code,coinsurance_code,class_cd,it_remarks) values</v>
      </c>
      <c r="G122" s="83" t="str">
        <f t="shared" si="5"/>
        <v>('24Sep240082','040000177945','8800',(select max(to_number(i.premium_rcv_detail_code))+1
from ins_premium_det i),'8800','8800','02', '11000003','00','Request by Mr. Omair Ali 25-Sep-2024 allocation no 24Sep240082 ');</v>
      </c>
      <c r="H122" s="84" t="str">
        <f t="shared" si="6"/>
        <v>insert into ins_premium_det (premium_rcv_code,assorted_code, rec_amount,premium_rcv_detail_code,remaining_amt, payrec, mode_code,coinsurance_code,class_cd,it_remarks) values('24Sep240082','040000177945','8800',(select max(to_number(i.premium_rcv_detail_code))+1
from ins_premium_det i),'8800','8800','02', '11000003','00','Request by Mr. Omair Ali 25-Sep-2024 allocation no 24Sep240082 ');</v>
      </c>
    </row>
    <row r="123" spans="1:8" ht="105" x14ac:dyDescent="0.25">
      <c r="A123" t="s">
        <v>235</v>
      </c>
      <c r="B123" s="80" t="str">
        <f>VLOOKUP(A123,[1]Sheet1!$B:$C,2,0)</f>
        <v>040000177948</v>
      </c>
      <c r="C123" s="46">
        <v>8800</v>
      </c>
      <c r="D123" s="81">
        <f t="shared" si="7"/>
        <v>8800</v>
      </c>
      <c r="E123" s="79" t="s">
        <v>2492</v>
      </c>
      <c r="F123" s="82" t="str">
        <f t="shared" si="4"/>
        <v>insert into ins_premium_det (premium_rcv_code,assorted_code, rec_amount,premium_rcv_detail_code,remaining_amt, payrec, mode_code,coinsurance_code,class_cd,it_remarks) values</v>
      </c>
      <c r="G123" s="83" t="str">
        <f t="shared" si="5"/>
        <v>('24Sep240082','040000177948','8800',(select max(to_number(i.premium_rcv_detail_code))+1
from ins_premium_det i),'8800','8800','02', '11000003','00','Request by Mr. Omair Ali 25-Sep-2024 allocation no 24Sep240082 ');</v>
      </c>
      <c r="H123" s="84" t="str">
        <f t="shared" si="6"/>
        <v>insert into ins_premium_det (premium_rcv_code,assorted_code, rec_amount,premium_rcv_detail_code,remaining_amt, payrec, mode_code,coinsurance_code,class_cd,it_remarks) values('24Sep240082','040000177948','8800',(select max(to_number(i.premium_rcv_detail_code))+1
from ins_premium_det i),'8800','8800','02', '11000003','00','Request by Mr. Omair Ali 25-Sep-2024 allocation no 24Sep240082 ');</v>
      </c>
    </row>
    <row r="124" spans="1:8" ht="105" x14ac:dyDescent="0.25">
      <c r="A124" t="s">
        <v>236</v>
      </c>
      <c r="B124" s="80" t="str">
        <f>VLOOKUP(A124,[1]Sheet1!$B:$C,2,0)</f>
        <v>040000177950</v>
      </c>
      <c r="C124" s="46">
        <v>9550</v>
      </c>
      <c r="D124" s="81">
        <f t="shared" si="7"/>
        <v>9550</v>
      </c>
      <c r="E124" s="79" t="s">
        <v>2492</v>
      </c>
      <c r="F124" s="82" t="str">
        <f t="shared" si="4"/>
        <v>insert into ins_premium_det (premium_rcv_code,assorted_code, rec_amount,premium_rcv_detail_code,remaining_amt, payrec, mode_code,coinsurance_code,class_cd,it_remarks) values</v>
      </c>
      <c r="G124" s="83" t="str">
        <f t="shared" si="5"/>
        <v>('24Sep240082','040000177950','9550',(select max(to_number(i.premium_rcv_detail_code))+1
from ins_premium_det i),'9550','9550','02', '11000003','00','Request by Mr. Omair Ali 25-Sep-2024 allocation no 24Sep240082 ');</v>
      </c>
      <c r="H124" s="84" t="str">
        <f t="shared" si="6"/>
        <v>insert into ins_premium_det (premium_rcv_code,assorted_code, rec_amount,premium_rcv_detail_code,remaining_amt, payrec, mode_code,coinsurance_code,class_cd,it_remarks) values('24Sep240082','040000177950','9550',(select max(to_number(i.premium_rcv_detail_code))+1
from ins_premium_det i),'9550','9550','02', '11000003','00','Request by Mr. Omair Ali 25-Sep-2024 allocation no 24Sep240082 ');</v>
      </c>
    </row>
    <row r="125" spans="1:8" ht="105" x14ac:dyDescent="0.25">
      <c r="A125" t="s">
        <v>237</v>
      </c>
      <c r="B125" s="80" t="str">
        <f>VLOOKUP(A125,[1]Sheet1!$B:$C,2,0)</f>
        <v>040000177958</v>
      </c>
      <c r="C125" s="46">
        <v>8800</v>
      </c>
      <c r="D125" s="81">
        <f t="shared" si="7"/>
        <v>8800</v>
      </c>
      <c r="E125" s="79" t="s">
        <v>2492</v>
      </c>
      <c r="F125" s="82" t="str">
        <f t="shared" si="4"/>
        <v>insert into ins_premium_det (premium_rcv_code,assorted_code, rec_amount,premium_rcv_detail_code,remaining_amt, payrec, mode_code,coinsurance_code,class_cd,it_remarks) values</v>
      </c>
      <c r="G125" s="83" t="str">
        <f t="shared" si="5"/>
        <v>('24Sep240082','040000177958','8800',(select max(to_number(i.premium_rcv_detail_code))+1
from ins_premium_det i),'8800','8800','02', '11000003','00','Request by Mr. Omair Ali 25-Sep-2024 allocation no 24Sep240082 ');</v>
      </c>
      <c r="H125" s="84" t="str">
        <f t="shared" si="6"/>
        <v>insert into ins_premium_det (premium_rcv_code,assorted_code, rec_amount,premium_rcv_detail_code,remaining_amt, payrec, mode_code,coinsurance_code,class_cd,it_remarks) values('24Sep240082','040000177958','8800',(select max(to_number(i.premium_rcv_detail_code))+1
from ins_premium_det i),'8800','8800','02', '11000003','00','Request by Mr. Omair Ali 25-Sep-2024 allocation no 24Sep240082 ');</v>
      </c>
    </row>
    <row r="126" spans="1:8" ht="105" x14ac:dyDescent="0.25">
      <c r="A126" t="s">
        <v>238</v>
      </c>
      <c r="B126" s="80" t="str">
        <f>VLOOKUP(A126,[1]Sheet1!$B:$C,2,0)</f>
        <v>040000177963</v>
      </c>
      <c r="C126" s="46">
        <v>8800</v>
      </c>
      <c r="D126" s="81">
        <f t="shared" si="7"/>
        <v>8800</v>
      </c>
      <c r="E126" s="79" t="s">
        <v>2492</v>
      </c>
      <c r="F126" s="82" t="str">
        <f t="shared" si="4"/>
        <v>insert into ins_premium_det (premium_rcv_code,assorted_code, rec_amount,premium_rcv_detail_code,remaining_amt, payrec, mode_code,coinsurance_code,class_cd,it_remarks) values</v>
      </c>
      <c r="G126" s="83" t="str">
        <f t="shared" si="5"/>
        <v>('24Sep240082','040000177963','8800',(select max(to_number(i.premium_rcv_detail_code))+1
from ins_premium_det i),'8800','8800','02', '11000003','00','Request by Mr. Omair Ali 25-Sep-2024 allocation no 24Sep240082 ');</v>
      </c>
      <c r="H126" s="84" t="str">
        <f t="shared" si="6"/>
        <v>insert into ins_premium_det (premium_rcv_code,assorted_code, rec_amount,premium_rcv_detail_code,remaining_amt, payrec, mode_code,coinsurance_code,class_cd,it_remarks) values('24Sep240082','040000177963','8800',(select max(to_number(i.premium_rcv_detail_code))+1
from ins_premium_det i),'8800','8800','02', '11000003','00','Request by Mr. Omair Ali 25-Sep-2024 allocation no 24Sep240082 ');</v>
      </c>
    </row>
    <row r="127" spans="1:8" ht="105" x14ac:dyDescent="0.25">
      <c r="A127" t="s">
        <v>239</v>
      </c>
      <c r="B127" s="80" t="str">
        <f>VLOOKUP(A127,[1]Sheet1!$B:$C,2,0)</f>
        <v>040000177968</v>
      </c>
      <c r="C127" s="46">
        <v>13675</v>
      </c>
      <c r="D127" s="81">
        <f t="shared" si="7"/>
        <v>13675</v>
      </c>
      <c r="E127" s="79" t="s">
        <v>2492</v>
      </c>
      <c r="F127" s="82" t="str">
        <f t="shared" si="4"/>
        <v>insert into ins_premium_det (premium_rcv_code,assorted_code, rec_amount,premium_rcv_detail_code,remaining_amt, payrec, mode_code,coinsurance_code,class_cd,it_remarks) values</v>
      </c>
      <c r="G127" s="83" t="str">
        <f t="shared" si="5"/>
        <v>('24Sep240082','040000177968','13675',(select max(to_number(i.premium_rcv_detail_code))+1
from ins_premium_det i),'13675','13675','02', '11000003','00','Request by Mr. Omair Ali 25-Sep-2024 allocation no 24Sep240082 ');</v>
      </c>
      <c r="H127" s="84" t="str">
        <f t="shared" si="6"/>
        <v>insert into ins_premium_det (premium_rcv_code,assorted_code, rec_amount,premium_rcv_detail_code,remaining_amt, payrec, mode_code,coinsurance_code,class_cd,it_remarks) values('24Sep240082','040000177968','13675',(select max(to_number(i.premium_rcv_detail_code))+1
from ins_premium_det i),'13675','13675','02', '11000003','00','Request by Mr. Omair Ali 25-Sep-2024 allocation no 24Sep240082 ');</v>
      </c>
    </row>
    <row r="128" spans="1:8" ht="105" x14ac:dyDescent="0.25">
      <c r="A128" t="s">
        <v>240</v>
      </c>
      <c r="B128" s="80" t="str">
        <f>VLOOKUP(A128,[1]Sheet1!$B:$C,2,0)</f>
        <v>040000177970</v>
      </c>
      <c r="C128" s="46">
        <v>12320</v>
      </c>
      <c r="D128" s="81">
        <f t="shared" si="7"/>
        <v>12320</v>
      </c>
      <c r="E128" s="79" t="s">
        <v>2492</v>
      </c>
      <c r="F128" s="82" t="str">
        <f t="shared" si="4"/>
        <v>insert into ins_premium_det (premium_rcv_code,assorted_code, rec_amount,premium_rcv_detail_code,remaining_amt, payrec, mode_code,coinsurance_code,class_cd,it_remarks) values</v>
      </c>
      <c r="G128" s="83" t="str">
        <f t="shared" si="5"/>
        <v>('24Sep240082','040000177970','12320',(select max(to_number(i.premium_rcv_detail_code))+1
from ins_premium_det i),'12320','12320','02', '11000003','00','Request by Mr. Omair Ali 25-Sep-2024 allocation no 24Sep240082 ');</v>
      </c>
      <c r="H128" s="84" t="str">
        <f t="shared" si="6"/>
        <v>insert into ins_premium_det (premium_rcv_code,assorted_code, rec_amount,premium_rcv_detail_code,remaining_amt, payrec, mode_code,coinsurance_code,class_cd,it_remarks) values('24Sep240082','040000177970','12320',(select max(to_number(i.premium_rcv_detail_code))+1
from ins_premium_det i),'12320','12320','02', '11000003','00','Request by Mr. Omair Ali 25-Sep-2024 allocation no 24Sep240082 ');</v>
      </c>
    </row>
    <row r="129" spans="1:8" ht="105" x14ac:dyDescent="0.25">
      <c r="A129" t="s">
        <v>241</v>
      </c>
      <c r="B129" s="80" t="str">
        <f>VLOOKUP(A129,[1]Sheet1!$B:$C,2,0)</f>
        <v>040000177971</v>
      </c>
      <c r="C129" s="46">
        <v>12320</v>
      </c>
      <c r="D129" s="81">
        <f t="shared" si="7"/>
        <v>12320</v>
      </c>
      <c r="E129" s="79" t="s">
        <v>2492</v>
      </c>
      <c r="F129" s="82" t="str">
        <f t="shared" si="4"/>
        <v>insert into ins_premium_det (premium_rcv_code,assorted_code, rec_amount,premium_rcv_detail_code,remaining_amt, payrec, mode_code,coinsurance_code,class_cd,it_remarks) values</v>
      </c>
      <c r="G129" s="83" t="str">
        <f t="shared" si="5"/>
        <v>('24Sep240082','040000177971','12320',(select max(to_number(i.premium_rcv_detail_code))+1
from ins_premium_det i),'12320','12320','02', '11000003','00','Request by Mr. Omair Ali 25-Sep-2024 allocation no 24Sep240082 ');</v>
      </c>
      <c r="H129" s="84" t="str">
        <f t="shared" si="6"/>
        <v>insert into ins_premium_det (premium_rcv_code,assorted_code, rec_amount,premium_rcv_detail_code,remaining_amt, payrec, mode_code,coinsurance_code,class_cd,it_remarks) values('24Sep240082','040000177971','12320',(select max(to_number(i.premium_rcv_detail_code))+1
from ins_premium_det i),'12320','12320','02', '11000003','00','Request by Mr. Omair Ali 25-Sep-2024 allocation no 24Sep240082 ');</v>
      </c>
    </row>
    <row r="130" spans="1:8" ht="105" x14ac:dyDescent="0.25">
      <c r="A130" t="s">
        <v>242</v>
      </c>
      <c r="B130" s="80" t="str">
        <f>VLOOKUP(A130,[1]Sheet1!$B:$C,2,0)</f>
        <v>040000177983</v>
      </c>
      <c r="C130" s="46">
        <v>8800</v>
      </c>
      <c r="D130" s="81">
        <f t="shared" si="7"/>
        <v>8800</v>
      </c>
      <c r="E130" s="79" t="s">
        <v>2492</v>
      </c>
      <c r="F130" s="82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83" t="str">
        <f t="shared" si="5"/>
        <v>('24Sep240082','040000177983','8800',(select max(to_number(i.premium_rcv_detail_code))+1
from ins_premium_det i),'8800','8800','02', '11000003','00','Request by Mr. Omair Ali 25-Sep-2024 allocation no 24Sep240082 ');</v>
      </c>
      <c r="H130" s="84" t="str">
        <f t="shared" si="6"/>
        <v>insert into ins_premium_det (premium_rcv_code,assorted_code, rec_amount,premium_rcv_detail_code,remaining_amt, payrec, mode_code,coinsurance_code,class_cd,it_remarks) values('24Sep240082','040000177983','8800',(select max(to_number(i.premium_rcv_detail_code))+1
from ins_premium_det i),'8800','8800','02', '11000003','00','Request by Mr. Omair Ali 25-Sep-2024 allocation no 24Sep240082 ');</v>
      </c>
    </row>
    <row r="131" spans="1:8" ht="105" x14ac:dyDescent="0.25">
      <c r="A131" t="s">
        <v>243</v>
      </c>
      <c r="B131" s="80" t="str">
        <f>VLOOKUP(A131,[1]Sheet1!$B:$C,2,0)</f>
        <v>040000177985</v>
      </c>
      <c r="C131" s="46">
        <v>12475</v>
      </c>
      <c r="D131" s="81">
        <f t="shared" si="7"/>
        <v>12475</v>
      </c>
      <c r="E131" s="79" t="s">
        <v>2492</v>
      </c>
      <c r="F131" s="82" t="str">
        <f t="shared" si="8"/>
        <v>insert into ins_premium_det (premium_rcv_code,assorted_code, rec_amount,premium_rcv_detail_code,remaining_amt, payrec, mode_code,coinsurance_code,class_cd,it_remarks) values</v>
      </c>
      <c r="G131" s="83" t="str">
        <f t="shared" ref="G131:G194" si="9">"('"&amp;E131&amp;"','"&amp;B131&amp;"','"&amp;D131&amp;"',(select max(to_number(i.premium_rcv_detail_code))+1
from ins_premium_det i),'"&amp;D131&amp;"','"&amp;D131&amp;"','02', '11000003','00','Request by Mr. Omair Ali 25-Sep-2024 allocation no 24Sep240082 ');"</f>
        <v>('24Sep240082','040000177985','12475',(select max(to_number(i.premium_rcv_detail_code))+1
from ins_premium_det i),'12475','12475','02', '11000003','00','Request by Mr. Omair Ali 25-Sep-2024 allocation no 24Sep240082 ');</v>
      </c>
      <c r="H131" s="84" t="str">
        <f t="shared" ref="H131:H194" si="10">F131&amp;G131</f>
        <v>insert into ins_premium_det (premium_rcv_code,assorted_code, rec_amount,premium_rcv_detail_code,remaining_amt, payrec, mode_code,coinsurance_code,class_cd,it_remarks) values('24Sep240082','040000177985','12475',(select max(to_number(i.premium_rcv_detail_code))+1
from ins_premium_det i),'12475','12475','02', '11000003','00','Request by Mr. Omair Ali 25-Sep-2024 allocation no 24Sep240082 ');</v>
      </c>
    </row>
    <row r="132" spans="1:8" ht="105" x14ac:dyDescent="0.25">
      <c r="A132" t="s">
        <v>244</v>
      </c>
      <c r="B132" s="80" t="str">
        <f>VLOOKUP(A132,[1]Sheet1!$B:$C,2,0)</f>
        <v>040000177996</v>
      </c>
      <c r="C132" s="46">
        <v>9550</v>
      </c>
      <c r="D132" s="81">
        <f t="shared" ref="D132:D195" si="11">ROUND(C132,0)</f>
        <v>9550</v>
      </c>
      <c r="E132" s="79" t="s">
        <v>2492</v>
      </c>
      <c r="F132" s="82" t="str">
        <f t="shared" si="8"/>
        <v>insert into ins_premium_det (premium_rcv_code,assorted_code, rec_amount,premium_rcv_detail_code,remaining_amt, payrec, mode_code,coinsurance_code,class_cd,it_remarks) values</v>
      </c>
      <c r="G132" s="83" t="str">
        <f t="shared" si="9"/>
        <v>('24Sep240082','040000177996','9550',(select max(to_number(i.premium_rcv_detail_code))+1
from ins_premium_det i),'9550','9550','02', '11000003','00','Request by Mr. Omair Ali 25-Sep-2024 allocation no 24Sep240082 ');</v>
      </c>
      <c r="H132" s="84" t="str">
        <f t="shared" si="10"/>
        <v>insert into ins_premium_det (premium_rcv_code,assorted_code, rec_amount,premium_rcv_detail_code,remaining_amt, payrec, mode_code,coinsurance_code,class_cd,it_remarks) values('24Sep240082','040000177996','9550',(select max(to_number(i.premium_rcv_detail_code))+1
from ins_premium_det i),'9550','9550','02', '11000003','00','Request by Mr. Omair Ali 25-Sep-2024 allocation no 24Sep240082 ');</v>
      </c>
    </row>
    <row r="133" spans="1:8" ht="105" x14ac:dyDescent="0.25">
      <c r="A133" t="s">
        <v>245</v>
      </c>
      <c r="B133" s="80" t="str">
        <f>VLOOKUP(A133,[1]Sheet1!$B:$C,2,0)</f>
        <v>040000178005</v>
      </c>
      <c r="C133" s="46">
        <v>8800</v>
      </c>
      <c r="D133" s="81">
        <f t="shared" si="11"/>
        <v>8800</v>
      </c>
      <c r="E133" s="79" t="s">
        <v>2492</v>
      </c>
      <c r="F133" s="82" t="str">
        <f t="shared" si="8"/>
        <v>insert into ins_premium_det (premium_rcv_code,assorted_code, rec_amount,premium_rcv_detail_code,remaining_amt, payrec, mode_code,coinsurance_code,class_cd,it_remarks) values</v>
      </c>
      <c r="G133" s="83" t="str">
        <f t="shared" si="9"/>
        <v>('24Sep240082','040000178005','8800',(select max(to_number(i.premium_rcv_detail_code))+1
from ins_premium_det i),'8800','8800','02', '11000003','00','Request by Mr. Omair Ali 25-Sep-2024 allocation no 24Sep240082 ');</v>
      </c>
      <c r="H133" s="84" t="str">
        <f t="shared" si="10"/>
        <v>insert into ins_premium_det (premium_rcv_code,assorted_code, rec_amount,premium_rcv_detail_code,remaining_amt, payrec, mode_code,coinsurance_code,class_cd,it_remarks) values('24Sep240082','040000178005','8800',(select max(to_number(i.premium_rcv_detail_code))+1
from ins_premium_det i),'8800','8800','02', '11000003','00','Request by Mr. Omair Ali 25-Sep-2024 allocation no 24Sep240082 ');</v>
      </c>
    </row>
    <row r="134" spans="1:8" ht="105" x14ac:dyDescent="0.25">
      <c r="A134" t="s">
        <v>246</v>
      </c>
      <c r="B134" s="80" t="str">
        <f>VLOOKUP(A134,[1]Sheet1!$B:$C,2,0)</f>
        <v>040000178006</v>
      </c>
      <c r="C134" s="46">
        <v>8800</v>
      </c>
      <c r="D134" s="81">
        <f t="shared" si="11"/>
        <v>8800</v>
      </c>
      <c r="E134" s="79" t="s">
        <v>2492</v>
      </c>
      <c r="F134" s="82" t="str">
        <f t="shared" si="8"/>
        <v>insert into ins_premium_det (premium_rcv_code,assorted_code, rec_amount,premium_rcv_detail_code,remaining_amt, payrec, mode_code,coinsurance_code,class_cd,it_remarks) values</v>
      </c>
      <c r="G134" s="83" t="str">
        <f t="shared" si="9"/>
        <v>('24Sep240082','040000178006','8800',(select max(to_number(i.premium_rcv_detail_code))+1
from ins_premium_det i),'8800','8800','02', '11000003','00','Request by Mr. Omair Ali 25-Sep-2024 allocation no 24Sep240082 ');</v>
      </c>
      <c r="H134" s="84" t="str">
        <f t="shared" si="10"/>
        <v>insert into ins_premium_det (premium_rcv_code,assorted_code, rec_amount,premium_rcv_detail_code,remaining_amt, payrec, mode_code,coinsurance_code,class_cd,it_remarks) values('24Sep240082','040000178006','8800',(select max(to_number(i.premium_rcv_detail_code))+1
from ins_premium_det i),'8800','8800','02', '11000003','00','Request by Mr. Omair Ali 25-Sep-2024 allocation no 24Sep240082 ');</v>
      </c>
    </row>
    <row r="135" spans="1:8" ht="105" x14ac:dyDescent="0.25">
      <c r="A135" t="s">
        <v>247</v>
      </c>
      <c r="B135" s="80" t="str">
        <f>VLOOKUP(A135,[1]Sheet1!$B:$C,2,0)</f>
        <v>040000178007</v>
      </c>
      <c r="C135" s="46">
        <v>12320</v>
      </c>
      <c r="D135" s="81">
        <f t="shared" si="11"/>
        <v>12320</v>
      </c>
      <c r="E135" s="79" t="s">
        <v>2492</v>
      </c>
      <c r="F135" s="82" t="str">
        <f t="shared" si="8"/>
        <v>insert into ins_premium_det (premium_rcv_code,assorted_code, rec_amount,premium_rcv_detail_code,remaining_amt, payrec, mode_code,coinsurance_code,class_cd,it_remarks) values</v>
      </c>
      <c r="G135" s="83" t="str">
        <f t="shared" si="9"/>
        <v>('24Sep240082','040000178007','12320',(select max(to_number(i.premium_rcv_detail_code))+1
from ins_premium_det i),'12320','12320','02', '11000003','00','Request by Mr. Omair Ali 25-Sep-2024 allocation no 24Sep240082 ');</v>
      </c>
      <c r="H135" s="84" t="str">
        <f t="shared" si="10"/>
        <v>insert into ins_premium_det (premium_rcv_code,assorted_code, rec_amount,premium_rcv_detail_code,remaining_amt, payrec, mode_code,coinsurance_code,class_cd,it_remarks) values('24Sep240082','040000178007','12320',(select max(to_number(i.premium_rcv_detail_code))+1
from ins_premium_det i),'12320','12320','02', '11000003','00','Request by Mr. Omair Ali 25-Sep-2024 allocation no 24Sep240082 ');</v>
      </c>
    </row>
    <row r="136" spans="1:8" ht="105" x14ac:dyDescent="0.25">
      <c r="A136" t="s">
        <v>248</v>
      </c>
      <c r="B136" s="80" t="str">
        <f>VLOOKUP(A136,[1]Sheet1!$B:$C,2,0)</f>
        <v>040000178008</v>
      </c>
      <c r="C136" s="46">
        <v>12320</v>
      </c>
      <c r="D136" s="81">
        <f t="shared" si="11"/>
        <v>12320</v>
      </c>
      <c r="E136" s="79" t="s">
        <v>2492</v>
      </c>
      <c r="F136" s="82" t="str">
        <f t="shared" si="8"/>
        <v>insert into ins_premium_det (premium_rcv_code,assorted_code, rec_amount,premium_rcv_detail_code,remaining_amt, payrec, mode_code,coinsurance_code,class_cd,it_remarks) values</v>
      </c>
      <c r="G136" s="83" t="str">
        <f t="shared" si="9"/>
        <v>('24Sep240082','040000178008','12320',(select max(to_number(i.premium_rcv_detail_code))+1
from ins_premium_det i),'12320','12320','02', '11000003','00','Request by Mr. Omair Ali 25-Sep-2024 allocation no 24Sep240082 ');</v>
      </c>
      <c r="H136" s="84" t="str">
        <f t="shared" si="10"/>
        <v>insert into ins_premium_det (premium_rcv_code,assorted_code, rec_amount,premium_rcv_detail_code,remaining_amt, payrec, mode_code,coinsurance_code,class_cd,it_remarks) values('24Sep240082','040000178008','12320',(select max(to_number(i.premium_rcv_detail_code))+1
from ins_premium_det i),'12320','12320','02', '11000003','00','Request by Mr. Omair Ali 25-Sep-2024 allocation no 24Sep240082 ');</v>
      </c>
    </row>
    <row r="137" spans="1:8" ht="105" x14ac:dyDescent="0.25">
      <c r="A137" t="s">
        <v>249</v>
      </c>
      <c r="B137" s="80" t="str">
        <f>VLOOKUP(A137,[1]Sheet1!$B:$C,2,0)</f>
        <v>040000178009</v>
      </c>
      <c r="C137" s="46">
        <v>8800</v>
      </c>
      <c r="D137" s="81">
        <f t="shared" si="11"/>
        <v>8800</v>
      </c>
      <c r="E137" s="79" t="s">
        <v>2492</v>
      </c>
      <c r="F137" s="82" t="str">
        <f t="shared" si="8"/>
        <v>insert into ins_premium_det (premium_rcv_code,assorted_code, rec_amount,premium_rcv_detail_code,remaining_amt, payrec, mode_code,coinsurance_code,class_cd,it_remarks) values</v>
      </c>
      <c r="G137" s="83" t="str">
        <f t="shared" si="9"/>
        <v>('24Sep240082','040000178009','8800',(select max(to_number(i.premium_rcv_detail_code))+1
from ins_premium_det i),'8800','8800','02', '11000003','00','Request by Mr. Omair Ali 25-Sep-2024 allocation no 24Sep240082 ');</v>
      </c>
      <c r="H137" s="84" t="str">
        <f t="shared" si="10"/>
        <v>insert into ins_premium_det (premium_rcv_code,assorted_code, rec_amount,premium_rcv_detail_code,remaining_amt, payrec, mode_code,coinsurance_code,class_cd,it_remarks) values('24Sep240082','040000178009','8800',(select max(to_number(i.premium_rcv_detail_code))+1
from ins_premium_det i),'8800','8800','02', '11000003','00','Request by Mr. Omair Ali 25-Sep-2024 allocation no 24Sep240082 ');</v>
      </c>
    </row>
    <row r="138" spans="1:8" ht="105" x14ac:dyDescent="0.25">
      <c r="A138" t="s">
        <v>250</v>
      </c>
      <c r="B138" s="80" t="str">
        <f>VLOOKUP(A138,[1]Sheet1!$B:$C,2,0)</f>
        <v>040000178010</v>
      </c>
      <c r="C138" s="46">
        <v>8800</v>
      </c>
      <c r="D138" s="81">
        <f t="shared" si="11"/>
        <v>8800</v>
      </c>
      <c r="E138" s="79" t="s">
        <v>2492</v>
      </c>
      <c r="F138" s="82" t="str">
        <f t="shared" si="8"/>
        <v>insert into ins_premium_det (premium_rcv_code,assorted_code, rec_amount,premium_rcv_detail_code,remaining_amt, payrec, mode_code,coinsurance_code,class_cd,it_remarks) values</v>
      </c>
      <c r="G138" s="83" t="str">
        <f t="shared" si="9"/>
        <v>('24Sep240082','040000178010','8800',(select max(to_number(i.premium_rcv_detail_code))+1
from ins_premium_det i),'8800','8800','02', '11000003','00','Request by Mr. Omair Ali 25-Sep-2024 allocation no 24Sep240082 ');</v>
      </c>
      <c r="H138" s="84" t="str">
        <f t="shared" si="10"/>
        <v>insert into ins_premium_det (premium_rcv_code,assorted_code, rec_amount,premium_rcv_detail_code,remaining_amt, payrec, mode_code,coinsurance_code,class_cd,it_remarks) values('24Sep240082','040000178010','8800',(select max(to_number(i.premium_rcv_detail_code))+1
from ins_premium_det i),'8800','8800','02', '11000003','00','Request by Mr. Omair Ali 25-Sep-2024 allocation no 24Sep240082 ');</v>
      </c>
    </row>
    <row r="139" spans="1:8" ht="105" x14ac:dyDescent="0.25">
      <c r="A139" t="s">
        <v>251</v>
      </c>
      <c r="B139" s="80" t="str">
        <f>VLOOKUP(A139,[1]Sheet1!$B:$C,2,0)</f>
        <v>040000178012</v>
      </c>
      <c r="C139" s="46">
        <v>8800</v>
      </c>
      <c r="D139" s="81">
        <f t="shared" si="11"/>
        <v>8800</v>
      </c>
      <c r="E139" s="79" t="s">
        <v>2492</v>
      </c>
      <c r="F139" s="82" t="str">
        <f t="shared" si="8"/>
        <v>insert into ins_premium_det (premium_rcv_code,assorted_code, rec_amount,premium_rcv_detail_code,remaining_amt, payrec, mode_code,coinsurance_code,class_cd,it_remarks) values</v>
      </c>
      <c r="G139" s="83" t="str">
        <f t="shared" si="9"/>
        <v>('24Sep240082','040000178012','8800',(select max(to_number(i.premium_rcv_detail_code))+1
from ins_premium_det i),'8800','8800','02', '11000003','00','Request by Mr. Omair Ali 25-Sep-2024 allocation no 24Sep240082 ');</v>
      </c>
      <c r="H139" s="84" t="str">
        <f t="shared" si="10"/>
        <v>insert into ins_premium_det (premium_rcv_code,assorted_code, rec_amount,premium_rcv_detail_code,remaining_amt, payrec, mode_code,coinsurance_code,class_cd,it_remarks) values('24Sep240082','040000178012','8800',(select max(to_number(i.premium_rcv_detail_code))+1
from ins_premium_det i),'8800','8800','02', '11000003','00','Request by Mr. Omair Ali 25-Sep-2024 allocation no 24Sep240082 ');</v>
      </c>
    </row>
    <row r="140" spans="1:8" ht="105" x14ac:dyDescent="0.25">
      <c r="A140" t="s">
        <v>252</v>
      </c>
      <c r="B140" s="80" t="str">
        <f>VLOOKUP(A140,[1]Sheet1!$B:$C,2,0)</f>
        <v>040000178013</v>
      </c>
      <c r="C140" s="46">
        <v>8800</v>
      </c>
      <c r="D140" s="81">
        <f t="shared" si="11"/>
        <v>8800</v>
      </c>
      <c r="E140" s="79" t="s">
        <v>2492</v>
      </c>
      <c r="F140" s="82" t="str">
        <f t="shared" si="8"/>
        <v>insert into ins_premium_det (premium_rcv_code,assorted_code, rec_amount,premium_rcv_detail_code,remaining_amt, payrec, mode_code,coinsurance_code,class_cd,it_remarks) values</v>
      </c>
      <c r="G140" s="83" t="str">
        <f t="shared" si="9"/>
        <v>('24Sep240082','040000178013','8800',(select max(to_number(i.premium_rcv_detail_code))+1
from ins_premium_det i),'8800','8800','02', '11000003','00','Request by Mr. Omair Ali 25-Sep-2024 allocation no 24Sep240082 ');</v>
      </c>
      <c r="H140" s="84" t="str">
        <f t="shared" si="10"/>
        <v>insert into ins_premium_det (premium_rcv_code,assorted_code, rec_amount,premium_rcv_detail_code,remaining_amt, payrec, mode_code,coinsurance_code,class_cd,it_remarks) values('24Sep240082','040000178013','8800',(select max(to_number(i.premium_rcv_detail_code))+1
from ins_premium_det i),'8800','8800','02', '11000003','00','Request by Mr. Omair Ali 25-Sep-2024 allocation no 24Sep240082 ');</v>
      </c>
    </row>
    <row r="141" spans="1:8" ht="105" x14ac:dyDescent="0.25">
      <c r="A141" t="s">
        <v>253</v>
      </c>
      <c r="B141" s="80" t="str">
        <f>VLOOKUP(A141,[1]Sheet1!$B:$C,2,0)</f>
        <v>040000178015</v>
      </c>
      <c r="C141" s="46">
        <v>8800</v>
      </c>
      <c r="D141" s="81">
        <f t="shared" si="11"/>
        <v>8800</v>
      </c>
      <c r="E141" s="79" t="s">
        <v>2492</v>
      </c>
      <c r="F141" s="82" t="str">
        <f t="shared" si="8"/>
        <v>insert into ins_premium_det (premium_rcv_code,assorted_code, rec_amount,premium_rcv_detail_code,remaining_amt, payrec, mode_code,coinsurance_code,class_cd,it_remarks) values</v>
      </c>
      <c r="G141" s="83" t="str">
        <f t="shared" si="9"/>
        <v>('24Sep240082','040000178015','8800',(select max(to_number(i.premium_rcv_detail_code))+1
from ins_premium_det i),'8800','8800','02', '11000003','00','Request by Mr. Omair Ali 25-Sep-2024 allocation no 24Sep240082 ');</v>
      </c>
      <c r="H141" s="84" t="str">
        <f t="shared" si="10"/>
        <v>insert into ins_premium_det (premium_rcv_code,assorted_code, rec_amount,premium_rcv_detail_code,remaining_amt, payrec, mode_code,coinsurance_code,class_cd,it_remarks) values('24Sep240082','040000178015','8800',(select max(to_number(i.premium_rcv_detail_code))+1
from ins_premium_det i),'8800','8800','02', '11000003','00','Request by Mr. Omair Ali 25-Sep-2024 allocation no 24Sep240082 ');</v>
      </c>
    </row>
    <row r="142" spans="1:8" ht="105" x14ac:dyDescent="0.25">
      <c r="A142" t="s">
        <v>254</v>
      </c>
      <c r="B142" s="80" t="str">
        <f>VLOOKUP(A142,[1]Sheet1!$B:$C,2,0)</f>
        <v>040000178022</v>
      </c>
      <c r="C142" s="46">
        <v>8800</v>
      </c>
      <c r="D142" s="81">
        <f t="shared" si="11"/>
        <v>8800</v>
      </c>
      <c r="E142" s="79" t="s">
        <v>2492</v>
      </c>
      <c r="F142" s="82" t="str">
        <f t="shared" si="8"/>
        <v>insert into ins_premium_det (premium_rcv_code,assorted_code, rec_amount,premium_rcv_detail_code,remaining_amt, payrec, mode_code,coinsurance_code,class_cd,it_remarks) values</v>
      </c>
      <c r="G142" s="83" t="str">
        <f t="shared" si="9"/>
        <v>('24Sep240082','040000178022','8800',(select max(to_number(i.premium_rcv_detail_code))+1
from ins_premium_det i),'8800','8800','02', '11000003','00','Request by Mr. Omair Ali 25-Sep-2024 allocation no 24Sep240082 ');</v>
      </c>
      <c r="H142" s="84" t="str">
        <f t="shared" si="10"/>
        <v>insert into ins_premium_det (premium_rcv_code,assorted_code, rec_amount,premium_rcv_detail_code,remaining_amt, payrec, mode_code,coinsurance_code,class_cd,it_remarks) values('24Sep240082','040000178022','8800',(select max(to_number(i.premium_rcv_detail_code))+1
from ins_premium_det i),'8800','8800','02', '11000003','00','Request by Mr. Omair Ali 25-Sep-2024 allocation no 24Sep240082 ');</v>
      </c>
    </row>
    <row r="143" spans="1:8" ht="105" x14ac:dyDescent="0.25">
      <c r="A143" t="s">
        <v>255</v>
      </c>
      <c r="B143" s="80" t="str">
        <f>VLOOKUP(A143,[1]Sheet1!$B:$C,2,0)</f>
        <v>040000178023</v>
      </c>
      <c r="C143" s="46">
        <v>12320</v>
      </c>
      <c r="D143" s="81">
        <f t="shared" si="11"/>
        <v>12320</v>
      </c>
      <c r="E143" s="79" t="s">
        <v>2492</v>
      </c>
      <c r="F143" s="82" t="str">
        <f t="shared" si="8"/>
        <v>insert into ins_premium_det (premium_rcv_code,assorted_code, rec_amount,premium_rcv_detail_code,remaining_amt, payrec, mode_code,coinsurance_code,class_cd,it_remarks) values</v>
      </c>
      <c r="G143" s="83" t="str">
        <f t="shared" si="9"/>
        <v>('24Sep240082','040000178023','12320',(select max(to_number(i.premium_rcv_detail_code))+1
from ins_premium_det i),'12320','12320','02', '11000003','00','Request by Mr. Omair Ali 25-Sep-2024 allocation no 24Sep240082 ');</v>
      </c>
      <c r="H143" s="84" t="str">
        <f t="shared" si="10"/>
        <v>insert into ins_premium_det (premium_rcv_code,assorted_code, rec_amount,premium_rcv_detail_code,remaining_amt, payrec, mode_code,coinsurance_code,class_cd,it_remarks) values('24Sep240082','040000178023','12320',(select max(to_number(i.premium_rcv_detail_code))+1
from ins_premium_det i),'12320','12320','02', '11000003','00','Request by Mr. Omair Ali 25-Sep-2024 allocation no 24Sep240082 ');</v>
      </c>
    </row>
    <row r="144" spans="1:8" ht="105" x14ac:dyDescent="0.25">
      <c r="A144" t="s">
        <v>256</v>
      </c>
      <c r="B144" s="80" t="str">
        <f>VLOOKUP(A144,[1]Sheet1!$B:$C,2,0)</f>
        <v>040000178029</v>
      </c>
      <c r="C144" s="46">
        <v>13675</v>
      </c>
      <c r="D144" s="81">
        <f t="shared" si="11"/>
        <v>13675</v>
      </c>
      <c r="E144" s="79" t="s">
        <v>2492</v>
      </c>
      <c r="F144" s="82" t="str">
        <f t="shared" si="8"/>
        <v>insert into ins_premium_det (premium_rcv_code,assorted_code, rec_amount,premium_rcv_detail_code,remaining_amt, payrec, mode_code,coinsurance_code,class_cd,it_remarks) values</v>
      </c>
      <c r="G144" s="83" t="str">
        <f t="shared" si="9"/>
        <v>('24Sep240082','040000178029','13675',(select max(to_number(i.premium_rcv_detail_code))+1
from ins_premium_det i),'13675','13675','02', '11000003','00','Request by Mr. Omair Ali 25-Sep-2024 allocation no 24Sep240082 ');</v>
      </c>
      <c r="H144" s="84" t="str">
        <f t="shared" si="10"/>
        <v>insert into ins_premium_det (premium_rcv_code,assorted_code, rec_amount,premium_rcv_detail_code,remaining_amt, payrec, mode_code,coinsurance_code,class_cd,it_remarks) values('24Sep240082','040000178029','13675',(select max(to_number(i.premium_rcv_detail_code))+1
from ins_premium_det i),'13675','13675','02', '11000003','00','Request by Mr. Omair Ali 25-Sep-2024 allocation no 24Sep240082 ');</v>
      </c>
    </row>
    <row r="145" spans="1:8" ht="105" x14ac:dyDescent="0.25">
      <c r="A145" t="s">
        <v>257</v>
      </c>
      <c r="B145" s="80" t="str">
        <f>VLOOKUP(A145,[1]Sheet1!$B:$C,2,0)</f>
        <v>040000178031</v>
      </c>
      <c r="C145" s="46">
        <v>8800</v>
      </c>
      <c r="D145" s="81">
        <f t="shared" si="11"/>
        <v>8800</v>
      </c>
      <c r="E145" s="79" t="s">
        <v>2492</v>
      </c>
      <c r="F145" s="82" t="str">
        <f t="shared" si="8"/>
        <v>insert into ins_premium_det (premium_rcv_code,assorted_code, rec_amount,premium_rcv_detail_code,remaining_amt, payrec, mode_code,coinsurance_code,class_cd,it_remarks) values</v>
      </c>
      <c r="G145" s="83" t="str">
        <f t="shared" si="9"/>
        <v>('24Sep240082','040000178031','8800',(select max(to_number(i.premium_rcv_detail_code))+1
from ins_premium_det i),'8800','8800','02', '11000003','00','Request by Mr. Omair Ali 25-Sep-2024 allocation no 24Sep240082 ');</v>
      </c>
      <c r="H145" s="84" t="str">
        <f t="shared" si="10"/>
        <v>insert into ins_premium_det (premium_rcv_code,assorted_code, rec_amount,premium_rcv_detail_code,remaining_amt, payrec, mode_code,coinsurance_code,class_cd,it_remarks) values('24Sep240082','040000178031','8800',(select max(to_number(i.premium_rcv_detail_code))+1
from ins_premium_det i),'8800','8800','02', '11000003','00','Request by Mr. Omair Ali 25-Sep-2024 allocation no 24Sep240082 ');</v>
      </c>
    </row>
    <row r="146" spans="1:8" ht="105" x14ac:dyDescent="0.25">
      <c r="A146" t="s">
        <v>258</v>
      </c>
      <c r="B146" s="80" t="str">
        <f>VLOOKUP(A146,[1]Sheet1!$B:$C,2,0)</f>
        <v>040000178032</v>
      </c>
      <c r="C146" s="46">
        <v>13675</v>
      </c>
      <c r="D146" s="81">
        <f t="shared" si="11"/>
        <v>13675</v>
      </c>
      <c r="E146" s="79" t="s">
        <v>2492</v>
      </c>
      <c r="F146" s="82" t="str">
        <f t="shared" si="8"/>
        <v>insert into ins_premium_det (premium_rcv_code,assorted_code, rec_amount,premium_rcv_detail_code,remaining_amt, payrec, mode_code,coinsurance_code,class_cd,it_remarks) values</v>
      </c>
      <c r="G146" s="83" t="str">
        <f t="shared" si="9"/>
        <v>('24Sep240082','040000178032','13675',(select max(to_number(i.premium_rcv_detail_code))+1
from ins_premium_det i),'13675','13675','02', '11000003','00','Request by Mr. Omair Ali 25-Sep-2024 allocation no 24Sep240082 ');</v>
      </c>
      <c r="H146" s="84" t="str">
        <f t="shared" si="10"/>
        <v>insert into ins_premium_det (premium_rcv_code,assorted_code, rec_amount,premium_rcv_detail_code,remaining_amt, payrec, mode_code,coinsurance_code,class_cd,it_remarks) values('24Sep240082','040000178032','13675',(select max(to_number(i.premium_rcv_detail_code))+1
from ins_premium_det i),'13675','13675','02', '11000003','00','Request by Mr. Omair Ali 25-Sep-2024 allocation no 24Sep240082 ');</v>
      </c>
    </row>
    <row r="147" spans="1:8" ht="105" x14ac:dyDescent="0.25">
      <c r="A147" t="s">
        <v>259</v>
      </c>
      <c r="B147" s="80" t="str">
        <f>VLOOKUP(A147,[1]Sheet1!$B:$C,2,0)</f>
        <v>040000178034</v>
      </c>
      <c r="C147" s="46">
        <v>8800</v>
      </c>
      <c r="D147" s="81">
        <f t="shared" si="11"/>
        <v>8800</v>
      </c>
      <c r="E147" s="79" t="s">
        <v>2492</v>
      </c>
      <c r="F147" s="82" t="str">
        <f t="shared" si="8"/>
        <v>insert into ins_premium_det (premium_rcv_code,assorted_code, rec_amount,premium_rcv_detail_code,remaining_amt, payrec, mode_code,coinsurance_code,class_cd,it_remarks) values</v>
      </c>
      <c r="G147" s="83" t="str">
        <f t="shared" si="9"/>
        <v>('24Sep240082','040000178034','8800',(select max(to_number(i.premium_rcv_detail_code))+1
from ins_premium_det i),'8800','8800','02', '11000003','00','Request by Mr. Omair Ali 25-Sep-2024 allocation no 24Sep240082 ');</v>
      </c>
      <c r="H147" s="84" t="str">
        <f t="shared" si="10"/>
        <v>insert into ins_premium_det (premium_rcv_code,assorted_code, rec_amount,premium_rcv_detail_code,remaining_amt, payrec, mode_code,coinsurance_code,class_cd,it_remarks) values('24Sep240082','040000178034','8800',(select max(to_number(i.premium_rcv_detail_code))+1
from ins_premium_det i),'8800','8800','02', '11000003','00','Request by Mr. Omair Ali 25-Sep-2024 allocation no 24Sep240082 ');</v>
      </c>
    </row>
    <row r="148" spans="1:8" ht="105" x14ac:dyDescent="0.25">
      <c r="A148" t="s">
        <v>260</v>
      </c>
      <c r="B148" s="80" t="str">
        <f>VLOOKUP(A148,[1]Sheet1!$B:$C,2,0)</f>
        <v>040000178035</v>
      </c>
      <c r="C148" s="46">
        <v>8800</v>
      </c>
      <c r="D148" s="81">
        <f t="shared" si="11"/>
        <v>8800</v>
      </c>
      <c r="E148" s="79" t="s">
        <v>2492</v>
      </c>
      <c r="F148" s="82" t="str">
        <f t="shared" si="8"/>
        <v>insert into ins_premium_det (premium_rcv_code,assorted_code, rec_amount,premium_rcv_detail_code,remaining_amt, payrec, mode_code,coinsurance_code,class_cd,it_remarks) values</v>
      </c>
      <c r="G148" s="83" t="str">
        <f t="shared" si="9"/>
        <v>('24Sep240082','040000178035','8800',(select max(to_number(i.premium_rcv_detail_code))+1
from ins_premium_det i),'8800','8800','02', '11000003','00','Request by Mr. Omair Ali 25-Sep-2024 allocation no 24Sep240082 ');</v>
      </c>
      <c r="H148" s="84" t="str">
        <f t="shared" si="10"/>
        <v>insert into ins_premium_det (premium_rcv_code,assorted_code, rec_amount,premium_rcv_detail_code,remaining_amt, payrec, mode_code,coinsurance_code,class_cd,it_remarks) values('24Sep240082','040000178035','8800',(select max(to_number(i.premium_rcv_detail_code))+1
from ins_premium_det i),'8800','8800','02', '11000003','00','Request by Mr. Omair Ali 25-Sep-2024 allocation no 24Sep240082 ');</v>
      </c>
    </row>
    <row r="149" spans="1:8" ht="105" x14ac:dyDescent="0.25">
      <c r="A149" t="s">
        <v>261</v>
      </c>
      <c r="B149" s="80" t="str">
        <f>VLOOKUP(A149,[1]Sheet1!$B:$C,2,0)</f>
        <v>040000178036</v>
      </c>
      <c r="C149" s="46">
        <v>8800</v>
      </c>
      <c r="D149" s="81">
        <f t="shared" si="11"/>
        <v>8800</v>
      </c>
      <c r="E149" s="79" t="s">
        <v>2492</v>
      </c>
      <c r="F149" s="82" t="str">
        <f t="shared" si="8"/>
        <v>insert into ins_premium_det (premium_rcv_code,assorted_code, rec_amount,premium_rcv_detail_code,remaining_amt, payrec, mode_code,coinsurance_code,class_cd,it_remarks) values</v>
      </c>
      <c r="G149" s="83" t="str">
        <f t="shared" si="9"/>
        <v>('24Sep240082','040000178036','8800',(select max(to_number(i.premium_rcv_detail_code))+1
from ins_premium_det i),'8800','8800','02', '11000003','00','Request by Mr. Omair Ali 25-Sep-2024 allocation no 24Sep240082 ');</v>
      </c>
      <c r="H149" s="84" t="str">
        <f t="shared" si="10"/>
        <v>insert into ins_premium_det (premium_rcv_code,assorted_code, rec_amount,premium_rcv_detail_code,remaining_amt, payrec, mode_code,coinsurance_code,class_cd,it_remarks) values('24Sep240082','040000178036','8800',(select max(to_number(i.premium_rcv_detail_code))+1
from ins_premium_det i),'8800','8800','02', '11000003','00','Request by Mr. Omair Ali 25-Sep-2024 allocation no 24Sep240082 ');</v>
      </c>
    </row>
    <row r="150" spans="1:8" ht="105" x14ac:dyDescent="0.25">
      <c r="A150" t="s">
        <v>262</v>
      </c>
      <c r="B150" s="80" t="str">
        <f>VLOOKUP(A150,[1]Sheet1!$B:$C,2,0)</f>
        <v>040000178038</v>
      </c>
      <c r="C150" s="46">
        <v>9550</v>
      </c>
      <c r="D150" s="81">
        <f t="shared" si="11"/>
        <v>9550</v>
      </c>
      <c r="E150" s="79" t="s">
        <v>2492</v>
      </c>
      <c r="F150" s="82" t="str">
        <f t="shared" si="8"/>
        <v>insert into ins_premium_det (premium_rcv_code,assorted_code, rec_amount,premium_rcv_detail_code,remaining_amt, payrec, mode_code,coinsurance_code,class_cd,it_remarks) values</v>
      </c>
      <c r="G150" s="83" t="str">
        <f t="shared" si="9"/>
        <v>('24Sep240082','040000178038','9550',(select max(to_number(i.premium_rcv_detail_code))+1
from ins_premium_det i),'9550','9550','02', '11000003','00','Request by Mr. Omair Ali 25-Sep-2024 allocation no 24Sep240082 ');</v>
      </c>
      <c r="H150" s="84" t="str">
        <f t="shared" si="10"/>
        <v>insert into ins_premium_det (premium_rcv_code,assorted_code, rec_amount,premium_rcv_detail_code,remaining_amt, payrec, mode_code,coinsurance_code,class_cd,it_remarks) values('24Sep240082','040000178038','9550',(select max(to_number(i.premium_rcv_detail_code))+1
from ins_premium_det i),'9550','9550','02', '11000003','00','Request by Mr. Omair Ali 25-Sep-2024 allocation no 24Sep240082 ');</v>
      </c>
    </row>
    <row r="151" spans="1:8" ht="105" x14ac:dyDescent="0.25">
      <c r="A151" t="s">
        <v>263</v>
      </c>
      <c r="B151" s="80" t="str">
        <f>VLOOKUP(A151,[1]Sheet1!$B:$C,2,0)</f>
        <v>040000178039</v>
      </c>
      <c r="C151" s="46">
        <v>8800</v>
      </c>
      <c r="D151" s="81">
        <f t="shared" si="11"/>
        <v>8800</v>
      </c>
      <c r="E151" s="79" t="s">
        <v>2492</v>
      </c>
      <c r="F151" s="82" t="str">
        <f t="shared" si="8"/>
        <v>insert into ins_premium_det (premium_rcv_code,assorted_code, rec_amount,premium_rcv_detail_code,remaining_amt, payrec, mode_code,coinsurance_code,class_cd,it_remarks) values</v>
      </c>
      <c r="G151" s="83" t="str">
        <f t="shared" si="9"/>
        <v>('24Sep240082','040000178039','8800',(select max(to_number(i.premium_rcv_detail_code))+1
from ins_premium_det i),'8800','8800','02', '11000003','00','Request by Mr. Omair Ali 25-Sep-2024 allocation no 24Sep240082 ');</v>
      </c>
      <c r="H151" s="84" t="str">
        <f t="shared" si="10"/>
        <v>insert into ins_premium_det (premium_rcv_code,assorted_code, rec_amount,premium_rcv_detail_code,remaining_amt, payrec, mode_code,coinsurance_code,class_cd,it_remarks) values('24Sep240082','040000178039','8800',(select max(to_number(i.premium_rcv_detail_code))+1
from ins_premium_det i),'8800','8800','02', '11000003','00','Request by Mr. Omair Ali 25-Sep-2024 allocation no 24Sep240082 ');</v>
      </c>
    </row>
    <row r="152" spans="1:8" ht="105" x14ac:dyDescent="0.25">
      <c r="A152" t="s">
        <v>264</v>
      </c>
      <c r="B152" s="80" t="str">
        <f>VLOOKUP(A152,[1]Sheet1!$B:$C,2,0)</f>
        <v>040000178040</v>
      </c>
      <c r="C152" s="46">
        <v>8800</v>
      </c>
      <c r="D152" s="81">
        <f t="shared" si="11"/>
        <v>8800</v>
      </c>
      <c r="E152" s="79" t="s">
        <v>2492</v>
      </c>
      <c r="F152" s="82" t="str">
        <f t="shared" si="8"/>
        <v>insert into ins_premium_det (premium_rcv_code,assorted_code, rec_amount,premium_rcv_detail_code,remaining_amt, payrec, mode_code,coinsurance_code,class_cd,it_remarks) values</v>
      </c>
      <c r="G152" s="83" t="str">
        <f t="shared" si="9"/>
        <v>('24Sep240082','040000178040','8800',(select max(to_number(i.premium_rcv_detail_code))+1
from ins_premium_det i),'8800','8800','02', '11000003','00','Request by Mr. Omair Ali 25-Sep-2024 allocation no 24Sep240082 ');</v>
      </c>
      <c r="H152" s="84" t="str">
        <f t="shared" si="10"/>
        <v>insert into ins_premium_det (premium_rcv_code,assorted_code, rec_amount,premium_rcv_detail_code,remaining_amt, payrec, mode_code,coinsurance_code,class_cd,it_remarks) values('24Sep240082','040000178040','8800',(select max(to_number(i.premium_rcv_detail_code))+1
from ins_premium_det i),'8800','8800','02', '11000003','00','Request by Mr. Omair Ali 25-Sep-2024 allocation no 24Sep240082 ');</v>
      </c>
    </row>
    <row r="153" spans="1:8" ht="105" x14ac:dyDescent="0.25">
      <c r="A153" t="s">
        <v>265</v>
      </c>
      <c r="B153" s="80" t="str">
        <f>VLOOKUP(A153,[1]Sheet1!$B:$C,2,0)</f>
        <v>040000178041</v>
      </c>
      <c r="C153" s="46">
        <v>12475</v>
      </c>
      <c r="D153" s="81">
        <f t="shared" si="11"/>
        <v>12475</v>
      </c>
      <c r="E153" s="79" t="s">
        <v>2492</v>
      </c>
      <c r="F153" s="82" t="str">
        <f t="shared" si="8"/>
        <v>insert into ins_premium_det (premium_rcv_code,assorted_code, rec_amount,premium_rcv_detail_code,remaining_amt, payrec, mode_code,coinsurance_code,class_cd,it_remarks) values</v>
      </c>
      <c r="G153" s="83" t="str">
        <f t="shared" si="9"/>
        <v>('24Sep240082','040000178041','12475',(select max(to_number(i.premium_rcv_detail_code))+1
from ins_premium_det i),'12475','12475','02', '11000003','00','Request by Mr. Omair Ali 25-Sep-2024 allocation no 24Sep240082 ');</v>
      </c>
      <c r="H153" s="84" t="str">
        <f t="shared" si="10"/>
        <v>insert into ins_premium_det (premium_rcv_code,assorted_code, rec_amount,premium_rcv_detail_code,remaining_amt, payrec, mode_code,coinsurance_code,class_cd,it_remarks) values('24Sep240082','040000178041','12475',(select max(to_number(i.premium_rcv_detail_code))+1
from ins_premium_det i),'12475','12475','02', '11000003','00','Request by Mr. Omair Ali 25-Sep-2024 allocation no 24Sep240082 ');</v>
      </c>
    </row>
    <row r="154" spans="1:8" ht="105" x14ac:dyDescent="0.25">
      <c r="A154" t="s">
        <v>266</v>
      </c>
      <c r="B154" s="80" t="str">
        <f>VLOOKUP(A154,[1]Sheet1!$B:$C,2,0)</f>
        <v>040000178042</v>
      </c>
      <c r="C154" s="46">
        <v>9550</v>
      </c>
      <c r="D154" s="81">
        <f t="shared" si="11"/>
        <v>9550</v>
      </c>
      <c r="E154" s="79" t="s">
        <v>2492</v>
      </c>
      <c r="F154" s="82" t="str">
        <f t="shared" si="8"/>
        <v>insert into ins_premium_det (premium_rcv_code,assorted_code, rec_amount,premium_rcv_detail_code,remaining_amt, payrec, mode_code,coinsurance_code,class_cd,it_remarks) values</v>
      </c>
      <c r="G154" s="83" t="str">
        <f t="shared" si="9"/>
        <v>('24Sep240082','040000178042','9550',(select max(to_number(i.premium_rcv_detail_code))+1
from ins_premium_det i),'9550','9550','02', '11000003','00','Request by Mr. Omair Ali 25-Sep-2024 allocation no 24Sep240082 ');</v>
      </c>
      <c r="H154" s="84" t="str">
        <f t="shared" si="10"/>
        <v>insert into ins_premium_det (premium_rcv_code,assorted_code, rec_amount,premium_rcv_detail_code,remaining_amt, payrec, mode_code,coinsurance_code,class_cd,it_remarks) values('24Sep240082','040000178042','9550',(select max(to_number(i.premium_rcv_detail_code))+1
from ins_premium_det i),'9550','9550','02', '11000003','00','Request by Mr. Omair Ali 25-Sep-2024 allocation no 24Sep240082 ');</v>
      </c>
    </row>
    <row r="155" spans="1:8" ht="105" x14ac:dyDescent="0.25">
      <c r="A155" t="s">
        <v>267</v>
      </c>
      <c r="B155" s="80" t="str">
        <f>VLOOKUP(A155,[1]Sheet1!$B:$C,2,0)</f>
        <v>040000178043</v>
      </c>
      <c r="C155" s="46">
        <v>12320</v>
      </c>
      <c r="D155" s="81">
        <f t="shared" si="11"/>
        <v>12320</v>
      </c>
      <c r="E155" s="79" t="s">
        <v>2492</v>
      </c>
      <c r="F155" s="82" t="str">
        <f t="shared" si="8"/>
        <v>insert into ins_premium_det (premium_rcv_code,assorted_code, rec_amount,premium_rcv_detail_code,remaining_amt, payrec, mode_code,coinsurance_code,class_cd,it_remarks) values</v>
      </c>
      <c r="G155" s="83" t="str">
        <f t="shared" si="9"/>
        <v>('24Sep240082','040000178043','12320',(select max(to_number(i.premium_rcv_detail_code))+1
from ins_premium_det i),'12320','12320','02', '11000003','00','Request by Mr. Omair Ali 25-Sep-2024 allocation no 24Sep240082 ');</v>
      </c>
      <c r="H155" s="84" t="str">
        <f t="shared" si="10"/>
        <v>insert into ins_premium_det (premium_rcv_code,assorted_code, rec_amount,premium_rcv_detail_code,remaining_amt, payrec, mode_code,coinsurance_code,class_cd,it_remarks) values('24Sep240082','040000178043','12320',(select max(to_number(i.premium_rcv_detail_code))+1
from ins_premium_det i),'12320','12320','02', '11000003','00','Request by Mr. Omair Ali 25-Sep-2024 allocation no 24Sep240082 ');</v>
      </c>
    </row>
    <row r="156" spans="1:8" ht="105" x14ac:dyDescent="0.25">
      <c r="A156" t="s">
        <v>268</v>
      </c>
      <c r="B156" s="80" t="str">
        <f>VLOOKUP(A156,[1]Sheet1!$B:$C,2,0)</f>
        <v>040000178045</v>
      </c>
      <c r="C156" s="46">
        <v>12475</v>
      </c>
      <c r="D156" s="81">
        <f t="shared" si="11"/>
        <v>12475</v>
      </c>
      <c r="E156" s="79" t="s">
        <v>2492</v>
      </c>
      <c r="F156" s="82" t="str">
        <f t="shared" si="8"/>
        <v>insert into ins_premium_det (premium_rcv_code,assorted_code, rec_amount,premium_rcv_detail_code,remaining_amt, payrec, mode_code,coinsurance_code,class_cd,it_remarks) values</v>
      </c>
      <c r="G156" s="83" t="str">
        <f t="shared" si="9"/>
        <v>('24Sep240082','040000178045','12475',(select max(to_number(i.premium_rcv_detail_code))+1
from ins_premium_det i),'12475','12475','02', '11000003','00','Request by Mr. Omair Ali 25-Sep-2024 allocation no 24Sep240082 ');</v>
      </c>
      <c r="H156" s="84" t="str">
        <f t="shared" si="10"/>
        <v>insert into ins_premium_det (premium_rcv_code,assorted_code, rec_amount,premium_rcv_detail_code,remaining_amt, payrec, mode_code,coinsurance_code,class_cd,it_remarks) values('24Sep240082','040000178045','12475',(select max(to_number(i.premium_rcv_detail_code))+1
from ins_premium_det i),'12475','12475','02', '11000003','00','Request by Mr. Omair Ali 25-Sep-2024 allocation no 24Sep240082 ');</v>
      </c>
    </row>
    <row r="157" spans="1:8" ht="105" x14ac:dyDescent="0.25">
      <c r="A157" t="s">
        <v>269</v>
      </c>
      <c r="B157" s="80" t="str">
        <f>VLOOKUP(A157,[1]Sheet1!$B:$C,2,0)</f>
        <v>040000178046</v>
      </c>
      <c r="C157" s="46">
        <v>13675</v>
      </c>
      <c r="D157" s="81">
        <f t="shared" si="11"/>
        <v>13675</v>
      </c>
      <c r="E157" s="79" t="s">
        <v>2492</v>
      </c>
      <c r="F157" s="82" t="str">
        <f t="shared" si="8"/>
        <v>insert into ins_premium_det (premium_rcv_code,assorted_code, rec_amount,premium_rcv_detail_code,remaining_amt, payrec, mode_code,coinsurance_code,class_cd,it_remarks) values</v>
      </c>
      <c r="G157" s="83" t="str">
        <f t="shared" si="9"/>
        <v>('24Sep240082','040000178046','13675',(select max(to_number(i.premium_rcv_detail_code))+1
from ins_premium_det i),'13675','13675','02', '11000003','00','Request by Mr. Omair Ali 25-Sep-2024 allocation no 24Sep240082 ');</v>
      </c>
      <c r="H157" s="84" t="str">
        <f t="shared" si="10"/>
        <v>insert into ins_premium_det (premium_rcv_code,assorted_code, rec_amount,premium_rcv_detail_code,remaining_amt, payrec, mode_code,coinsurance_code,class_cd,it_remarks) values('24Sep240082','040000178046','13675',(select max(to_number(i.premium_rcv_detail_code))+1
from ins_premium_det i),'13675','13675','02', '11000003','00','Request by Mr. Omair Ali 25-Sep-2024 allocation no 24Sep240082 ');</v>
      </c>
    </row>
    <row r="158" spans="1:8" ht="105" x14ac:dyDescent="0.25">
      <c r="A158" t="s">
        <v>270</v>
      </c>
      <c r="B158" s="80" t="str">
        <f>VLOOKUP(A158,[1]Sheet1!$B:$C,2,0)</f>
        <v>040000178047</v>
      </c>
      <c r="C158" s="46">
        <v>12320</v>
      </c>
      <c r="D158" s="81">
        <f t="shared" si="11"/>
        <v>12320</v>
      </c>
      <c r="E158" s="79" t="s">
        <v>2492</v>
      </c>
      <c r="F158" s="82" t="str">
        <f t="shared" si="8"/>
        <v>insert into ins_premium_det (premium_rcv_code,assorted_code, rec_amount,premium_rcv_detail_code,remaining_amt, payrec, mode_code,coinsurance_code,class_cd,it_remarks) values</v>
      </c>
      <c r="G158" s="83" t="str">
        <f t="shared" si="9"/>
        <v>('24Sep240082','040000178047','12320',(select max(to_number(i.premium_rcv_detail_code))+1
from ins_premium_det i),'12320','12320','02', '11000003','00','Request by Mr. Omair Ali 25-Sep-2024 allocation no 24Sep240082 ');</v>
      </c>
      <c r="H158" s="84" t="str">
        <f t="shared" si="10"/>
        <v>insert into ins_premium_det (premium_rcv_code,assorted_code, rec_amount,premium_rcv_detail_code,remaining_amt, payrec, mode_code,coinsurance_code,class_cd,it_remarks) values('24Sep240082','040000178047','12320',(select max(to_number(i.premium_rcv_detail_code))+1
from ins_premium_det i),'12320','12320','02', '11000003','00','Request by Mr. Omair Ali 25-Sep-2024 allocation no 24Sep240082 ');</v>
      </c>
    </row>
    <row r="159" spans="1:8" ht="105" x14ac:dyDescent="0.25">
      <c r="A159" t="s">
        <v>271</v>
      </c>
      <c r="B159" s="80" t="str">
        <f>VLOOKUP(A159,[1]Sheet1!$B:$C,2,0)</f>
        <v>040000178048</v>
      </c>
      <c r="C159" s="46">
        <v>12320</v>
      </c>
      <c r="D159" s="81">
        <f t="shared" si="11"/>
        <v>12320</v>
      </c>
      <c r="E159" s="79" t="s">
        <v>2492</v>
      </c>
      <c r="F159" s="82" t="str">
        <f t="shared" si="8"/>
        <v>insert into ins_premium_det (premium_rcv_code,assorted_code, rec_amount,premium_rcv_detail_code,remaining_amt, payrec, mode_code,coinsurance_code,class_cd,it_remarks) values</v>
      </c>
      <c r="G159" s="83" t="str">
        <f t="shared" si="9"/>
        <v>('24Sep240082','040000178048','12320',(select max(to_number(i.premium_rcv_detail_code))+1
from ins_premium_det i),'12320','12320','02', '11000003','00','Request by Mr. Omair Ali 25-Sep-2024 allocation no 24Sep240082 ');</v>
      </c>
      <c r="H159" s="84" t="str">
        <f t="shared" si="10"/>
        <v>insert into ins_premium_det (premium_rcv_code,assorted_code, rec_amount,premium_rcv_detail_code,remaining_amt, payrec, mode_code,coinsurance_code,class_cd,it_remarks) values('24Sep240082','040000178048','12320',(select max(to_number(i.premium_rcv_detail_code))+1
from ins_premium_det i),'12320','12320','02', '11000003','00','Request by Mr. Omair Ali 25-Sep-2024 allocation no 24Sep240082 ');</v>
      </c>
    </row>
    <row r="160" spans="1:8" ht="105" x14ac:dyDescent="0.25">
      <c r="A160" t="s">
        <v>272</v>
      </c>
      <c r="B160" s="80" t="str">
        <f>VLOOKUP(A160,[1]Sheet1!$B:$C,2,0)</f>
        <v>040000178049</v>
      </c>
      <c r="C160" s="46">
        <v>8800</v>
      </c>
      <c r="D160" s="81">
        <f t="shared" si="11"/>
        <v>8800</v>
      </c>
      <c r="E160" s="79" t="s">
        <v>2492</v>
      </c>
      <c r="F160" s="82" t="str">
        <f t="shared" si="8"/>
        <v>insert into ins_premium_det (premium_rcv_code,assorted_code, rec_amount,premium_rcv_detail_code,remaining_amt, payrec, mode_code,coinsurance_code,class_cd,it_remarks) values</v>
      </c>
      <c r="G160" s="83" t="str">
        <f t="shared" si="9"/>
        <v>('24Sep240082','040000178049','8800',(select max(to_number(i.premium_rcv_detail_code))+1
from ins_premium_det i),'8800','8800','02', '11000003','00','Request by Mr. Omair Ali 25-Sep-2024 allocation no 24Sep240082 ');</v>
      </c>
      <c r="H160" s="84" t="str">
        <f t="shared" si="10"/>
        <v>insert into ins_premium_det (premium_rcv_code,assorted_code, rec_amount,premium_rcv_detail_code,remaining_amt, payrec, mode_code,coinsurance_code,class_cd,it_remarks) values('24Sep240082','040000178049','8800',(select max(to_number(i.premium_rcv_detail_code))+1
from ins_premium_det i),'8800','8800','02', '11000003','00','Request by Mr. Omair Ali 25-Sep-2024 allocation no 24Sep240082 ');</v>
      </c>
    </row>
    <row r="161" spans="1:8" ht="105" x14ac:dyDescent="0.25">
      <c r="A161" t="s">
        <v>273</v>
      </c>
      <c r="B161" s="80" t="str">
        <f>VLOOKUP(A161,[1]Sheet1!$B:$C,2,0)</f>
        <v>040000178057</v>
      </c>
      <c r="C161" s="46">
        <v>12320</v>
      </c>
      <c r="D161" s="81">
        <f t="shared" si="11"/>
        <v>12320</v>
      </c>
      <c r="E161" s="79" t="s">
        <v>2492</v>
      </c>
      <c r="F161" s="82" t="str">
        <f t="shared" si="8"/>
        <v>insert into ins_premium_det (premium_rcv_code,assorted_code, rec_amount,premium_rcv_detail_code,remaining_amt, payrec, mode_code,coinsurance_code,class_cd,it_remarks) values</v>
      </c>
      <c r="G161" s="83" t="str">
        <f t="shared" si="9"/>
        <v>('24Sep240082','040000178057','12320',(select max(to_number(i.premium_rcv_detail_code))+1
from ins_premium_det i),'12320','12320','02', '11000003','00','Request by Mr. Omair Ali 25-Sep-2024 allocation no 24Sep240082 ');</v>
      </c>
      <c r="H161" s="84" t="str">
        <f t="shared" si="10"/>
        <v>insert into ins_premium_det (premium_rcv_code,assorted_code, rec_amount,premium_rcv_detail_code,remaining_amt, payrec, mode_code,coinsurance_code,class_cd,it_remarks) values('24Sep240082','040000178057','12320',(select max(to_number(i.premium_rcv_detail_code))+1
from ins_premium_det i),'12320','12320','02', '11000003','00','Request by Mr. Omair Ali 25-Sep-2024 allocation no 24Sep240082 ');</v>
      </c>
    </row>
    <row r="162" spans="1:8" ht="105" x14ac:dyDescent="0.25">
      <c r="A162" t="s">
        <v>274</v>
      </c>
      <c r="B162" s="80" t="str">
        <f>VLOOKUP(A162,[1]Sheet1!$B:$C,2,0)</f>
        <v>040000178064</v>
      </c>
      <c r="C162" s="46">
        <v>13370</v>
      </c>
      <c r="D162" s="81">
        <f t="shared" si="11"/>
        <v>13370</v>
      </c>
      <c r="E162" s="79" t="s">
        <v>2492</v>
      </c>
      <c r="F162" s="82" t="str">
        <f t="shared" si="8"/>
        <v>insert into ins_premium_det (premium_rcv_code,assorted_code, rec_amount,premium_rcv_detail_code,remaining_amt, payrec, mode_code,coinsurance_code,class_cd,it_remarks) values</v>
      </c>
      <c r="G162" s="83" t="str">
        <f t="shared" si="9"/>
        <v>('24Sep240082','040000178064','13370',(select max(to_number(i.premium_rcv_detail_code))+1
from ins_premium_det i),'13370','13370','02', '11000003','00','Request by Mr. Omair Ali 25-Sep-2024 allocation no 24Sep240082 ');</v>
      </c>
      <c r="H162" s="84" t="str">
        <f t="shared" si="10"/>
        <v>insert into ins_premium_det (premium_rcv_code,assorted_code, rec_amount,premium_rcv_detail_code,remaining_amt, payrec, mode_code,coinsurance_code,class_cd,it_remarks) values('24Sep240082','040000178064','13370',(select max(to_number(i.premium_rcv_detail_code))+1
from ins_premium_det i),'13370','13370','02', '11000003','00','Request by Mr. Omair Ali 25-Sep-2024 allocation no 24Sep240082 ');</v>
      </c>
    </row>
    <row r="163" spans="1:8" ht="105" x14ac:dyDescent="0.25">
      <c r="A163" t="s">
        <v>275</v>
      </c>
      <c r="B163" s="80" t="str">
        <f>VLOOKUP(A163,[1]Sheet1!$B:$C,2,0)</f>
        <v>040000178065</v>
      </c>
      <c r="C163" s="46">
        <v>13370</v>
      </c>
      <c r="D163" s="81">
        <f t="shared" si="11"/>
        <v>13370</v>
      </c>
      <c r="E163" s="79" t="s">
        <v>2492</v>
      </c>
      <c r="F163" s="82" t="str">
        <f t="shared" si="8"/>
        <v>insert into ins_premium_det (premium_rcv_code,assorted_code, rec_amount,premium_rcv_detail_code,remaining_amt, payrec, mode_code,coinsurance_code,class_cd,it_remarks) values</v>
      </c>
      <c r="G163" s="83" t="str">
        <f t="shared" si="9"/>
        <v>('24Sep240082','040000178065','13370',(select max(to_number(i.premium_rcv_detail_code))+1
from ins_premium_det i),'13370','13370','02', '11000003','00','Request by Mr. Omair Ali 25-Sep-2024 allocation no 24Sep240082 ');</v>
      </c>
      <c r="H163" s="84" t="str">
        <f t="shared" si="10"/>
        <v>insert into ins_premium_det (premium_rcv_code,assorted_code, rec_amount,premium_rcv_detail_code,remaining_amt, payrec, mode_code,coinsurance_code,class_cd,it_remarks) values('24Sep240082','040000178065','13370',(select max(to_number(i.premium_rcv_detail_code))+1
from ins_premium_det i),'13370','13370','02', '11000003','00','Request by Mr. Omair Ali 25-Sep-2024 allocation no 24Sep240082 ');</v>
      </c>
    </row>
    <row r="164" spans="1:8" ht="105" x14ac:dyDescent="0.25">
      <c r="A164" t="s">
        <v>276</v>
      </c>
      <c r="B164" s="80" t="str">
        <f>VLOOKUP(A164,[1]Sheet1!$B:$C,2,0)</f>
        <v>040000178068</v>
      </c>
      <c r="C164" s="46">
        <v>8800</v>
      </c>
      <c r="D164" s="81">
        <f t="shared" si="11"/>
        <v>8800</v>
      </c>
      <c r="E164" s="79" t="s">
        <v>2492</v>
      </c>
      <c r="F164" s="82" t="str">
        <f t="shared" si="8"/>
        <v>insert into ins_premium_det (premium_rcv_code,assorted_code, rec_amount,premium_rcv_detail_code,remaining_amt, payrec, mode_code,coinsurance_code,class_cd,it_remarks) values</v>
      </c>
      <c r="G164" s="83" t="str">
        <f t="shared" si="9"/>
        <v>('24Sep240082','040000178068','8800',(select max(to_number(i.premium_rcv_detail_code))+1
from ins_premium_det i),'8800','8800','02', '11000003','00','Request by Mr. Omair Ali 25-Sep-2024 allocation no 24Sep240082 ');</v>
      </c>
      <c r="H164" s="84" t="str">
        <f t="shared" si="10"/>
        <v>insert into ins_premium_det (premium_rcv_code,assorted_code, rec_amount,premium_rcv_detail_code,remaining_amt, payrec, mode_code,coinsurance_code,class_cd,it_remarks) values('24Sep240082','040000178068','8800',(select max(to_number(i.premium_rcv_detail_code))+1
from ins_premium_det i),'8800','8800','02', '11000003','00','Request by Mr. Omair Ali 25-Sep-2024 allocation no 24Sep240082 ');</v>
      </c>
    </row>
    <row r="165" spans="1:8" ht="105" x14ac:dyDescent="0.25">
      <c r="A165" t="s">
        <v>277</v>
      </c>
      <c r="B165" s="80" t="str">
        <f>VLOOKUP(A165,[1]Sheet1!$B:$C,2,0)</f>
        <v>040000178070</v>
      </c>
      <c r="C165" s="46">
        <v>12475</v>
      </c>
      <c r="D165" s="81">
        <f t="shared" si="11"/>
        <v>12475</v>
      </c>
      <c r="E165" s="79" t="s">
        <v>2492</v>
      </c>
      <c r="F165" s="82" t="str">
        <f t="shared" si="8"/>
        <v>insert into ins_premium_det (premium_rcv_code,assorted_code, rec_amount,premium_rcv_detail_code,remaining_amt, payrec, mode_code,coinsurance_code,class_cd,it_remarks) values</v>
      </c>
      <c r="G165" s="83" t="str">
        <f t="shared" si="9"/>
        <v>('24Sep240082','040000178070','12475',(select max(to_number(i.premium_rcv_detail_code))+1
from ins_premium_det i),'12475','12475','02', '11000003','00','Request by Mr. Omair Ali 25-Sep-2024 allocation no 24Sep240082 ');</v>
      </c>
      <c r="H165" s="84" t="str">
        <f t="shared" si="10"/>
        <v>insert into ins_premium_det (premium_rcv_code,assorted_code, rec_amount,premium_rcv_detail_code,remaining_amt, payrec, mode_code,coinsurance_code,class_cd,it_remarks) values('24Sep240082','040000178070','12475',(select max(to_number(i.premium_rcv_detail_code))+1
from ins_premium_det i),'12475','12475','02', '11000003','00','Request by Mr. Omair Ali 25-Sep-2024 allocation no 24Sep240082 ');</v>
      </c>
    </row>
    <row r="166" spans="1:8" ht="105" x14ac:dyDescent="0.25">
      <c r="A166" t="s">
        <v>278</v>
      </c>
      <c r="B166" s="80" t="str">
        <f>VLOOKUP(A166,[1]Sheet1!$B:$C,2,0)</f>
        <v>040000178071</v>
      </c>
      <c r="C166" s="46">
        <v>12320</v>
      </c>
      <c r="D166" s="81">
        <f t="shared" si="11"/>
        <v>12320</v>
      </c>
      <c r="E166" s="79" t="s">
        <v>2492</v>
      </c>
      <c r="F166" s="82" t="str">
        <f t="shared" si="8"/>
        <v>insert into ins_premium_det (premium_rcv_code,assorted_code, rec_amount,premium_rcv_detail_code,remaining_amt, payrec, mode_code,coinsurance_code,class_cd,it_remarks) values</v>
      </c>
      <c r="G166" s="83" t="str">
        <f t="shared" si="9"/>
        <v>('24Sep240082','040000178071','12320',(select max(to_number(i.premium_rcv_detail_code))+1
from ins_premium_det i),'12320','12320','02', '11000003','00','Request by Mr. Omair Ali 25-Sep-2024 allocation no 24Sep240082 ');</v>
      </c>
      <c r="H166" s="84" t="str">
        <f t="shared" si="10"/>
        <v>insert into ins_premium_det (premium_rcv_code,assorted_code, rec_amount,premium_rcv_detail_code,remaining_amt, payrec, mode_code,coinsurance_code,class_cd,it_remarks) values('24Sep240082','040000178071','12320',(select max(to_number(i.premium_rcv_detail_code))+1
from ins_premium_det i),'12320','12320','02', '11000003','00','Request by Mr. Omair Ali 25-Sep-2024 allocation no 24Sep240082 ');</v>
      </c>
    </row>
    <row r="167" spans="1:8" ht="105" x14ac:dyDescent="0.25">
      <c r="A167" t="s">
        <v>279</v>
      </c>
      <c r="B167" s="80" t="str">
        <f>VLOOKUP(A167,[1]Sheet1!$B:$C,2,0)</f>
        <v>040000178072</v>
      </c>
      <c r="C167" s="46">
        <v>12320</v>
      </c>
      <c r="D167" s="81">
        <f t="shared" si="11"/>
        <v>12320</v>
      </c>
      <c r="E167" s="79" t="s">
        <v>2492</v>
      </c>
      <c r="F167" s="82" t="str">
        <f t="shared" si="8"/>
        <v>insert into ins_premium_det (premium_rcv_code,assorted_code, rec_amount,premium_rcv_detail_code,remaining_amt, payrec, mode_code,coinsurance_code,class_cd,it_remarks) values</v>
      </c>
      <c r="G167" s="83" t="str">
        <f t="shared" si="9"/>
        <v>('24Sep240082','040000178072','12320',(select max(to_number(i.premium_rcv_detail_code))+1
from ins_premium_det i),'12320','12320','02', '11000003','00','Request by Mr. Omair Ali 25-Sep-2024 allocation no 24Sep240082 ');</v>
      </c>
      <c r="H167" s="84" t="str">
        <f t="shared" si="10"/>
        <v>insert into ins_premium_det (premium_rcv_code,assorted_code, rec_amount,premium_rcv_detail_code,remaining_amt, payrec, mode_code,coinsurance_code,class_cd,it_remarks) values('24Sep240082','040000178072','12320',(select max(to_number(i.premium_rcv_detail_code))+1
from ins_premium_det i),'12320','12320','02', '11000003','00','Request by Mr. Omair Ali 25-Sep-2024 allocation no 24Sep240082 ');</v>
      </c>
    </row>
    <row r="168" spans="1:8" ht="105" x14ac:dyDescent="0.25">
      <c r="A168" t="s">
        <v>280</v>
      </c>
      <c r="B168" s="80" t="str">
        <f>VLOOKUP(A168,[1]Sheet1!$B:$C,2,0)</f>
        <v>040000178073</v>
      </c>
      <c r="C168" s="46">
        <v>12475</v>
      </c>
      <c r="D168" s="81">
        <f t="shared" si="11"/>
        <v>12475</v>
      </c>
      <c r="E168" s="79" t="s">
        <v>2492</v>
      </c>
      <c r="F168" s="82" t="str">
        <f t="shared" si="8"/>
        <v>insert into ins_premium_det (premium_rcv_code,assorted_code, rec_amount,premium_rcv_detail_code,remaining_amt, payrec, mode_code,coinsurance_code,class_cd,it_remarks) values</v>
      </c>
      <c r="G168" s="83" t="str">
        <f t="shared" si="9"/>
        <v>('24Sep240082','040000178073','12475',(select max(to_number(i.premium_rcv_detail_code))+1
from ins_premium_det i),'12475','12475','02', '11000003','00','Request by Mr. Omair Ali 25-Sep-2024 allocation no 24Sep240082 ');</v>
      </c>
      <c r="H168" s="84" t="str">
        <f t="shared" si="10"/>
        <v>insert into ins_premium_det (premium_rcv_code,assorted_code, rec_amount,premium_rcv_detail_code,remaining_amt, payrec, mode_code,coinsurance_code,class_cd,it_remarks) values('24Sep240082','040000178073','12475',(select max(to_number(i.premium_rcv_detail_code))+1
from ins_premium_det i),'12475','12475','02', '11000003','00','Request by Mr. Omair Ali 25-Sep-2024 allocation no 24Sep240082 ');</v>
      </c>
    </row>
    <row r="169" spans="1:8" ht="105" x14ac:dyDescent="0.25">
      <c r="A169" t="s">
        <v>281</v>
      </c>
      <c r="B169" s="80" t="str">
        <f>VLOOKUP(A169,[1]Sheet1!$B:$C,2,0)</f>
        <v>040000178074</v>
      </c>
      <c r="C169" s="46">
        <v>8800</v>
      </c>
      <c r="D169" s="81">
        <f t="shared" si="11"/>
        <v>8800</v>
      </c>
      <c r="E169" s="79" t="s">
        <v>2492</v>
      </c>
      <c r="F169" s="82" t="str">
        <f t="shared" si="8"/>
        <v>insert into ins_premium_det (premium_rcv_code,assorted_code, rec_amount,premium_rcv_detail_code,remaining_amt, payrec, mode_code,coinsurance_code,class_cd,it_remarks) values</v>
      </c>
      <c r="G169" s="83" t="str">
        <f t="shared" si="9"/>
        <v>('24Sep240082','040000178074','8800',(select max(to_number(i.premium_rcv_detail_code))+1
from ins_premium_det i),'8800','8800','02', '11000003','00','Request by Mr. Omair Ali 25-Sep-2024 allocation no 24Sep240082 ');</v>
      </c>
      <c r="H169" s="84" t="str">
        <f t="shared" si="10"/>
        <v>insert into ins_premium_det (premium_rcv_code,assorted_code, rec_amount,premium_rcv_detail_code,remaining_amt, payrec, mode_code,coinsurance_code,class_cd,it_remarks) values('24Sep240082','040000178074','8800',(select max(to_number(i.premium_rcv_detail_code))+1
from ins_premium_det i),'8800','8800','02', '11000003','00','Request by Mr. Omair Ali 25-Sep-2024 allocation no 24Sep240082 ');</v>
      </c>
    </row>
    <row r="170" spans="1:8" ht="105" x14ac:dyDescent="0.25">
      <c r="A170" t="s">
        <v>282</v>
      </c>
      <c r="B170" s="80" t="str">
        <f>VLOOKUP(A170,[1]Sheet1!$B:$C,2,0)</f>
        <v>040000178075</v>
      </c>
      <c r="C170" s="46">
        <v>12475</v>
      </c>
      <c r="D170" s="81">
        <f t="shared" si="11"/>
        <v>12475</v>
      </c>
      <c r="E170" s="79" t="s">
        <v>2492</v>
      </c>
      <c r="F170" s="82" t="str">
        <f t="shared" si="8"/>
        <v>insert into ins_premium_det (premium_rcv_code,assorted_code, rec_amount,premium_rcv_detail_code,remaining_amt, payrec, mode_code,coinsurance_code,class_cd,it_remarks) values</v>
      </c>
      <c r="G170" s="83" t="str">
        <f t="shared" si="9"/>
        <v>('24Sep240082','040000178075','12475',(select max(to_number(i.premium_rcv_detail_code))+1
from ins_premium_det i),'12475','12475','02', '11000003','00','Request by Mr. Omair Ali 25-Sep-2024 allocation no 24Sep240082 ');</v>
      </c>
      <c r="H170" s="84" t="str">
        <f t="shared" si="10"/>
        <v>insert into ins_premium_det (premium_rcv_code,assorted_code, rec_amount,premium_rcv_detail_code,remaining_amt, payrec, mode_code,coinsurance_code,class_cd,it_remarks) values('24Sep240082','040000178075','12475',(select max(to_number(i.premium_rcv_detail_code))+1
from ins_premium_det i),'12475','12475','02', '11000003','00','Request by Mr. Omair Ali 25-Sep-2024 allocation no 24Sep240082 ');</v>
      </c>
    </row>
    <row r="171" spans="1:8" ht="105" x14ac:dyDescent="0.25">
      <c r="A171" t="s">
        <v>283</v>
      </c>
      <c r="B171" s="80" t="str">
        <f>VLOOKUP(A171,[1]Sheet1!$B:$C,2,0)</f>
        <v>040000178077</v>
      </c>
      <c r="C171" s="46">
        <v>13370</v>
      </c>
      <c r="D171" s="81">
        <f t="shared" si="11"/>
        <v>13370</v>
      </c>
      <c r="E171" s="79" t="s">
        <v>2492</v>
      </c>
      <c r="F171" s="82" t="str">
        <f t="shared" si="8"/>
        <v>insert into ins_premium_det (premium_rcv_code,assorted_code, rec_amount,premium_rcv_detail_code,remaining_amt, payrec, mode_code,coinsurance_code,class_cd,it_remarks) values</v>
      </c>
      <c r="G171" s="83" t="str">
        <f t="shared" si="9"/>
        <v>('24Sep240082','040000178077','13370',(select max(to_number(i.premium_rcv_detail_code))+1
from ins_premium_det i),'13370','13370','02', '11000003','00','Request by Mr. Omair Ali 25-Sep-2024 allocation no 24Sep240082 ');</v>
      </c>
      <c r="H171" s="84" t="str">
        <f t="shared" si="10"/>
        <v>insert into ins_premium_det (premium_rcv_code,assorted_code, rec_amount,premium_rcv_detail_code,remaining_amt, payrec, mode_code,coinsurance_code,class_cd,it_remarks) values('24Sep240082','040000178077','13370',(select max(to_number(i.premium_rcv_detail_code))+1
from ins_premium_det i),'13370','13370','02', '11000003','00','Request by Mr. Omair Ali 25-Sep-2024 allocation no 24Sep240082 ');</v>
      </c>
    </row>
    <row r="172" spans="1:8" ht="105" x14ac:dyDescent="0.25">
      <c r="A172" t="s">
        <v>284</v>
      </c>
      <c r="B172" s="80" t="str">
        <f>VLOOKUP(A172,[1]Sheet1!$B:$C,2,0)</f>
        <v>040000178078</v>
      </c>
      <c r="C172" s="46">
        <v>13370</v>
      </c>
      <c r="D172" s="81">
        <f t="shared" si="11"/>
        <v>13370</v>
      </c>
      <c r="E172" s="79" t="s">
        <v>2492</v>
      </c>
      <c r="F172" s="82" t="str">
        <f t="shared" si="8"/>
        <v>insert into ins_premium_det (premium_rcv_code,assorted_code, rec_amount,premium_rcv_detail_code,remaining_amt, payrec, mode_code,coinsurance_code,class_cd,it_remarks) values</v>
      </c>
      <c r="G172" s="83" t="str">
        <f t="shared" si="9"/>
        <v>('24Sep240082','040000178078','13370',(select max(to_number(i.premium_rcv_detail_code))+1
from ins_premium_det i),'13370','13370','02', '11000003','00','Request by Mr. Omair Ali 25-Sep-2024 allocation no 24Sep240082 ');</v>
      </c>
      <c r="H172" s="84" t="str">
        <f t="shared" si="10"/>
        <v>insert into ins_premium_det (premium_rcv_code,assorted_code, rec_amount,premium_rcv_detail_code,remaining_amt, payrec, mode_code,coinsurance_code,class_cd,it_remarks) values('24Sep240082','040000178078','13370',(select max(to_number(i.premium_rcv_detail_code))+1
from ins_premium_det i),'13370','13370','02', '11000003','00','Request by Mr. Omair Ali 25-Sep-2024 allocation no 24Sep240082 ');</v>
      </c>
    </row>
    <row r="173" spans="1:8" ht="105" x14ac:dyDescent="0.25">
      <c r="A173" t="s">
        <v>285</v>
      </c>
      <c r="B173" s="80" t="str">
        <f>VLOOKUP(A173,[1]Sheet1!$B:$C,2,0)</f>
        <v>040000178084</v>
      </c>
      <c r="C173" s="46">
        <v>8800</v>
      </c>
      <c r="D173" s="81">
        <f t="shared" si="11"/>
        <v>8800</v>
      </c>
      <c r="E173" s="79" t="s">
        <v>2492</v>
      </c>
      <c r="F173" s="82" t="str">
        <f t="shared" si="8"/>
        <v>insert into ins_premium_det (premium_rcv_code,assorted_code, rec_amount,premium_rcv_detail_code,remaining_amt, payrec, mode_code,coinsurance_code,class_cd,it_remarks) values</v>
      </c>
      <c r="G173" s="83" t="str">
        <f t="shared" si="9"/>
        <v>('24Sep240082','040000178084','8800',(select max(to_number(i.premium_rcv_detail_code))+1
from ins_premium_det i),'8800','8800','02', '11000003','00','Request by Mr. Omair Ali 25-Sep-2024 allocation no 24Sep240082 ');</v>
      </c>
      <c r="H173" s="84" t="str">
        <f t="shared" si="10"/>
        <v>insert into ins_premium_det (premium_rcv_code,assorted_code, rec_amount,premium_rcv_detail_code,remaining_amt, payrec, mode_code,coinsurance_code,class_cd,it_remarks) values('24Sep240082','040000178084','8800',(select max(to_number(i.premium_rcv_detail_code))+1
from ins_premium_det i),'8800','8800','02', '11000003','00','Request by Mr. Omair Ali 25-Sep-2024 allocation no 24Sep240082 ');</v>
      </c>
    </row>
    <row r="174" spans="1:8" ht="105" x14ac:dyDescent="0.25">
      <c r="A174" t="s">
        <v>286</v>
      </c>
      <c r="B174" s="80" t="str">
        <f>VLOOKUP(A174,[1]Sheet1!$B:$C,2,0)</f>
        <v>040000178085</v>
      </c>
      <c r="C174" s="46">
        <v>8800</v>
      </c>
      <c r="D174" s="81">
        <f t="shared" si="11"/>
        <v>8800</v>
      </c>
      <c r="E174" s="79" t="s">
        <v>2492</v>
      </c>
      <c r="F174" s="82" t="str">
        <f t="shared" si="8"/>
        <v>insert into ins_premium_det (premium_rcv_code,assorted_code, rec_amount,premium_rcv_detail_code,remaining_amt, payrec, mode_code,coinsurance_code,class_cd,it_remarks) values</v>
      </c>
      <c r="G174" s="83" t="str">
        <f t="shared" si="9"/>
        <v>('24Sep240082','040000178085','8800',(select max(to_number(i.premium_rcv_detail_code))+1
from ins_premium_det i),'8800','8800','02', '11000003','00','Request by Mr. Omair Ali 25-Sep-2024 allocation no 24Sep240082 ');</v>
      </c>
      <c r="H174" s="84" t="str">
        <f t="shared" si="10"/>
        <v>insert into ins_premium_det (premium_rcv_code,assorted_code, rec_amount,premium_rcv_detail_code,remaining_amt, payrec, mode_code,coinsurance_code,class_cd,it_remarks) values('24Sep240082','040000178085','8800',(select max(to_number(i.premium_rcv_detail_code))+1
from ins_premium_det i),'8800','8800','02', '11000003','00','Request by Mr. Omair Ali 25-Sep-2024 allocation no 24Sep240082 ');</v>
      </c>
    </row>
    <row r="175" spans="1:8" ht="105" x14ac:dyDescent="0.25">
      <c r="A175" t="s">
        <v>287</v>
      </c>
      <c r="B175" s="80" t="str">
        <f>VLOOKUP(A175,[1]Sheet1!$B:$C,2,0)</f>
        <v>040000178086</v>
      </c>
      <c r="C175" s="46">
        <v>8800</v>
      </c>
      <c r="D175" s="81">
        <f t="shared" si="11"/>
        <v>8800</v>
      </c>
      <c r="E175" s="79" t="s">
        <v>2492</v>
      </c>
      <c r="F175" s="82" t="str">
        <f t="shared" si="8"/>
        <v>insert into ins_premium_det (premium_rcv_code,assorted_code, rec_amount,premium_rcv_detail_code,remaining_amt, payrec, mode_code,coinsurance_code,class_cd,it_remarks) values</v>
      </c>
      <c r="G175" s="83" t="str">
        <f t="shared" si="9"/>
        <v>('24Sep240082','040000178086','8800',(select max(to_number(i.premium_rcv_detail_code))+1
from ins_premium_det i),'8800','8800','02', '11000003','00','Request by Mr. Omair Ali 25-Sep-2024 allocation no 24Sep240082 ');</v>
      </c>
      <c r="H175" s="84" t="str">
        <f t="shared" si="10"/>
        <v>insert into ins_premium_det (premium_rcv_code,assorted_code, rec_amount,premium_rcv_detail_code,remaining_amt, payrec, mode_code,coinsurance_code,class_cd,it_remarks) values('24Sep240082','040000178086','8800',(select max(to_number(i.premium_rcv_detail_code))+1
from ins_premium_det i),'8800','8800','02', '11000003','00','Request by Mr. Omair Ali 25-Sep-2024 allocation no 24Sep240082 ');</v>
      </c>
    </row>
    <row r="176" spans="1:8" ht="105" x14ac:dyDescent="0.25">
      <c r="A176" t="s">
        <v>288</v>
      </c>
      <c r="B176" s="80" t="str">
        <f>VLOOKUP(A176,[1]Sheet1!$B:$C,2,0)</f>
        <v>040000178087</v>
      </c>
      <c r="C176" s="46">
        <v>8800</v>
      </c>
      <c r="D176" s="81">
        <f t="shared" si="11"/>
        <v>8800</v>
      </c>
      <c r="E176" s="79" t="s">
        <v>2492</v>
      </c>
      <c r="F176" s="82" t="str">
        <f t="shared" si="8"/>
        <v>insert into ins_premium_det (premium_rcv_code,assorted_code, rec_amount,premium_rcv_detail_code,remaining_amt, payrec, mode_code,coinsurance_code,class_cd,it_remarks) values</v>
      </c>
      <c r="G176" s="83" t="str">
        <f t="shared" si="9"/>
        <v>('24Sep240082','040000178087','8800',(select max(to_number(i.premium_rcv_detail_code))+1
from ins_premium_det i),'8800','8800','02', '11000003','00','Request by Mr. Omair Ali 25-Sep-2024 allocation no 24Sep240082 ');</v>
      </c>
      <c r="H176" s="84" t="str">
        <f t="shared" si="10"/>
        <v>insert into ins_premium_det (premium_rcv_code,assorted_code, rec_amount,premium_rcv_detail_code,remaining_amt, payrec, mode_code,coinsurance_code,class_cd,it_remarks) values('24Sep240082','040000178087','8800',(select max(to_number(i.premium_rcv_detail_code))+1
from ins_premium_det i),'8800','8800','02', '11000003','00','Request by Mr. Omair Ali 25-Sep-2024 allocation no 24Sep240082 ');</v>
      </c>
    </row>
    <row r="177" spans="1:8" ht="105" x14ac:dyDescent="0.25">
      <c r="A177" t="s">
        <v>289</v>
      </c>
      <c r="B177" s="80" t="str">
        <f>VLOOKUP(A177,[1]Sheet1!$B:$C,2,0)</f>
        <v>040000178088</v>
      </c>
      <c r="C177" s="46">
        <v>8800</v>
      </c>
      <c r="D177" s="81">
        <f t="shared" si="11"/>
        <v>8800</v>
      </c>
      <c r="E177" s="79" t="s">
        <v>2492</v>
      </c>
      <c r="F177" s="82" t="str">
        <f t="shared" si="8"/>
        <v>insert into ins_premium_det (premium_rcv_code,assorted_code, rec_amount,premium_rcv_detail_code,remaining_amt, payrec, mode_code,coinsurance_code,class_cd,it_remarks) values</v>
      </c>
      <c r="G177" s="83" t="str">
        <f t="shared" si="9"/>
        <v>('24Sep240082','040000178088','8800',(select max(to_number(i.premium_rcv_detail_code))+1
from ins_premium_det i),'8800','8800','02', '11000003','00','Request by Mr. Omair Ali 25-Sep-2024 allocation no 24Sep240082 ');</v>
      </c>
      <c r="H177" s="84" t="str">
        <f t="shared" si="10"/>
        <v>insert into ins_premium_det (premium_rcv_code,assorted_code, rec_amount,premium_rcv_detail_code,remaining_amt, payrec, mode_code,coinsurance_code,class_cd,it_remarks) values('24Sep240082','040000178088','8800',(select max(to_number(i.premium_rcv_detail_code))+1
from ins_premium_det i),'8800','8800','02', '11000003','00','Request by Mr. Omair Ali 25-Sep-2024 allocation no 24Sep240082 ');</v>
      </c>
    </row>
    <row r="178" spans="1:8" ht="105" x14ac:dyDescent="0.25">
      <c r="A178" t="s">
        <v>290</v>
      </c>
      <c r="B178" s="80" t="str">
        <f>VLOOKUP(A178,[1]Sheet1!$B:$C,2,0)</f>
        <v>040000178089</v>
      </c>
      <c r="C178" s="46">
        <v>12320</v>
      </c>
      <c r="D178" s="81">
        <f t="shared" si="11"/>
        <v>12320</v>
      </c>
      <c r="E178" s="79" t="s">
        <v>2492</v>
      </c>
      <c r="F178" s="82" t="str">
        <f t="shared" si="8"/>
        <v>insert into ins_premium_det (premium_rcv_code,assorted_code, rec_amount,premium_rcv_detail_code,remaining_amt, payrec, mode_code,coinsurance_code,class_cd,it_remarks) values</v>
      </c>
      <c r="G178" s="83" t="str">
        <f t="shared" si="9"/>
        <v>('24Sep240082','040000178089','12320',(select max(to_number(i.premium_rcv_detail_code))+1
from ins_premium_det i),'12320','12320','02', '11000003','00','Request by Mr. Omair Ali 25-Sep-2024 allocation no 24Sep240082 ');</v>
      </c>
      <c r="H178" s="84" t="str">
        <f t="shared" si="10"/>
        <v>insert into ins_premium_det (premium_rcv_code,assorted_code, rec_amount,premium_rcv_detail_code,remaining_amt, payrec, mode_code,coinsurance_code,class_cd,it_remarks) values('24Sep240082','040000178089','12320',(select max(to_number(i.premium_rcv_detail_code))+1
from ins_premium_det i),'12320','12320','02', '11000003','00','Request by Mr. Omair Ali 25-Sep-2024 allocation no 24Sep240082 ');</v>
      </c>
    </row>
    <row r="179" spans="1:8" ht="105" x14ac:dyDescent="0.25">
      <c r="A179" t="s">
        <v>291</v>
      </c>
      <c r="B179" s="80" t="str">
        <f>VLOOKUP(A179,[1]Sheet1!$B:$C,2,0)</f>
        <v>040000178090</v>
      </c>
      <c r="C179" s="46">
        <v>13370</v>
      </c>
      <c r="D179" s="81">
        <f t="shared" si="11"/>
        <v>13370</v>
      </c>
      <c r="E179" s="79" t="s">
        <v>2492</v>
      </c>
      <c r="F179" s="82" t="str">
        <f t="shared" si="8"/>
        <v>insert into ins_premium_det (premium_rcv_code,assorted_code, rec_amount,premium_rcv_detail_code,remaining_amt, payrec, mode_code,coinsurance_code,class_cd,it_remarks) values</v>
      </c>
      <c r="G179" s="83" t="str">
        <f t="shared" si="9"/>
        <v>('24Sep240082','040000178090','13370',(select max(to_number(i.premium_rcv_detail_code))+1
from ins_premium_det i),'13370','13370','02', '11000003','00','Request by Mr. Omair Ali 25-Sep-2024 allocation no 24Sep240082 ');</v>
      </c>
      <c r="H179" s="84" t="str">
        <f t="shared" si="10"/>
        <v>insert into ins_premium_det (premium_rcv_code,assorted_code, rec_amount,premium_rcv_detail_code,remaining_amt, payrec, mode_code,coinsurance_code,class_cd,it_remarks) values('24Sep240082','040000178090','13370',(select max(to_number(i.premium_rcv_detail_code))+1
from ins_premium_det i),'13370','13370','02', '11000003','00','Request by Mr. Omair Ali 25-Sep-2024 allocation no 24Sep240082 ');</v>
      </c>
    </row>
    <row r="180" spans="1:8" ht="105" x14ac:dyDescent="0.25">
      <c r="A180" t="s">
        <v>292</v>
      </c>
      <c r="B180" s="80" t="str">
        <f>VLOOKUP(A180,[1]Sheet1!$B:$C,2,0)</f>
        <v>040000178091</v>
      </c>
      <c r="C180" s="46">
        <v>13370</v>
      </c>
      <c r="D180" s="81">
        <f t="shared" si="11"/>
        <v>13370</v>
      </c>
      <c r="E180" s="79" t="s">
        <v>2492</v>
      </c>
      <c r="F180" s="82" t="str">
        <f t="shared" si="8"/>
        <v>insert into ins_premium_det (premium_rcv_code,assorted_code, rec_amount,premium_rcv_detail_code,remaining_amt, payrec, mode_code,coinsurance_code,class_cd,it_remarks) values</v>
      </c>
      <c r="G180" s="83" t="str">
        <f t="shared" si="9"/>
        <v>('24Sep240082','040000178091','13370',(select max(to_number(i.premium_rcv_detail_code))+1
from ins_premium_det i),'13370','13370','02', '11000003','00','Request by Mr. Omair Ali 25-Sep-2024 allocation no 24Sep240082 ');</v>
      </c>
      <c r="H180" s="84" t="str">
        <f t="shared" si="10"/>
        <v>insert into ins_premium_det (premium_rcv_code,assorted_code, rec_amount,premium_rcv_detail_code,remaining_amt, payrec, mode_code,coinsurance_code,class_cd,it_remarks) values('24Sep240082','040000178091','13370',(select max(to_number(i.premium_rcv_detail_code))+1
from ins_premium_det i),'13370','13370','02', '11000003','00','Request by Mr. Omair Ali 25-Sep-2024 allocation no 24Sep240082 ');</v>
      </c>
    </row>
    <row r="181" spans="1:8" ht="105" x14ac:dyDescent="0.25">
      <c r="A181" t="s">
        <v>293</v>
      </c>
      <c r="B181" s="80" t="str">
        <f>VLOOKUP(A181,[1]Sheet1!$B:$C,2,0)</f>
        <v>040000178092</v>
      </c>
      <c r="C181" s="46">
        <v>12475</v>
      </c>
      <c r="D181" s="81">
        <f t="shared" si="11"/>
        <v>12475</v>
      </c>
      <c r="E181" s="79" t="s">
        <v>2492</v>
      </c>
      <c r="F181" s="82" t="str">
        <f t="shared" si="8"/>
        <v>insert into ins_premium_det (premium_rcv_code,assorted_code, rec_amount,premium_rcv_detail_code,remaining_amt, payrec, mode_code,coinsurance_code,class_cd,it_remarks) values</v>
      </c>
      <c r="G181" s="83" t="str">
        <f t="shared" si="9"/>
        <v>('24Sep240082','040000178092','12475',(select max(to_number(i.premium_rcv_detail_code))+1
from ins_premium_det i),'12475','12475','02', '11000003','00','Request by Mr. Omair Ali 25-Sep-2024 allocation no 24Sep240082 ');</v>
      </c>
      <c r="H181" s="84" t="str">
        <f t="shared" si="10"/>
        <v>insert into ins_premium_det (premium_rcv_code,assorted_code, rec_amount,premium_rcv_detail_code,remaining_amt, payrec, mode_code,coinsurance_code,class_cd,it_remarks) values('24Sep240082','040000178092','12475',(select max(to_number(i.premium_rcv_detail_code))+1
from ins_premium_det i),'12475','12475','02', '11000003','00','Request by Mr. Omair Ali 25-Sep-2024 allocation no 24Sep240082 ');</v>
      </c>
    </row>
    <row r="182" spans="1:8" ht="105" x14ac:dyDescent="0.25">
      <c r="A182" t="s">
        <v>294</v>
      </c>
      <c r="B182" s="80" t="str">
        <f>VLOOKUP(A182,[1]Sheet1!$B:$C,2,0)</f>
        <v>040000178093</v>
      </c>
      <c r="C182" s="46">
        <v>8800</v>
      </c>
      <c r="D182" s="81">
        <f t="shared" si="11"/>
        <v>8800</v>
      </c>
      <c r="E182" s="79" t="s">
        <v>2492</v>
      </c>
      <c r="F182" s="82" t="str">
        <f t="shared" si="8"/>
        <v>insert into ins_premium_det (premium_rcv_code,assorted_code, rec_amount,premium_rcv_detail_code,remaining_amt, payrec, mode_code,coinsurance_code,class_cd,it_remarks) values</v>
      </c>
      <c r="G182" s="83" t="str">
        <f t="shared" si="9"/>
        <v>('24Sep240082','040000178093','8800',(select max(to_number(i.premium_rcv_detail_code))+1
from ins_premium_det i),'8800','8800','02', '11000003','00','Request by Mr. Omair Ali 25-Sep-2024 allocation no 24Sep240082 ');</v>
      </c>
      <c r="H182" s="84" t="str">
        <f t="shared" si="10"/>
        <v>insert into ins_premium_det (premium_rcv_code,assorted_code, rec_amount,premium_rcv_detail_code,remaining_amt, payrec, mode_code,coinsurance_code,class_cd,it_remarks) values('24Sep240082','040000178093','8800',(select max(to_number(i.premium_rcv_detail_code))+1
from ins_premium_det i),'8800','8800','02', '11000003','00','Request by Mr. Omair Ali 25-Sep-2024 allocation no 24Sep240082 ');</v>
      </c>
    </row>
    <row r="183" spans="1:8" ht="105" x14ac:dyDescent="0.25">
      <c r="A183" t="s">
        <v>295</v>
      </c>
      <c r="B183" s="80" t="str">
        <f>VLOOKUP(A183,[1]Sheet1!$B:$C,2,0)</f>
        <v>040000178094</v>
      </c>
      <c r="C183" s="46">
        <v>8800</v>
      </c>
      <c r="D183" s="81">
        <f t="shared" si="11"/>
        <v>8800</v>
      </c>
      <c r="E183" s="79" t="s">
        <v>2492</v>
      </c>
      <c r="F183" s="82" t="str">
        <f t="shared" si="8"/>
        <v>insert into ins_premium_det (premium_rcv_code,assorted_code, rec_amount,premium_rcv_detail_code,remaining_amt, payrec, mode_code,coinsurance_code,class_cd,it_remarks) values</v>
      </c>
      <c r="G183" s="83" t="str">
        <f t="shared" si="9"/>
        <v>('24Sep240082','040000178094','8800',(select max(to_number(i.premium_rcv_detail_code))+1
from ins_premium_det i),'8800','8800','02', '11000003','00','Request by Mr. Omair Ali 25-Sep-2024 allocation no 24Sep240082 ');</v>
      </c>
      <c r="H183" s="84" t="str">
        <f t="shared" si="10"/>
        <v>insert into ins_premium_det (premium_rcv_code,assorted_code, rec_amount,premium_rcv_detail_code,remaining_amt, payrec, mode_code,coinsurance_code,class_cd,it_remarks) values('24Sep240082','040000178094','8800',(select max(to_number(i.premium_rcv_detail_code))+1
from ins_premium_det i),'8800','8800','02', '11000003','00','Request by Mr. Omair Ali 25-Sep-2024 allocation no 24Sep240082 ');</v>
      </c>
    </row>
    <row r="184" spans="1:8" ht="105" x14ac:dyDescent="0.25">
      <c r="A184" t="s">
        <v>296</v>
      </c>
      <c r="B184" s="80" t="str">
        <f>VLOOKUP(A184,[1]Sheet1!$B:$C,2,0)</f>
        <v>040000178095</v>
      </c>
      <c r="C184" s="46">
        <v>8800</v>
      </c>
      <c r="D184" s="81">
        <f t="shared" si="11"/>
        <v>8800</v>
      </c>
      <c r="E184" s="79" t="s">
        <v>2492</v>
      </c>
      <c r="F184" s="82" t="str">
        <f t="shared" si="8"/>
        <v>insert into ins_premium_det (premium_rcv_code,assorted_code, rec_amount,premium_rcv_detail_code,remaining_amt, payrec, mode_code,coinsurance_code,class_cd,it_remarks) values</v>
      </c>
      <c r="G184" s="83" t="str">
        <f t="shared" si="9"/>
        <v>('24Sep240082','040000178095','8800',(select max(to_number(i.premium_rcv_detail_code))+1
from ins_premium_det i),'8800','8800','02', '11000003','00','Request by Mr. Omair Ali 25-Sep-2024 allocation no 24Sep240082 ');</v>
      </c>
      <c r="H184" s="84" t="str">
        <f t="shared" si="10"/>
        <v>insert into ins_premium_det (premium_rcv_code,assorted_code, rec_amount,premium_rcv_detail_code,remaining_amt, payrec, mode_code,coinsurance_code,class_cd,it_remarks) values('24Sep240082','040000178095','8800',(select max(to_number(i.premium_rcv_detail_code))+1
from ins_premium_det i),'8800','8800','02', '11000003','00','Request by Mr. Omair Ali 25-Sep-2024 allocation no 24Sep240082 ');</v>
      </c>
    </row>
    <row r="185" spans="1:8" ht="105" x14ac:dyDescent="0.25">
      <c r="A185" t="s">
        <v>297</v>
      </c>
      <c r="B185" s="80" t="str">
        <f>VLOOKUP(A185,[1]Sheet1!$B:$C,2,0)</f>
        <v>040000178096</v>
      </c>
      <c r="C185" s="46">
        <v>12475</v>
      </c>
      <c r="D185" s="81">
        <f t="shared" si="11"/>
        <v>12475</v>
      </c>
      <c r="E185" s="79" t="s">
        <v>2492</v>
      </c>
      <c r="F185" s="82" t="str">
        <f t="shared" si="8"/>
        <v>insert into ins_premium_det (premium_rcv_code,assorted_code, rec_amount,premium_rcv_detail_code,remaining_amt, payrec, mode_code,coinsurance_code,class_cd,it_remarks) values</v>
      </c>
      <c r="G185" s="83" t="str">
        <f t="shared" si="9"/>
        <v>('24Sep240082','040000178096','12475',(select max(to_number(i.premium_rcv_detail_code))+1
from ins_premium_det i),'12475','12475','02', '11000003','00','Request by Mr. Omair Ali 25-Sep-2024 allocation no 24Sep240082 ');</v>
      </c>
      <c r="H185" s="84" t="str">
        <f t="shared" si="10"/>
        <v>insert into ins_premium_det (premium_rcv_code,assorted_code, rec_amount,premium_rcv_detail_code,remaining_amt, payrec, mode_code,coinsurance_code,class_cd,it_remarks) values('24Sep240082','040000178096','12475',(select max(to_number(i.premium_rcv_detail_code))+1
from ins_premium_det i),'12475','12475','02', '11000003','00','Request by Mr. Omair Ali 25-Sep-2024 allocation no 24Sep240082 ');</v>
      </c>
    </row>
    <row r="186" spans="1:8" ht="105" x14ac:dyDescent="0.25">
      <c r="A186" t="s">
        <v>298</v>
      </c>
      <c r="B186" s="80" t="str">
        <f>VLOOKUP(A186,[1]Sheet1!$B:$C,2,0)</f>
        <v>040000178097</v>
      </c>
      <c r="C186" s="46">
        <v>8800</v>
      </c>
      <c r="D186" s="81">
        <f t="shared" si="11"/>
        <v>8800</v>
      </c>
      <c r="E186" s="79" t="s">
        <v>2492</v>
      </c>
      <c r="F186" s="82" t="str">
        <f t="shared" si="8"/>
        <v>insert into ins_premium_det (premium_rcv_code,assorted_code, rec_amount,premium_rcv_detail_code,remaining_amt, payrec, mode_code,coinsurance_code,class_cd,it_remarks) values</v>
      </c>
      <c r="G186" s="83" t="str">
        <f t="shared" si="9"/>
        <v>('24Sep240082','040000178097','8800',(select max(to_number(i.premium_rcv_detail_code))+1
from ins_premium_det i),'8800','8800','02', '11000003','00','Request by Mr. Omair Ali 25-Sep-2024 allocation no 24Sep240082 ');</v>
      </c>
      <c r="H186" s="84" t="str">
        <f t="shared" si="10"/>
        <v>insert into ins_premium_det (premium_rcv_code,assorted_code, rec_amount,premium_rcv_detail_code,remaining_amt, payrec, mode_code,coinsurance_code,class_cd,it_remarks) values('24Sep240082','040000178097','8800',(select max(to_number(i.premium_rcv_detail_code))+1
from ins_premium_det i),'8800','8800','02', '11000003','00','Request by Mr. Omair Ali 25-Sep-2024 allocation no 24Sep240082 ');</v>
      </c>
    </row>
    <row r="187" spans="1:8" ht="105" x14ac:dyDescent="0.25">
      <c r="A187" t="s">
        <v>299</v>
      </c>
      <c r="B187" s="80" t="str">
        <f>VLOOKUP(A187,[1]Sheet1!$B:$C,2,0)</f>
        <v>040000178098</v>
      </c>
      <c r="C187" s="46">
        <v>8800</v>
      </c>
      <c r="D187" s="81">
        <f t="shared" si="11"/>
        <v>8800</v>
      </c>
      <c r="E187" s="79" t="s">
        <v>2492</v>
      </c>
      <c r="F187" s="82" t="str">
        <f t="shared" si="8"/>
        <v>insert into ins_premium_det (premium_rcv_code,assorted_code, rec_amount,premium_rcv_detail_code,remaining_amt, payrec, mode_code,coinsurance_code,class_cd,it_remarks) values</v>
      </c>
      <c r="G187" s="83" t="str">
        <f t="shared" si="9"/>
        <v>('24Sep240082','040000178098','8800',(select max(to_number(i.premium_rcv_detail_code))+1
from ins_premium_det i),'8800','8800','02', '11000003','00','Request by Mr. Omair Ali 25-Sep-2024 allocation no 24Sep240082 ');</v>
      </c>
      <c r="H187" s="84" t="str">
        <f t="shared" si="10"/>
        <v>insert into ins_premium_det (premium_rcv_code,assorted_code, rec_amount,premium_rcv_detail_code,remaining_amt, payrec, mode_code,coinsurance_code,class_cd,it_remarks) values('24Sep240082','040000178098','8800',(select max(to_number(i.premium_rcv_detail_code))+1
from ins_premium_det i),'8800','8800','02', '11000003','00','Request by Mr. Omair Ali 25-Sep-2024 allocation no 24Sep240082 ');</v>
      </c>
    </row>
    <row r="188" spans="1:8" ht="105" x14ac:dyDescent="0.25">
      <c r="A188" t="s">
        <v>300</v>
      </c>
      <c r="B188" s="80" t="str">
        <f>VLOOKUP(A188,[1]Sheet1!$B:$C,2,0)</f>
        <v>040000178099</v>
      </c>
      <c r="C188" s="46">
        <v>13675</v>
      </c>
      <c r="D188" s="81">
        <f t="shared" si="11"/>
        <v>13675</v>
      </c>
      <c r="E188" s="79" t="s">
        <v>2492</v>
      </c>
      <c r="F188" s="82" t="str">
        <f t="shared" si="8"/>
        <v>insert into ins_premium_det (premium_rcv_code,assorted_code, rec_amount,premium_rcv_detail_code,remaining_amt, payrec, mode_code,coinsurance_code,class_cd,it_remarks) values</v>
      </c>
      <c r="G188" s="83" t="str">
        <f t="shared" si="9"/>
        <v>('24Sep240082','040000178099','13675',(select max(to_number(i.premium_rcv_detail_code))+1
from ins_premium_det i),'13675','13675','02', '11000003','00','Request by Mr. Omair Ali 25-Sep-2024 allocation no 24Sep240082 ');</v>
      </c>
      <c r="H188" s="84" t="str">
        <f t="shared" si="10"/>
        <v>insert into ins_premium_det (premium_rcv_code,assorted_code, rec_amount,premium_rcv_detail_code,remaining_amt, payrec, mode_code,coinsurance_code,class_cd,it_remarks) values('24Sep240082','040000178099','13675',(select max(to_number(i.premium_rcv_detail_code))+1
from ins_premium_det i),'13675','13675','02', '11000003','00','Request by Mr. Omair Ali 25-Sep-2024 allocation no 24Sep240082 ');</v>
      </c>
    </row>
    <row r="189" spans="1:8" ht="105" x14ac:dyDescent="0.25">
      <c r="A189" t="s">
        <v>301</v>
      </c>
      <c r="B189" s="80" t="str">
        <f>VLOOKUP(A189,[1]Sheet1!$B:$C,2,0)</f>
        <v>040000178122</v>
      </c>
      <c r="C189" s="46">
        <v>8800</v>
      </c>
      <c r="D189" s="81">
        <f t="shared" si="11"/>
        <v>8800</v>
      </c>
      <c r="E189" s="79" t="s">
        <v>2492</v>
      </c>
      <c r="F189" s="82" t="str">
        <f t="shared" si="8"/>
        <v>insert into ins_premium_det (premium_rcv_code,assorted_code, rec_amount,premium_rcv_detail_code,remaining_amt, payrec, mode_code,coinsurance_code,class_cd,it_remarks) values</v>
      </c>
      <c r="G189" s="83" t="str">
        <f t="shared" si="9"/>
        <v>('24Sep240082','040000178122','8800',(select max(to_number(i.premium_rcv_detail_code))+1
from ins_premium_det i),'8800','8800','02', '11000003','00','Request by Mr. Omair Ali 25-Sep-2024 allocation no 24Sep240082 ');</v>
      </c>
      <c r="H189" s="84" t="str">
        <f t="shared" si="10"/>
        <v>insert into ins_premium_det (premium_rcv_code,assorted_code, rec_amount,premium_rcv_detail_code,remaining_amt, payrec, mode_code,coinsurance_code,class_cd,it_remarks) values('24Sep240082','040000178122','8800',(select max(to_number(i.premium_rcv_detail_code))+1
from ins_premium_det i),'8800','8800','02', '11000003','00','Request by Mr. Omair Ali 25-Sep-2024 allocation no 24Sep240082 ');</v>
      </c>
    </row>
    <row r="190" spans="1:8" ht="105" x14ac:dyDescent="0.25">
      <c r="A190" t="s">
        <v>302</v>
      </c>
      <c r="B190" s="80" t="str">
        <f>VLOOKUP(A190,[1]Sheet1!$B:$C,2,0)</f>
        <v>040000178124</v>
      </c>
      <c r="C190" s="46">
        <v>9550</v>
      </c>
      <c r="D190" s="81">
        <f t="shared" si="11"/>
        <v>9550</v>
      </c>
      <c r="E190" s="79" t="s">
        <v>2492</v>
      </c>
      <c r="F190" s="82" t="str">
        <f t="shared" si="8"/>
        <v>insert into ins_premium_det (premium_rcv_code,assorted_code, rec_amount,premium_rcv_detail_code,remaining_amt, payrec, mode_code,coinsurance_code,class_cd,it_remarks) values</v>
      </c>
      <c r="G190" s="83" t="str">
        <f t="shared" si="9"/>
        <v>('24Sep240082','040000178124','9550',(select max(to_number(i.premium_rcv_detail_code))+1
from ins_premium_det i),'9550','9550','02', '11000003','00','Request by Mr. Omair Ali 25-Sep-2024 allocation no 24Sep240082 ');</v>
      </c>
      <c r="H190" s="84" t="str">
        <f t="shared" si="10"/>
        <v>insert into ins_premium_det (premium_rcv_code,assorted_code, rec_amount,premium_rcv_detail_code,remaining_amt, payrec, mode_code,coinsurance_code,class_cd,it_remarks) values('24Sep240082','040000178124','9550',(select max(to_number(i.premium_rcv_detail_code))+1
from ins_premium_det i),'9550','9550','02', '11000003','00','Request by Mr. Omair Ali 25-Sep-2024 allocation no 24Sep240082 ');</v>
      </c>
    </row>
    <row r="191" spans="1:8" ht="105" x14ac:dyDescent="0.25">
      <c r="A191" t="s">
        <v>303</v>
      </c>
      <c r="B191" s="80" t="str">
        <f>VLOOKUP(A191,[1]Sheet1!$B:$C,2,0)</f>
        <v>040000178127</v>
      </c>
      <c r="C191" s="46">
        <v>8800</v>
      </c>
      <c r="D191" s="81">
        <f t="shared" si="11"/>
        <v>8800</v>
      </c>
      <c r="E191" s="79" t="s">
        <v>2492</v>
      </c>
      <c r="F191" s="82" t="str">
        <f t="shared" si="8"/>
        <v>insert into ins_premium_det (premium_rcv_code,assorted_code, rec_amount,premium_rcv_detail_code,remaining_amt, payrec, mode_code,coinsurance_code,class_cd,it_remarks) values</v>
      </c>
      <c r="G191" s="83" t="str">
        <f t="shared" si="9"/>
        <v>('24Sep240082','040000178127','8800',(select max(to_number(i.premium_rcv_detail_code))+1
from ins_premium_det i),'8800','8800','02', '11000003','00','Request by Mr. Omair Ali 25-Sep-2024 allocation no 24Sep240082 ');</v>
      </c>
      <c r="H191" s="84" t="str">
        <f t="shared" si="10"/>
        <v>insert into ins_premium_det (premium_rcv_code,assorted_code, rec_amount,premium_rcv_detail_code,remaining_amt, payrec, mode_code,coinsurance_code,class_cd,it_remarks) values('24Sep240082','040000178127','8800',(select max(to_number(i.premium_rcv_detail_code))+1
from ins_premium_det i),'8800','8800','02', '11000003','00','Request by Mr. Omair Ali 25-Sep-2024 allocation no 24Sep240082 ');</v>
      </c>
    </row>
    <row r="192" spans="1:8" ht="105" x14ac:dyDescent="0.25">
      <c r="A192" t="s">
        <v>304</v>
      </c>
      <c r="B192" s="80" t="str">
        <f>VLOOKUP(A192,[1]Sheet1!$B:$C,2,0)</f>
        <v>040000178129</v>
      </c>
      <c r="C192" s="46">
        <v>12475</v>
      </c>
      <c r="D192" s="81">
        <f t="shared" si="11"/>
        <v>12475</v>
      </c>
      <c r="E192" s="79" t="s">
        <v>2492</v>
      </c>
      <c r="F192" s="82" t="str">
        <f t="shared" si="8"/>
        <v>insert into ins_premium_det (premium_rcv_code,assorted_code, rec_amount,premium_rcv_detail_code,remaining_amt, payrec, mode_code,coinsurance_code,class_cd,it_remarks) values</v>
      </c>
      <c r="G192" s="83" t="str">
        <f t="shared" si="9"/>
        <v>('24Sep240082','040000178129','12475',(select max(to_number(i.premium_rcv_detail_code))+1
from ins_premium_det i),'12475','12475','02', '11000003','00','Request by Mr. Omair Ali 25-Sep-2024 allocation no 24Sep240082 ');</v>
      </c>
      <c r="H192" s="84" t="str">
        <f t="shared" si="10"/>
        <v>insert into ins_premium_det (premium_rcv_code,assorted_code, rec_amount,premium_rcv_detail_code,remaining_amt, payrec, mode_code,coinsurance_code,class_cd,it_remarks) values('24Sep240082','040000178129','12475',(select max(to_number(i.premium_rcv_detail_code))+1
from ins_premium_det i),'12475','12475','02', '11000003','00','Request by Mr. Omair Ali 25-Sep-2024 allocation no 24Sep240082 ');</v>
      </c>
    </row>
    <row r="193" spans="1:8" ht="105" x14ac:dyDescent="0.25">
      <c r="A193" t="s">
        <v>305</v>
      </c>
      <c r="B193" s="80" t="str">
        <f>VLOOKUP(A193,[1]Sheet1!$B:$C,2,0)</f>
        <v>040000178130</v>
      </c>
      <c r="C193" s="46">
        <v>12475</v>
      </c>
      <c r="D193" s="81">
        <f t="shared" si="11"/>
        <v>12475</v>
      </c>
      <c r="E193" s="79" t="s">
        <v>2492</v>
      </c>
      <c r="F193" s="82" t="str">
        <f t="shared" si="8"/>
        <v>insert into ins_premium_det (premium_rcv_code,assorted_code, rec_amount,premium_rcv_detail_code,remaining_amt, payrec, mode_code,coinsurance_code,class_cd,it_remarks) values</v>
      </c>
      <c r="G193" s="83" t="str">
        <f t="shared" si="9"/>
        <v>('24Sep240082','040000178130','12475',(select max(to_number(i.premium_rcv_detail_code))+1
from ins_premium_det i),'12475','12475','02', '11000003','00','Request by Mr. Omair Ali 25-Sep-2024 allocation no 24Sep240082 ');</v>
      </c>
      <c r="H193" s="84" t="str">
        <f t="shared" si="10"/>
        <v>insert into ins_premium_det (premium_rcv_code,assorted_code, rec_amount,premium_rcv_detail_code,remaining_amt, payrec, mode_code,coinsurance_code,class_cd,it_remarks) values('24Sep240082','040000178130','12475',(select max(to_number(i.premium_rcv_detail_code))+1
from ins_premium_det i),'12475','12475','02', '11000003','00','Request by Mr. Omair Ali 25-Sep-2024 allocation no 24Sep240082 ');</v>
      </c>
    </row>
    <row r="194" spans="1:8" ht="105" x14ac:dyDescent="0.25">
      <c r="A194" t="s">
        <v>306</v>
      </c>
      <c r="B194" s="80" t="str">
        <f>VLOOKUP(A194,[1]Sheet1!$B:$C,2,0)</f>
        <v>040000178131</v>
      </c>
      <c r="C194" s="46">
        <v>9550</v>
      </c>
      <c r="D194" s="81">
        <f t="shared" si="11"/>
        <v>9550</v>
      </c>
      <c r="E194" s="79" t="s">
        <v>2492</v>
      </c>
      <c r="F194" s="82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83" t="str">
        <f t="shared" si="9"/>
        <v>('24Sep240082','040000178131','9550',(select max(to_number(i.premium_rcv_detail_code))+1
from ins_premium_det i),'9550','9550','02', '11000003','00','Request by Mr. Omair Ali 25-Sep-2024 allocation no 24Sep240082 ');</v>
      </c>
      <c r="H194" s="84" t="str">
        <f t="shared" si="10"/>
        <v>insert into ins_premium_det (premium_rcv_code,assorted_code, rec_amount,premium_rcv_detail_code,remaining_amt, payrec, mode_code,coinsurance_code,class_cd,it_remarks) values('24Sep240082','040000178131','9550',(select max(to_number(i.premium_rcv_detail_code))+1
from ins_premium_det i),'9550','9550','02', '11000003','00','Request by Mr. Omair Ali 25-Sep-2024 allocation no 24Sep240082 ');</v>
      </c>
    </row>
    <row r="195" spans="1:8" ht="105" x14ac:dyDescent="0.25">
      <c r="A195" t="s">
        <v>307</v>
      </c>
      <c r="B195" s="80" t="str">
        <f>VLOOKUP(A195,[1]Sheet1!$B:$C,2,0)</f>
        <v>040000178133</v>
      </c>
      <c r="C195" s="46">
        <v>8800</v>
      </c>
      <c r="D195" s="81">
        <f t="shared" si="11"/>
        <v>8800</v>
      </c>
      <c r="E195" s="79" t="s">
        <v>2492</v>
      </c>
      <c r="F195" s="82" t="str">
        <f t="shared" si="12"/>
        <v>insert into ins_premium_det (premium_rcv_code,assorted_code, rec_amount,premium_rcv_detail_code,remaining_amt, payrec, mode_code,coinsurance_code,class_cd,it_remarks) values</v>
      </c>
      <c r="G195" s="83" t="str">
        <f t="shared" ref="G195:G258" si="13">"('"&amp;E195&amp;"','"&amp;B195&amp;"','"&amp;D195&amp;"',(select max(to_number(i.premium_rcv_detail_code))+1
from ins_premium_det i),'"&amp;D195&amp;"','"&amp;D195&amp;"','02', '11000003','00','Request by Mr. Omair Ali 25-Sep-2024 allocation no 24Sep240082 ');"</f>
        <v>('24Sep240082','040000178133','8800',(select max(to_number(i.premium_rcv_detail_code))+1
from ins_premium_det i),'8800','8800','02', '11000003','00','Request by Mr. Omair Ali 25-Sep-2024 allocation no 24Sep240082 ');</v>
      </c>
      <c r="H195" s="84" t="str">
        <f t="shared" ref="H195:H258" si="14">F195&amp;G195</f>
        <v>insert into ins_premium_det (premium_rcv_code,assorted_code, rec_amount,premium_rcv_detail_code,remaining_amt, payrec, mode_code,coinsurance_code,class_cd,it_remarks) values('24Sep240082','040000178133','8800',(select max(to_number(i.premium_rcv_detail_code))+1
from ins_premium_det i),'8800','8800','02', '11000003','00','Request by Mr. Omair Ali 25-Sep-2024 allocation no 24Sep240082 ');</v>
      </c>
    </row>
    <row r="196" spans="1:8" ht="105" x14ac:dyDescent="0.25">
      <c r="A196" t="s">
        <v>308</v>
      </c>
      <c r="B196" s="80" t="str">
        <f>VLOOKUP(A196,[1]Sheet1!$B:$C,2,0)</f>
        <v>040000178136</v>
      </c>
      <c r="C196" s="46">
        <v>12475</v>
      </c>
      <c r="D196" s="81">
        <f t="shared" ref="D196:D259" si="15">ROUND(C196,0)</f>
        <v>12475</v>
      </c>
      <c r="E196" s="79" t="s">
        <v>2492</v>
      </c>
      <c r="F196" s="82" t="str">
        <f t="shared" si="12"/>
        <v>insert into ins_premium_det (premium_rcv_code,assorted_code, rec_amount,premium_rcv_detail_code,remaining_amt, payrec, mode_code,coinsurance_code,class_cd,it_remarks) values</v>
      </c>
      <c r="G196" s="83" t="str">
        <f t="shared" si="13"/>
        <v>('24Sep240082','040000178136','12475',(select max(to_number(i.premium_rcv_detail_code))+1
from ins_premium_det i),'12475','12475','02', '11000003','00','Request by Mr. Omair Ali 25-Sep-2024 allocation no 24Sep240082 ');</v>
      </c>
      <c r="H196" s="84" t="str">
        <f t="shared" si="14"/>
        <v>insert into ins_premium_det (premium_rcv_code,assorted_code, rec_amount,premium_rcv_detail_code,remaining_amt, payrec, mode_code,coinsurance_code,class_cd,it_remarks) values('24Sep240082','040000178136','12475',(select max(to_number(i.premium_rcv_detail_code))+1
from ins_premium_det i),'12475','12475','02', '11000003','00','Request by Mr. Omair Ali 25-Sep-2024 allocation no 24Sep240082 ');</v>
      </c>
    </row>
    <row r="197" spans="1:8" ht="105" x14ac:dyDescent="0.25">
      <c r="A197" t="s">
        <v>309</v>
      </c>
      <c r="B197" s="80" t="str">
        <f>VLOOKUP(A197,[1]Sheet1!$B:$C,2,0)</f>
        <v>040000178137</v>
      </c>
      <c r="C197" s="46">
        <v>8800</v>
      </c>
      <c r="D197" s="81">
        <f t="shared" si="15"/>
        <v>8800</v>
      </c>
      <c r="E197" s="79" t="s">
        <v>2492</v>
      </c>
      <c r="F197" s="82" t="str">
        <f t="shared" si="12"/>
        <v>insert into ins_premium_det (premium_rcv_code,assorted_code, rec_amount,premium_rcv_detail_code,remaining_amt, payrec, mode_code,coinsurance_code,class_cd,it_remarks) values</v>
      </c>
      <c r="G197" s="83" t="str">
        <f t="shared" si="13"/>
        <v>('24Sep240082','040000178137','8800',(select max(to_number(i.premium_rcv_detail_code))+1
from ins_premium_det i),'8800','8800','02', '11000003','00','Request by Mr. Omair Ali 25-Sep-2024 allocation no 24Sep240082 ');</v>
      </c>
      <c r="H197" s="84" t="str">
        <f t="shared" si="14"/>
        <v>insert into ins_premium_det (premium_rcv_code,assorted_code, rec_amount,premium_rcv_detail_code,remaining_amt, payrec, mode_code,coinsurance_code,class_cd,it_remarks) values('24Sep240082','040000178137','8800',(select max(to_number(i.premium_rcv_detail_code))+1
from ins_premium_det i),'8800','8800','02', '11000003','00','Request by Mr. Omair Ali 25-Sep-2024 allocation no 24Sep240082 ');</v>
      </c>
    </row>
    <row r="198" spans="1:8" ht="105" x14ac:dyDescent="0.25">
      <c r="A198" t="s">
        <v>310</v>
      </c>
      <c r="B198" s="80" t="str">
        <f>VLOOKUP(A198,[1]Sheet1!$B:$C,2,0)</f>
        <v>040000178138</v>
      </c>
      <c r="C198" s="46">
        <v>19145</v>
      </c>
      <c r="D198" s="81">
        <f t="shared" si="15"/>
        <v>19145</v>
      </c>
      <c r="E198" s="79" t="s">
        <v>2492</v>
      </c>
      <c r="F198" s="82" t="str">
        <f t="shared" si="12"/>
        <v>insert into ins_premium_det (premium_rcv_code,assorted_code, rec_amount,premium_rcv_detail_code,remaining_amt, payrec, mode_code,coinsurance_code,class_cd,it_remarks) values</v>
      </c>
      <c r="G198" s="83" t="str">
        <f t="shared" si="13"/>
        <v>('24Sep240082','040000178138','19145',(select max(to_number(i.premium_rcv_detail_code))+1
from ins_premium_det i),'19145','19145','02', '11000003','00','Request by Mr. Omair Ali 25-Sep-2024 allocation no 24Sep240082 ');</v>
      </c>
      <c r="H198" s="84" t="str">
        <f t="shared" si="14"/>
        <v>insert into ins_premium_det (premium_rcv_code,assorted_code, rec_amount,premium_rcv_detail_code,remaining_amt, payrec, mode_code,coinsurance_code,class_cd,it_remarks) values('24Sep240082','040000178138','19145',(select max(to_number(i.premium_rcv_detail_code))+1
from ins_premium_det i),'19145','19145','02', '11000003','00','Request by Mr. Omair Ali 25-Sep-2024 allocation no 24Sep240082 ');</v>
      </c>
    </row>
    <row r="199" spans="1:8" ht="105" x14ac:dyDescent="0.25">
      <c r="A199" t="s">
        <v>311</v>
      </c>
      <c r="B199" s="80" t="str">
        <f>VLOOKUP(A199,[1]Sheet1!$B:$C,2,0)</f>
        <v>040000178139</v>
      </c>
      <c r="C199" s="46">
        <v>8800</v>
      </c>
      <c r="D199" s="81">
        <f t="shared" si="15"/>
        <v>8800</v>
      </c>
      <c r="E199" s="79" t="s">
        <v>2492</v>
      </c>
      <c r="F199" s="82" t="str">
        <f t="shared" si="12"/>
        <v>insert into ins_premium_det (premium_rcv_code,assorted_code, rec_amount,premium_rcv_detail_code,remaining_amt, payrec, mode_code,coinsurance_code,class_cd,it_remarks) values</v>
      </c>
      <c r="G199" s="83" t="str">
        <f t="shared" si="13"/>
        <v>('24Sep240082','040000178139','8800',(select max(to_number(i.premium_rcv_detail_code))+1
from ins_premium_det i),'8800','8800','02', '11000003','00','Request by Mr. Omair Ali 25-Sep-2024 allocation no 24Sep240082 ');</v>
      </c>
      <c r="H199" s="84" t="str">
        <f t="shared" si="14"/>
        <v>insert into ins_premium_det (premium_rcv_code,assorted_code, rec_amount,premium_rcv_detail_code,remaining_amt, payrec, mode_code,coinsurance_code,class_cd,it_remarks) values('24Sep240082','040000178139','8800',(select max(to_number(i.premium_rcv_detail_code))+1
from ins_premium_det i),'8800','8800','02', '11000003','00','Request by Mr. Omair Ali 25-Sep-2024 allocation no 24Sep240082 ');</v>
      </c>
    </row>
    <row r="200" spans="1:8" ht="105" x14ac:dyDescent="0.25">
      <c r="A200" t="s">
        <v>312</v>
      </c>
      <c r="B200" s="80" t="str">
        <f>VLOOKUP(A200,[1]Sheet1!$B:$C,2,0)</f>
        <v>040000178140</v>
      </c>
      <c r="C200" s="46">
        <v>8800</v>
      </c>
      <c r="D200" s="81">
        <f t="shared" si="15"/>
        <v>8800</v>
      </c>
      <c r="E200" s="79" t="s">
        <v>2492</v>
      </c>
      <c r="F200" s="82" t="str">
        <f t="shared" si="12"/>
        <v>insert into ins_premium_det (premium_rcv_code,assorted_code, rec_amount,premium_rcv_detail_code,remaining_amt, payrec, mode_code,coinsurance_code,class_cd,it_remarks) values</v>
      </c>
      <c r="G200" s="83" t="str">
        <f t="shared" si="13"/>
        <v>('24Sep240082','040000178140','8800',(select max(to_number(i.premium_rcv_detail_code))+1
from ins_premium_det i),'8800','8800','02', '11000003','00','Request by Mr. Omair Ali 25-Sep-2024 allocation no 24Sep240082 ');</v>
      </c>
      <c r="H200" s="84" t="str">
        <f t="shared" si="14"/>
        <v>insert into ins_premium_det (premium_rcv_code,assorted_code, rec_amount,premium_rcv_detail_code,remaining_amt, payrec, mode_code,coinsurance_code,class_cd,it_remarks) values('24Sep240082','040000178140','8800',(select max(to_number(i.premium_rcv_detail_code))+1
from ins_premium_det i),'8800','8800','02', '11000003','00','Request by Mr. Omair Ali 25-Sep-2024 allocation no 24Sep240082 ');</v>
      </c>
    </row>
    <row r="201" spans="1:8" ht="105" x14ac:dyDescent="0.25">
      <c r="A201" t="s">
        <v>313</v>
      </c>
      <c r="B201" s="80" t="str">
        <f>VLOOKUP(A201,[1]Sheet1!$B:$C,2,0)</f>
        <v>040000178142</v>
      </c>
      <c r="C201" s="46">
        <v>8800</v>
      </c>
      <c r="D201" s="81">
        <f t="shared" si="15"/>
        <v>8800</v>
      </c>
      <c r="E201" s="79" t="s">
        <v>2492</v>
      </c>
      <c r="F201" s="82" t="str">
        <f t="shared" si="12"/>
        <v>insert into ins_premium_det (premium_rcv_code,assorted_code, rec_amount,premium_rcv_detail_code,remaining_amt, payrec, mode_code,coinsurance_code,class_cd,it_remarks) values</v>
      </c>
      <c r="G201" s="83" t="str">
        <f t="shared" si="13"/>
        <v>('24Sep240082','040000178142','8800',(select max(to_number(i.premium_rcv_detail_code))+1
from ins_premium_det i),'8800','8800','02', '11000003','00','Request by Mr. Omair Ali 25-Sep-2024 allocation no 24Sep240082 ');</v>
      </c>
      <c r="H201" s="84" t="str">
        <f t="shared" si="14"/>
        <v>insert into ins_premium_det (premium_rcv_code,assorted_code, rec_amount,premium_rcv_detail_code,remaining_amt, payrec, mode_code,coinsurance_code,class_cd,it_remarks) values('24Sep240082','040000178142','8800',(select max(to_number(i.premium_rcv_detail_code))+1
from ins_premium_det i),'8800','8800','02', '11000003','00','Request by Mr. Omair Ali 25-Sep-2024 allocation no 24Sep240082 ');</v>
      </c>
    </row>
    <row r="202" spans="1:8" ht="105" x14ac:dyDescent="0.25">
      <c r="A202" t="s">
        <v>314</v>
      </c>
      <c r="B202" s="80" t="str">
        <f>VLOOKUP(A202,[1]Sheet1!$B:$C,2,0)</f>
        <v>040000178143</v>
      </c>
      <c r="C202" s="46">
        <v>12475</v>
      </c>
      <c r="D202" s="81">
        <f t="shared" si="15"/>
        <v>12475</v>
      </c>
      <c r="E202" s="79" t="s">
        <v>2492</v>
      </c>
      <c r="F202" s="82" t="str">
        <f t="shared" si="12"/>
        <v>insert into ins_premium_det (premium_rcv_code,assorted_code, rec_amount,premium_rcv_detail_code,remaining_amt, payrec, mode_code,coinsurance_code,class_cd,it_remarks) values</v>
      </c>
      <c r="G202" s="83" t="str">
        <f t="shared" si="13"/>
        <v>('24Sep240082','040000178143','12475',(select max(to_number(i.premium_rcv_detail_code))+1
from ins_premium_det i),'12475','12475','02', '11000003','00','Request by Mr. Omair Ali 25-Sep-2024 allocation no 24Sep240082 ');</v>
      </c>
      <c r="H202" s="84" t="str">
        <f t="shared" si="14"/>
        <v>insert into ins_premium_det (premium_rcv_code,assorted_code, rec_amount,premium_rcv_detail_code,remaining_amt, payrec, mode_code,coinsurance_code,class_cd,it_remarks) values('24Sep240082','040000178143','12475',(select max(to_number(i.premium_rcv_detail_code))+1
from ins_premium_det i),'12475','12475','02', '11000003','00','Request by Mr. Omair Ali 25-Sep-2024 allocation no 24Sep240082 ');</v>
      </c>
    </row>
    <row r="203" spans="1:8" ht="105" x14ac:dyDescent="0.25">
      <c r="A203" t="s">
        <v>315</v>
      </c>
      <c r="B203" s="80" t="str">
        <f>VLOOKUP(A203,[1]Sheet1!$B:$C,2,0)</f>
        <v>040000178145</v>
      </c>
      <c r="C203" s="46">
        <v>12320</v>
      </c>
      <c r="D203" s="81">
        <f t="shared" si="15"/>
        <v>12320</v>
      </c>
      <c r="E203" s="79" t="s">
        <v>2492</v>
      </c>
      <c r="F203" s="82" t="str">
        <f t="shared" si="12"/>
        <v>insert into ins_premium_det (premium_rcv_code,assorted_code, rec_amount,premium_rcv_detail_code,remaining_amt, payrec, mode_code,coinsurance_code,class_cd,it_remarks) values</v>
      </c>
      <c r="G203" s="83" t="str">
        <f t="shared" si="13"/>
        <v>('24Sep240082','040000178145','12320',(select max(to_number(i.premium_rcv_detail_code))+1
from ins_premium_det i),'12320','12320','02', '11000003','00','Request by Mr. Omair Ali 25-Sep-2024 allocation no 24Sep240082 ');</v>
      </c>
      <c r="H203" s="84" t="str">
        <f t="shared" si="14"/>
        <v>insert into ins_premium_det (premium_rcv_code,assorted_code, rec_amount,premium_rcv_detail_code,remaining_amt, payrec, mode_code,coinsurance_code,class_cd,it_remarks) values('24Sep240082','040000178145','12320',(select max(to_number(i.premium_rcv_detail_code))+1
from ins_premium_det i),'12320','12320','02', '11000003','00','Request by Mr. Omair Ali 25-Sep-2024 allocation no 24Sep240082 ');</v>
      </c>
    </row>
    <row r="204" spans="1:8" ht="105" x14ac:dyDescent="0.25">
      <c r="A204" t="s">
        <v>316</v>
      </c>
      <c r="B204" s="80" t="str">
        <f>VLOOKUP(A204,[1]Sheet1!$B:$C,2,0)</f>
        <v>040000178146</v>
      </c>
      <c r="C204" s="46">
        <v>12320</v>
      </c>
      <c r="D204" s="81">
        <f t="shared" si="15"/>
        <v>12320</v>
      </c>
      <c r="E204" s="79" t="s">
        <v>2492</v>
      </c>
      <c r="F204" s="82" t="str">
        <f t="shared" si="12"/>
        <v>insert into ins_premium_det (premium_rcv_code,assorted_code, rec_amount,premium_rcv_detail_code,remaining_amt, payrec, mode_code,coinsurance_code,class_cd,it_remarks) values</v>
      </c>
      <c r="G204" s="83" t="str">
        <f t="shared" si="13"/>
        <v>('24Sep240082','040000178146','12320',(select max(to_number(i.premium_rcv_detail_code))+1
from ins_premium_det i),'12320','12320','02', '11000003','00','Request by Mr. Omair Ali 25-Sep-2024 allocation no 24Sep240082 ');</v>
      </c>
      <c r="H204" s="84" t="str">
        <f t="shared" si="14"/>
        <v>insert into ins_premium_det (premium_rcv_code,assorted_code, rec_amount,premium_rcv_detail_code,remaining_amt, payrec, mode_code,coinsurance_code,class_cd,it_remarks) values('24Sep240082','040000178146','12320',(select max(to_number(i.premium_rcv_detail_code))+1
from ins_premium_det i),'12320','12320','02', '11000003','00','Request by Mr. Omair Ali 25-Sep-2024 allocation no 24Sep240082 ');</v>
      </c>
    </row>
    <row r="205" spans="1:8" ht="105" x14ac:dyDescent="0.25">
      <c r="A205" t="s">
        <v>317</v>
      </c>
      <c r="B205" s="80" t="str">
        <f>VLOOKUP(A205,[1]Sheet1!$B:$C,2,0)</f>
        <v>040000178159</v>
      </c>
      <c r="C205" s="46">
        <v>12320</v>
      </c>
      <c r="D205" s="81">
        <f t="shared" si="15"/>
        <v>12320</v>
      </c>
      <c r="E205" s="79" t="s">
        <v>2492</v>
      </c>
      <c r="F205" s="82" t="str">
        <f t="shared" si="12"/>
        <v>insert into ins_premium_det (premium_rcv_code,assorted_code, rec_amount,premium_rcv_detail_code,remaining_amt, payrec, mode_code,coinsurance_code,class_cd,it_remarks) values</v>
      </c>
      <c r="G205" s="83" t="str">
        <f t="shared" si="13"/>
        <v>('24Sep240082','040000178159','12320',(select max(to_number(i.premium_rcv_detail_code))+1
from ins_premium_det i),'12320','12320','02', '11000003','00','Request by Mr. Omair Ali 25-Sep-2024 allocation no 24Sep240082 ');</v>
      </c>
      <c r="H205" s="84" t="str">
        <f t="shared" si="14"/>
        <v>insert into ins_premium_det (premium_rcv_code,assorted_code, rec_amount,premium_rcv_detail_code,remaining_amt, payrec, mode_code,coinsurance_code,class_cd,it_remarks) values('24Sep240082','040000178159','12320',(select max(to_number(i.premium_rcv_detail_code))+1
from ins_premium_det i),'12320','12320','02', '11000003','00','Request by Mr. Omair Ali 25-Sep-2024 allocation no 24Sep240082 ');</v>
      </c>
    </row>
    <row r="206" spans="1:8" ht="105" x14ac:dyDescent="0.25">
      <c r="A206" t="s">
        <v>318</v>
      </c>
      <c r="B206" s="80" t="str">
        <f>VLOOKUP(A206,[1]Sheet1!$B:$C,2,0)</f>
        <v>040000178160</v>
      </c>
      <c r="C206" s="46">
        <v>12320</v>
      </c>
      <c r="D206" s="81">
        <f t="shared" si="15"/>
        <v>12320</v>
      </c>
      <c r="E206" s="79" t="s">
        <v>2492</v>
      </c>
      <c r="F206" s="82" t="str">
        <f t="shared" si="12"/>
        <v>insert into ins_premium_det (premium_rcv_code,assorted_code, rec_amount,premium_rcv_detail_code,remaining_amt, payrec, mode_code,coinsurance_code,class_cd,it_remarks) values</v>
      </c>
      <c r="G206" s="83" t="str">
        <f t="shared" si="13"/>
        <v>('24Sep240082','040000178160','12320',(select max(to_number(i.premium_rcv_detail_code))+1
from ins_premium_det i),'12320','12320','02', '11000003','00','Request by Mr. Omair Ali 25-Sep-2024 allocation no 24Sep240082 ');</v>
      </c>
      <c r="H206" s="84" t="str">
        <f t="shared" si="14"/>
        <v>insert into ins_premium_det (premium_rcv_code,assorted_code, rec_amount,premium_rcv_detail_code,remaining_amt, payrec, mode_code,coinsurance_code,class_cd,it_remarks) values('24Sep240082','040000178160','12320',(select max(to_number(i.premium_rcv_detail_code))+1
from ins_premium_det i),'12320','12320','02', '11000003','00','Request by Mr. Omair Ali 25-Sep-2024 allocation no 24Sep240082 ');</v>
      </c>
    </row>
    <row r="207" spans="1:8" ht="105" x14ac:dyDescent="0.25">
      <c r="A207" t="s">
        <v>319</v>
      </c>
      <c r="B207" s="80" t="str">
        <f>VLOOKUP(A207,[1]Sheet1!$B:$C,2,0)</f>
        <v>040000178178</v>
      </c>
      <c r="C207" s="46">
        <v>12320</v>
      </c>
      <c r="D207" s="81">
        <f t="shared" si="15"/>
        <v>12320</v>
      </c>
      <c r="E207" s="79" t="s">
        <v>2492</v>
      </c>
      <c r="F207" s="82" t="str">
        <f t="shared" si="12"/>
        <v>insert into ins_premium_det (premium_rcv_code,assorted_code, rec_amount,premium_rcv_detail_code,remaining_amt, payrec, mode_code,coinsurance_code,class_cd,it_remarks) values</v>
      </c>
      <c r="G207" s="83" t="str">
        <f t="shared" si="13"/>
        <v>('24Sep240082','040000178178','12320',(select max(to_number(i.premium_rcv_detail_code))+1
from ins_premium_det i),'12320','12320','02', '11000003','00','Request by Mr. Omair Ali 25-Sep-2024 allocation no 24Sep240082 ');</v>
      </c>
      <c r="H207" s="84" t="str">
        <f t="shared" si="14"/>
        <v>insert into ins_premium_det (premium_rcv_code,assorted_code, rec_amount,premium_rcv_detail_code,remaining_amt, payrec, mode_code,coinsurance_code,class_cd,it_remarks) values('24Sep240082','040000178178','12320',(select max(to_number(i.premium_rcv_detail_code))+1
from ins_premium_det i),'12320','12320','02', '11000003','00','Request by Mr. Omair Ali 25-Sep-2024 allocation no 24Sep240082 ');</v>
      </c>
    </row>
    <row r="208" spans="1:8" ht="105" x14ac:dyDescent="0.25">
      <c r="A208" t="s">
        <v>320</v>
      </c>
      <c r="B208" s="80" t="str">
        <f>VLOOKUP(A208,[1]Sheet1!$B:$C,2,0)</f>
        <v>040000178197</v>
      </c>
      <c r="C208" s="46">
        <v>13370</v>
      </c>
      <c r="D208" s="81">
        <f t="shared" si="15"/>
        <v>13370</v>
      </c>
      <c r="E208" s="79" t="s">
        <v>2492</v>
      </c>
      <c r="F208" s="82" t="str">
        <f t="shared" si="12"/>
        <v>insert into ins_premium_det (premium_rcv_code,assorted_code, rec_amount,premium_rcv_detail_code,remaining_amt, payrec, mode_code,coinsurance_code,class_cd,it_remarks) values</v>
      </c>
      <c r="G208" s="83" t="str">
        <f t="shared" si="13"/>
        <v>('24Sep240082','040000178197','13370',(select max(to_number(i.premium_rcv_detail_code))+1
from ins_premium_det i),'13370','13370','02', '11000003','00','Request by Mr. Omair Ali 25-Sep-2024 allocation no 24Sep240082 ');</v>
      </c>
      <c r="H208" s="84" t="str">
        <f t="shared" si="14"/>
        <v>insert into ins_premium_det (premium_rcv_code,assorted_code, rec_amount,premium_rcv_detail_code,remaining_amt, payrec, mode_code,coinsurance_code,class_cd,it_remarks) values('24Sep240082','040000178197','13370',(select max(to_number(i.premium_rcv_detail_code))+1
from ins_premium_det i),'13370','13370','02', '11000003','00','Request by Mr. Omair Ali 25-Sep-2024 allocation no 24Sep240082 ');</v>
      </c>
    </row>
    <row r="209" spans="1:8" ht="105" x14ac:dyDescent="0.25">
      <c r="A209" t="s">
        <v>321</v>
      </c>
      <c r="B209" s="80" t="str">
        <f>VLOOKUP(A209,[1]Sheet1!$B:$C,2,0)</f>
        <v>040000178202</v>
      </c>
      <c r="C209" s="46">
        <v>12320</v>
      </c>
      <c r="D209" s="81">
        <f t="shared" si="15"/>
        <v>12320</v>
      </c>
      <c r="E209" s="79" t="s">
        <v>2492</v>
      </c>
      <c r="F209" s="82" t="str">
        <f t="shared" si="12"/>
        <v>insert into ins_premium_det (premium_rcv_code,assorted_code, rec_amount,premium_rcv_detail_code,remaining_amt, payrec, mode_code,coinsurance_code,class_cd,it_remarks) values</v>
      </c>
      <c r="G209" s="83" t="str">
        <f t="shared" si="13"/>
        <v>('24Sep240082','040000178202','12320',(select max(to_number(i.premium_rcv_detail_code))+1
from ins_premium_det i),'12320','12320','02', '11000003','00','Request by Mr. Omair Ali 25-Sep-2024 allocation no 24Sep240082 ');</v>
      </c>
      <c r="H209" s="84" t="str">
        <f t="shared" si="14"/>
        <v>insert into ins_premium_det (premium_rcv_code,assorted_code, rec_amount,premium_rcv_detail_code,remaining_amt, payrec, mode_code,coinsurance_code,class_cd,it_remarks) values('24Sep240082','040000178202','12320',(select max(to_number(i.premium_rcv_detail_code))+1
from ins_premium_det i),'12320','12320','02', '11000003','00','Request by Mr. Omair Ali 25-Sep-2024 allocation no 24Sep240082 ');</v>
      </c>
    </row>
    <row r="210" spans="1:8" ht="105" x14ac:dyDescent="0.25">
      <c r="A210" t="s">
        <v>322</v>
      </c>
      <c r="B210" s="80" t="str">
        <f>VLOOKUP(A210,[1]Sheet1!$B:$C,2,0)</f>
        <v>040000178210</v>
      </c>
      <c r="C210" s="46">
        <v>12320</v>
      </c>
      <c r="D210" s="81">
        <f t="shared" si="15"/>
        <v>12320</v>
      </c>
      <c r="E210" s="79" t="s">
        <v>2492</v>
      </c>
      <c r="F210" s="82" t="str">
        <f t="shared" si="12"/>
        <v>insert into ins_premium_det (premium_rcv_code,assorted_code, rec_amount,premium_rcv_detail_code,remaining_amt, payrec, mode_code,coinsurance_code,class_cd,it_remarks) values</v>
      </c>
      <c r="G210" s="83" t="str">
        <f t="shared" si="13"/>
        <v>('24Sep240082','040000178210','12320',(select max(to_number(i.premium_rcv_detail_code))+1
from ins_premium_det i),'12320','12320','02', '11000003','00','Request by Mr. Omair Ali 25-Sep-2024 allocation no 24Sep240082 ');</v>
      </c>
      <c r="H210" s="84" t="str">
        <f t="shared" si="14"/>
        <v>insert into ins_premium_det (premium_rcv_code,assorted_code, rec_amount,premium_rcv_detail_code,remaining_amt, payrec, mode_code,coinsurance_code,class_cd,it_remarks) values('24Sep240082','040000178210','12320',(select max(to_number(i.premium_rcv_detail_code))+1
from ins_premium_det i),'12320','12320','02', '11000003','00','Request by Mr. Omair Ali 25-Sep-2024 allocation no 24Sep240082 ');</v>
      </c>
    </row>
    <row r="211" spans="1:8" ht="105" x14ac:dyDescent="0.25">
      <c r="A211" t="s">
        <v>323</v>
      </c>
      <c r="B211" s="80" t="str">
        <f>VLOOKUP(A211,[1]Sheet1!$B:$C,2,0)</f>
        <v>040000178211</v>
      </c>
      <c r="C211" s="46">
        <v>9550</v>
      </c>
      <c r="D211" s="81">
        <f t="shared" si="15"/>
        <v>9550</v>
      </c>
      <c r="E211" s="79" t="s">
        <v>2492</v>
      </c>
      <c r="F211" s="82" t="str">
        <f t="shared" si="12"/>
        <v>insert into ins_premium_det (premium_rcv_code,assorted_code, rec_amount,premium_rcv_detail_code,remaining_amt, payrec, mode_code,coinsurance_code,class_cd,it_remarks) values</v>
      </c>
      <c r="G211" s="83" t="str">
        <f t="shared" si="13"/>
        <v>('24Sep240082','040000178211','9550',(select max(to_number(i.premium_rcv_detail_code))+1
from ins_premium_det i),'9550','9550','02', '11000003','00','Request by Mr. Omair Ali 25-Sep-2024 allocation no 24Sep240082 ');</v>
      </c>
      <c r="H211" s="84" t="str">
        <f t="shared" si="14"/>
        <v>insert into ins_premium_det (premium_rcv_code,assorted_code, rec_amount,premium_rcv_detail_code,remaining_amt, payrec, mode_code,coinsurance_code,class_cd,it_remarks) values('24Sep240082','040000178211','9550',(select max(to_number(i.premium_rcv_detail_code))+1
from ins_premium_det i),'9550','9550','02', '11000003','00','Request by Mr. Omair Ali 25-Sep-2024 allocation no 24Sep240082 ');</v>
      </c>
    </row>
    <row r="212" spans="1:8" ht="105" x14ac:dyDescent="0.25">
      <c r="A212" t="s">
        <v>324</v>
      </c>
      <c r="B212" s="80" t="str">
        <f>VLOOKUP(A212,[1]Sheet1!$B:$C,2,0)</f>
        <v>040000178245</v>
      </c>
      <c r="C212" s="46">
        <v>12320</v>
      </c>
      <c r="D212" s="81">
        <f t="shared" si="15"/>
        <v>12320</v>
      </c>
      <c r="E212" s="79" t="s">
        <v>2492</v>
      </c>
      <c r="F212" s="82" t="str">
        <f t="shared" si="12"/>
        <v>insert into ins_premium_det (premium_rcv_code,assorted_code, rec_amount,premium_rcv_detail_code,remaining_amt, payrec, mode_code,coinsurance_code,class_cd,it_remarks) values</v>
      </c>
      <c r="G212" s="83" t="str">
        <f t="shared" si="13"/>
        <v>('24Sep240082','040000178245','12320',(select max(to_number(i.premium_rcv_detail_code))+1
from ins_premium_det i),'12320','12320','02', '11000003','00','Request by Mr. Omair Ali 25-Sep-2024 allocation no 24Sep240082 ');</v>
      </c>
      <c r="H212" s="84" t="str">
        <f t="shared" si="14"/>
        <v>insert into ins_premium_det (premium_rcv_code,assorted_code, rec_amount,premium_rcv_detail_code,remaining_amt, payrec, mode_code,coinsurance_code,class_cd,it_remarks) values('24Sep240082','040000178245','12320',(select max(to_number(i.premium_rcv_detail_code))+1
from ins_premium_det i),'12320','12320','02', '11000003','00','Request by Mr. Omair Ali 25-Sep-2024 allocation no 24Sep240082 ');</v>
      </c>
    </row>
    <row r="213" spans="1:8" ht="105" x14ac:dyDescent="0.25">
      <c r="A213" t="s">
        <v>325</v>
      </c>
      <c r="B213" s="80" t="str">
        <f>VLOOKUP(A213,[1]Sheet1!$B:$C,2,0)</f>
        <v>040000178247</v>
      </c>
      <c r="C213" s="46">
        <v>12320</v>
      </c>
      <c r="D213" s="81">
        <f t="shared" si="15"/>
        <v>12320</v>
      </c>
      <c r="E213" s="79" t="s">
        <v>2492</v>
      </c>
      <c r="F213" s="82" t="str">
        <f t="shared" si="12"/>
        <v>insert into ins_premium_det (premium_rcv_code,assorted_code, rec_amount,premium_rcv_detail_code,remaining_amt, payrec, mode_code,coinsurance_code,class_cd,it_remarks) values</v>
      </c>
      <c r="G213" s="83" t="str">
        <f t="shared" si="13"/>
        <v>('24Sep240082','040000178247','12320',(select max(to_number(i.premium_rcv_detail_code))+1
from ins_premium_det i),'12320','12320','02', '11000003','00','Request by Mr. Omair Ali 25-Sep-2024 allocation no 24Sep240082 ');</v>
      </c>
      <c r="H213" s="84" t="str">
        <f t="shared" si="14"/>
        <v>insert into ins_premium_det (premium_rcv_code,assorted_code, rec_amount,premium_rcv_detail_code,remaining_amt, payrec, mode_code,coinsurance_code,class_cd,it_remarks) values('24Sep240082','040000178247','12320',(select max(to_number(i.premium_rcv_detail_code))+1
from ins_premium_det i),'12320','12320','02', '11000003','00','Request by Mr. Omair Ali 25-Sep-2024 allocation no 24Sep240082 ');</v>
      </c>
    </row>
    <row r="214" spans="1:8" ht="105" x14ac:dyDescent="0.25">
      <c r="A214" t="s">
        <v>326</v>
      </c>
      <c r="B214" s="80" t="str">
        <f>VLOOKUP(A214,[1]Sheet1!$B:$C,2,0)</f>
        <v>040000178248</v>
      </c>
      <c r="C214" s="46">
        <v>8800</v>
      </c>
      <c r="D214" s="81">
        <f t="shared" si="15"/>
        <v>8800</v>
      </c>
      <c r="E214" s="79" t="s">
        <v>2492</v>
      </c>
      <c r="F214" s="82" t="str">
        <f t="shared" si="12"/>
        <v>insert into ins_premium_det (premium_rcv_code,assorted_code, rec_amount,premium_rcv_detail_code,remaining_amt, payrec, mode_code,coinsurance_code,class_cd,it_remarks) values</v>
      </c>
      <c r="G214" s="83" t="str">
        <f t="shared" si="13"/>
        <v>('24Sep240082','040000178248','8800',(select max(to_number(i.premium_rcv_detail_code))+1
from ins_premium_det i),'8800','8800','02', '11000003','00','Request by Mr. Omair Ali 25-Sep-2024 allocation no 24Sep240082 ');</v>
      </c>
      <c r="H214" s="84" t="str">
        <f t="shared" si="14"/>
        <v>insert into ins_premium_det (premium_rcv_code,assorted_code, rec_amount,premium_rcv_detail_code,remaining_amt, payrec, mode_code,coinsurance_code,class_cd,it_remarks) values('24Sep240082','040000178248','8800',(select max(to_number(i.premium_rcv_detail_code))+1
from ins_premium_det i),'8800','8800','02', '11000003','00','Request by Mr. Omair Ali 25-Sep-2024 allocation no 24Sep240082 ');</v>
      </c>
    </row>
    <row r="215" spans="1:8" ht="105" x14ac:dyDescent="0.25">
      <c r="A215" t="s">
        <v>327</v>
      </c>
      <c r="B215" s="80" t="str">
        <f>VLOOKUP(A215,[1]Sheet1!$B:$C,2,0)</f>
        <v>040000178249</v>
      </c>
      <c r="C215" s="46">
        <v>12320</v>
      </c>
      <c r="D215" s="81">
        <f t="shared" si="15"/>
        <v>12320</v>
      </c>
      <c r="E215" s="79" t="s">
        <v>2492</v>
      </c>
      <c r="F215" s="82" t="str">
        <f t="shared" si="12"/>
        <v>insert into ins_premium_det (premium_rcv_code,assorted_code, rec_amount,premium_rcv_detail_code,remaining_amt, payrec, mode_code,coinsurance_code,class_cd,it_remarks) values</v>
      </c>
      <c r="G215" s="83" t="str">
        <f t="shared" si="13"/>
        <v>('24Sep240082','040000178249','12320',(select max(to_number(i.premium_rcv_detail_code))+1
from ins_premium_det i),'12320','12320','02', '11000003','00','Request by Mr. Omair Ali 25-Sep-2024 allocation no 24Sep240082 ');</v>
      </c>
      <c r="H215" s="84" t="str">
        <f t="shared" si="14"/>
        <v>insert into ins_premium_det (premium_rcv_code,assorted_code, rec_amount,premium_rcv_detail_code,remaining_amt, payrec, mode_code,coinsurance_code,class_cd,it_remarks) values('24Sep240082','040000178249','12320',(select max(to_number(i.premium_rcv_detail_code))+1
from ins_premium_det i),'12320','12320','02', '11000003','00','Request by Mr. Omair Ali 25-Sep-2024 allocation no 24Sep240082 ');</v>
      </c>
    </row>
    <row r="216" spans="1:8" ht="105" x14ac:dyDescent="0.25">
      <c r="A216" t="s">
        <v>328</v>
      </c>
      <c r="B216" s="80" t="str">
        <f>VLOOKUP(A216,[1]Sheet1!$B:$C,2,0)</f>
        <v>040000178250</v>
      </c>
      <c r="C216" s="46">
        <v>12320</v>
      </c>
      <c r="D216" s="81">
        <f t="shared" si="15"/>
        <v>12320</v>
      </c>
      <c r="E216" s="79" t="s">
        <v>2492</v>
      </c>
      <c r="F216" s="82" t="str">
        <f t="shared" si="12"/>
        <v>insert into ins_premium_det (premium_rcv_code,assorted_code, rec_amount,premium_rcv_detail_code,remaining_amt, payrec, mode_code,coinsurance_code,class_cd,it_remarks) values</v>
      </c>
      <c r="G216" s="83" t="str">
        <f t="shared" si="13"/>
        <v>('24Sep240082','040000178250','12320',(select max(to_number(i.premium_rcv_detail_code))+1
from ins_premium_det i),'12320','12320','02', '11000003','00','Request by Mr. Omair Ali 25-Sep-2024 allocation no 24Sep240082 ');</v>
      </c>
      <c r="H216" s="84" t="str">
        <f t="shared" si="14"/>
        <v>insert into ins_premium_det (premium_rcv_code,assorted_code, rec_amount,premium_rcv_detail_code,remaining_amt, payrec, mode_code,coinsurance_code,class_cd,it_remarks) values('24Sep240082','040000178250','12320',(select max(to_number(i.premium_rcv_detail_code))+1
from ins_premium_det i),'12320','12320','02', '11000003','00','Request by Mr. Omair Ali 25-Sep-2024 allocation no 24Sep240082 ');</v>
      </c>
    </row>
    <row r="217" spans="1:8" ht="105" x14ac:dyDescent="0.25">
      <c r="A217" t="s">
        <v>329</v>
      </c>
      <c r="B217" s="80" t="str">
        <f>VLOOKUP(A217,[1]Sheet1!$B:$C,2,0)</f>
        <v>040000178255</v>
      </c>
      <c r="C217" s="46">
        <v>13370</v>
      </c>
      <c r="D217" s="81">
        <f t="shared" si="15"/>
        <v>13370</v>
      </c>
      <c r="E217" s="79" t="s">
        <v>2492</v>
      </c>
      <c r="F217" s="82" t="str">
        <f t="shared" si="12"/>
        <v>insert into ins_premium_det (premium_rcv_code,assorted_code, rec_amount,premium_rcv_detail_code,remaining_amt, payrec, mode_code,coinsurance_code,class_cd,it_remarks) values</v>
      </c>
      <c r="G217" s="83" t="str">
        <f t="shared" si="13"/>
        <v>('24Sep240082','040000178255','13370',(select max(to_number(i.premium_rcv_detail_code))+1
from ins_premium_det i),'13370','13370','02', '11000003','00','Request by Mr. Omair Ali 25-Sep-2024 allocation no 24Sep240082 ');</v>
      </c>
      <c r="H217" s="84" t="str">
        <f t="shared" si="14"/>
        <v>insert into ins_premium_det (premium_rcv_code,assorted_code, rec_amount,premium_rcv_detail_code,remaining_amt, payrec, mode_code,coinsurance_code,class_cd,it_remarks) values('24Sep240082','040000178255','13370',(select max(to_number(i.premium_rcv_detail_code))+1
from ins_premium_det i),'13370','13370','02', '11000003','00','Request by Mr. Omair Ali 25-Sep-2024 allocation no 24Sep240082 ');</v>
      </c>
    </row>
    <row r="218" spans="1:8" ht="105" x14ac:dyDescent="0.25">
      <c r="A218" t="s">
        <v>330</v>
      </c>
      <c r="B218" s="80" t="str">
        <f>VLOOKUP(A218,[1]Sheet1!$B:$C,2,0)</f>
        <v>040000178256</v>
      </c>
      <c r="C218" s="46">
        <v>13370</v>
      </c>
      <c r="D218" s="81">
        <f t="shared" si="15"/>
        <v>13370</v>
      </c>
      <c r="E218" s="79" t="s">
        <v>2492</v>
      </c>
      <c r="F218" s="82" t="str">
        <f t="shared" si="12"/>
        <v>insert into ins_premium_det (premium_rcv_code,assorted_code, rec_amount,premium_rcv_detail_code,remaining_amt, payrec, mode_code,coinsurance_code,class_cd,it_remarks) values</v>
      </c>
      <c r="G218" s="83" t="str">
        <f t="shared" si="13"/>
        <v>('24Sep240082','040000178256','13370',(select max(to_number(i.premium_rcv_detail_code))+1
from ins_premium_det i),'13370','13370','02', '11000003','00','Request by Mr. Omair Ali 25-Sep-2024 allocation no 24Sep240082 ');</v>
      </c>
      <c r="H218" s="84" t="str">
        <f t="shared" si="14"/>
        <v>insert into ins_premium_det (premium_rcv_code,assorted_code, rec_amount,premium_rcv_detail_code,remaining_amt, payrec, mode_code,coinsurance_code,class_cd,it_remarks) values('24Sep240082','040000178256','13370',(select max(to_number(i.premium_rcv_detail_code))+1
from ins_premium_det i),'13370','13370','02', '11000003','00','Request by Mr. Omair Ali 25-Sep-2024 allocation no 24Sep240082 ');</v>
      </c>
    </row>
    <row r="219" spans="1:8" ht="105" x14ac:dyDescent="0.25">
      <c r="A219" t="s">
        <v>331</v>
      </c>
      <c r="B219" s="80" t="str">
        <f>VLOOKUP(A219,[1]Sheet1!$B:$C,2,0)</f>
        <v>040000178271</v>
      </c>
      <c r="C219" s="46">
        <v>9550</v>
      </c>
      <c r="D219" s="81">
        <f t="shared" si="15"/>
        <v>9550</v>
      </c>
      <c r="E219" s="79" t="s">
        <v>2492</v>
      </c>
      <c r="F219" s="82" t="str">
        <f t="shared" si="12"/>
        <v>insert into ins_premium_det (premium_rcv_code,assorted_code, rec_amount,premium_rcv_detail_code,remaining_amt, payrec, mode_code,coinsurance_code,class_cd,it_remarks) values</v>
      </c>
      <c r="G219" s="83" t="str">
        <f t="shared" si="13"/>
        <v>('24Sep240082','040000178271','9550',(select max(to_number(i.premium_rcv_detail_code))+1
from ins_premium_det i),'9550','9550','02', '11000003','00','Request by Mr. Omair Ali 25-Sep-2024 allocation no 24Sep240082 ');</v>
      </c>
      <c r="H219" s="84" t="str">
        <f t="shared" si="14"/>
        <v>insert into ins_premium_det (premium_rcv_code,assorted_code, rec_amount,premium_rcv_detail_code,remaining_amt, payrec, mode_code,coinsurance_code,class_cd,it_remarks) values('24Sep240082','040000178271','9550',(select max(to_number(i.premium_rcv_detail_code))+1
from ins_premium_det i),'9550','9550','02', '11000003','00','Request by Mr. Omair Ali 25-Sep-2024 allocation no 24Sep240082 ');</v>
      </c>
    </row>
    <row r="220" spans="1:8" ht="105" x14ac:dyDescent="0.25">
      <c r="A220" t="s">
        <v>332</v>
      </c>
      <c r="B220" s="80" t="str">
        <f>VLOOKUP(A220,[1]Sheet1!$B:$C,2,0)</f>
        <v>040000178273</v>
      </c>
      <c r="C220" s="46">
        <v>9550</v>
      </c>
      <c r="D220" s="81">
        <f t="shared" si="15"/>
        <v>9550</v>
      </c>
      <c r="E220" s="79" t="s">
        <v>2492</v>
      </c>
      <c r="F220" s="82" t="str">
        <f t="shared" si="12"/>
        <v>insert into ins_premium_det (premium_rcv_code,assorted_code, rec_amount,premium_rcv_detail_code,remaining_amt, payrec, mode_code,coinsurance_code,class_cd,it_remarks) values</v>
      </c>
      <c r="G220" s="83" t="str">
        <f t="shared" si="13"/>
        <v>('24Sep240082','040000178273','9550',(select max(to_number(i.premium_rcv_detail_code))+1
from ins_premium_det i),'9550','9550','02', '11000003','00','Request by Mr. Omair Ali 25-Sep-2024 allocation no 24Sep240082 ');</v>
      </c>
      <c r="H220" s="84" t="str">
        <f t="shared" si="14"/>
        <v>insert into ins_premium_det (premium_rcv_code,assorted_code, rec_amount,premium_rcv_detail_code,remaining_amt, payrec, mode_code,coinsurance_code,class_cd,it_remarks) values('24Sep240082','040000178273','9550',(select max(to_number(i.premium_rcv_detail_code))+1
from ins_premium_det i),'9550','9550','02', '11000003','00','Request by Mr. Omair Ali 25-Sep-2024 allocation no 24Sep240082 ');</v>
      </c>
    </row>
    <row r="221" spans="1:8" ht="105" x14ac:dyDescent="0.25">
      <c r="A221" t="s">
        <v>333</v>
      </c>
      <c r="B221" s="80" t="str">
        <f>VLOOKUP(A221,[1]Sheet1!$B:$C,2,0)</f>
        <v>040000178279</v>
      </c>
      <c r="C221" s="46">
        <v>9550</v>
      </c>
      <c r="D221" s="81">
        <f t="shared" si="15"/>
        <v>9550</v>
      </c>
      <c r="E221" s="79" t="s">
        <v>2492</v>
      </c>
      <c r="F221" s="82" t="str">
        <f t="shared" si="12"/>
        <v>insert into ins_premium_det (premium_rcv_code,assorted_code, rec_amount,premium_rcv_detail_code,remaining_amt, payrec, mode_code,coinsurance_code,class_cd,it_remarks) values</v>
      </c>
      <c r="G221" s="83" t="str">
        <f t="shared" si="13"/>
        <v>('24Sep240082','040000178279','9550',(select max(to_number(i.premium_rcv_detail_code))+1
from ins_premium_det i),'9550','9550','02', '11000003','00','Request by Mr. Omair Ali 25-Sep-2024 allocation no 24Sep240082 ');</v>
      </c>
      <c r="H221" s="84" t="str">
        <f t="shared" si="14"/>
        <v>insert into ins_premium_det (premium_rcv_code,assorted_code, rec_amount,premium_rcv_detail_code,remaining_amt, payrec, mode_code,coinsurance_code,class_cd,it_remarks) values('24Sep240082','040000178279','9550',(select max(to_number(i.premium_rcv_detail_code))+1
from ins_premium_det i),'9550','9550','02', '11000003','00','Request by Mr. Omair Ali 25-Sep-2024 allocation no 24Sep240082 ');</v>
      </c>
    </row>
    <row r="222" spans="1:8" ht="105" x14ac:dyDescent="0.25">
      <c r="A222" t="s">
        <v>334</v>
      </c>
      <c r="B222" s="80" t="str">
        <f>VLOOKUP(A222,[1]Sheet1!$B:$C,2,0)</f>
        <v>040000178281</v>
      </c>
      <c r="C222" s="46">
        <v>8800</v>
      </c>
      <c r="D222" s="81">
        <f t="shared" si="15"/>
        <v>8800</v>
      </c>
      <c r="E222" s="79" t="s">
        <v>2492</v>
      </c>
      <c r="F222" s="82" t="str">
        <f t="shared" si="12"/>
        <v>insert into ins_premium_det (premium_rcv_code,assorted_code, rec_amount,premium_rcv_detail_code,remaining_amt, payrec, mode_code,coinsurance_code,class_cd,it_remarks) values</v>
      </c>
      <c r="G222" s="83" t="str">
        <f t="shared" si="13"/>
        <v>('24Sep240082','040000178281','8800',(select max(to_number(i.premium_rcv_detail_code))+1
from ins_premium_det i),'8800','8800','02', '11000003','00','Request by Mr. Omair Ali 25-Sep-2024 allocation no 24Sep240082 ');</v>
      </c>
      <c r="H222" s="84" t="str">
        <f t="shared" si="14"/>
        <v>insert into ins_premium_det (premium_rcv_code,assorted_code, rec_amount,premium_rcv_detail_code,remaining_amt, payrec, mode_code,coinsurance_code,class_cd,it_remarks) values('24Sep240082','040000178281','8800',(select max(to_number(i.premium_rcv_detail_code))+1
from ins_premium_det i),'8800','8800','02', '11000003','00','Request by Mr. Omair Ali 25-Sep-2024 allocation no 24Sep240082 ');</v>
      </c>
    </row>
    <row r="223" spans="1:8" ht="105" x14ac:dyDescent="0.25">
      <c r="A223" t="s">
        <v>335</v>
      </c>
      <c r="B223" s="80" t="str">
        <f>VLOOKUP(A223,[1]Sheet1!$B:$C,2,0)</f>
        <v>040000178286</v>
      </c>
      <c r="C223" s="46">
        <v>8800</v>
      </c>
      <c r="D223" s="81">
        <f t="shared" si="15"/>
        <v>8800</v>
      </c>
      <c r="E223" s="79" t="s">
        <v>2492</v>
      </c>
      <c r="F223" s="82" t="str">
        <f t="shared" si="12"/>
        <v>insert into ins_premium_det (premium_rcv_code,assorted_code, rec_amount,premium_rcv_detail_code,remaining_amt, payrec, mode_code,coinsurance_code,class_cd,it_remarks) values</v>
      </c>
      <c r="G223" s="83" t="str">
        <f t="shared" si="13"/>
        <v>('24Sep240082','040000178286','8800',(select max(to_number(i.premium_rcv_detail_code))+1
from ins_premium_det i),'8800','8800','02', '11000003','00','Request by Mr. Omair Ali 25-Sep-2024 allocation no 24Sep240082 ');</v>
      </c>
      <c r="H223" s="84" t="str">
        <f t="shared" si="14"/>
        <v>insert into ins_premium_det (premium_rcv_code,assorted_code, rec_amount,premium_rcv_detail_code,remaining_amt, payrec, mode_code,coinsurance_code,class_cd,it_remarks) values('24Sep240082','040000178286','8800',(select max(to_number(i.premium_rcv_detail_code))+1
from ins_premium_det i),'8800','8800','02', '11000003','00','Request by Mr. Omair Ali 25-Sep-2024 allocation no 24Sep240082 ');</v>
      </c>
    </row>
    <row r="224" spans="1:8" ht="105" x14ac:dyDescent="0.25">
      <c r="A224" t="s">
        <v>336</v>
      </c>
      <c r="B224" s="80" t="str">
        <f>VLOOKUP(A224,[1]Sheet1!$B:$C,2,0)</f>
        <v>040000178287</v>
      </c>
      <c r="C224" s="46">
        <v>9550</v>
      </c>
      <c r="D224" s="81">
        <f t="shared" si="15"/>
        <v>9550</v>
      </c>
      <c r="E224" s="79" t="s">
        <v>2492</v>
      </c>
      <c r="F224" s="82" t="str">
        <f t="shared" si="12"/>
        <v>insert into ins_premium_det (premium_rcv_code,assorted_code, rec_amount,premium_rcv_detail_code,remaining_amt, payrec, mode_code,coinsurance_code,class_cd,it_remarks) values</v>
      </c>
      <c r="G224" s="83" t="str">
        <f t="shared" si="13"/>
        <v>('24Sep240082','040000178287','9550',(select max(to_number(i.premium_rcv_detail_code))+1
from ins_premium_det i),'9550','9550','02', '11000003','00','Request by Mr. Omair Ali 25-Sep-2024 allocation no 24Sep240082 ');</v>
      </c>
      <c r="H224" s="84" t="str">
        <f t="shared" si="14"/>
        <v>insert into ins_premium_det (premium_rcv_code,assorted_code, rec_amount,premium_rcv_detail_code,remaining_amt, payrec, mode_code,coinsurance_code,class_cd,it_remarks) values('24Sep240082','040000178287','9550',(select max(to_number(i.premium_rcv_detail_code))+1
from ins_premium_det i),'9550','9550','02', '11000003','00','Request by Mr. Omair Ali 25-Sep-2024 allocation no 24Sep240082 ');</v>
      </c>
    </row>
    <row r="225" spans="1:8" ht="105" x14ac:dyDescent="0.25">
      <c r="A225" t="s">
        <v>337</v>
      </c>
      <c r="B225" s="80" t="str">
        <f>VLOOKUP(A225,[1]Sheet1!$B:$C,2,0)</f>
        <v>040000178290</v>
      </c>
      <c r="C225" s="46">
        <v>13675</v>
      </c>
      <c r="D225" s="81">
        <f t="shared" si="15"/>
        <v>13675</v>
      </c>
      <c r="E225" s="79" t="s">
        <v>2492</v>
      </c>
      <c r="F225" s="82" t="str">
        <f t="shared" si="12"/>
        <v>insert into ins_premium_det (premium_rcv_code,assorted_code, rec_amount,premium_rcv_detail_code,remaining_amt, payrec, mode_code,coinsurance_code,class_cd,it_remarks) values</v>
      </c>
      <c r="G225" s="83" t="str">
        <f t="shared" si="13"/>
        <v>('24Sep240082','040000178290','13675',(select max(to_number(i.premium_rcv_detail_code))+1
from ins_premium_det i),'13675','13675','02', '11000003','00','Request by Mr. Omair Ali 25-Sep-2024 allocation no 24Sep240082 ');</v>
      </c>
      <c r="H225" s="84" t="str">
        <f t="shared" si="14"/>
        <v>insert into ins_premium_det (premium_rcv_code,assorted_code, rec_amount,premium_rcv_detail_code,remaining_amt, payrec, mode_code,coinsurance_code,class_cd,it_remarks) values('24Sep240082','040000178290','13675',(select max(to_number(i.premium_rcv_detail_code))+1
from ins_premium_det i),'13675','13675','02', '11000003','00','Request by Mr. Omair Ali 25-Sep-2024 allocation no 24Sep240082 ');</v>
      </c>
    </row>
    <row r="226" spans="1:8" ht="105" x14ac:dyDescent="0.25">
      <c r="A226" t="s">
        <v>338</v>
      </c>
      <c r="B226" s="80" t="str">
        <f>VLOOKUP(A226,[1]Sheet1!$B:$C,2,0)</f>
        <v>040000178292</v>
      </c>
      <c r="C226" s="46">
        <v>8800</v>
      </c>
      <c r="D226" s="81">
        <f t="shared" si="15"/>
        <v>8800</v>
      </c>
      <c r="E226" s="79" t="s">
        <v>2492</v>
      </c>
      <c r="F226" s="82" t="str">
        <f t="shared" si="12"/>
        <v>insert into ins_premium_det (premium_rcv_code,assorted_code, rec_amount,premium_rcv_detail_code,remaining_amt, payrec, mode_code,coinsurance_code,class_cd,it_remarks) values</v>
      </c>
      <c r="G226" s="83" t="str">
        <f t="shared" si="13"/>
        <v>('24Sep240082','040000178292','8800',(select max(to_number(i.premium_rcv_detail_code))+1
from ins_premium_det i),'8800','8800','02', '11000003','00','Request by Mr. Omair Ali 25-Sep-2024 allocation no 24Sep240082 ');</v>
      </c>
      <c r="H226" s="84" t="str">
        <f t="shared" si="14"/>
        <v>insert into ins_premium_det (premium_rcv_code,assorted_code, rec_amount,premium_rcv_detail_code,remaining_amt, payrec, mode_code,coinsurance_code,class_cd,it_remarks) values('24Sep240082','040000178292','8800',(select max(to_number(i.premium_rcv_detail_code))+1
from ins_premium_det i),'8800','8800','02', '11000003','00','Request by Mr. Omair Ali 25-Sep-2024 allocation no 24Sep240082 ');</v>
      </c>
    </row>
    <row r="227" spans="1:8" ht="105" x14ac:dyDescent="0.25">
      <c r="A227" t="s">
        <v>339</v>
      </c>
      <c r="B227" s="80" t="str">
        <f>VLOOKUP(A227,[1]Sheet1!$B:$C,2,0)</f>
        <v>040000178298</v>
      </c>
      <c r="C227" s="46">
        <v>8800</v>
      </c>
      <c r="D227" s="81">
        <f t="shared" si="15"/>
        <v>8800</v>
      </c>
      <c r="E227" s="79" t="s">
        <v>2492</v>
      </c>
      <c r="F227" s="82" t="str">
        <f t="shared" si="12"/>
        <v>insert into ins_premium_det (premium_rcv_code,assorted_code, rec_amount,premium_rcv_detail_code,remaining_amt, payrec, mode_code,coinsurance_code,class_cd,it_remarks) values</v>
      </c>
      <c r="G227" s="83" t="str">
        <f t="shared" si="13"/>
        <v>('24Sep240082','040000178298','8800',(select max(to_number(i.premium_rcv_detail_code))+1
from ins_premium_det i),'8800','8800','02', '11000003','00','Request by Mr. Omair Ali 25-Sep-2024 allocation no 24Sep240082 ');</v>
      </c>
      <c r="H227" s="84" t="str">
        <f t="shared" si="14"/>
        <v>insert into ins_premium_det (premium_rcv_code,assorted_code, rec_amount,premium_rcv_detail_code,remaining_amt, payrec, mode_code,coinsurance_code,class_cd,it_remarks) values('24Sep240082','040000178298','8800',(select max(to_number(i.premium_rcv_detail_code))+1
from ins_premium_det i),'8800','8800','02', '11000003','00','Request by Mr. Omair Ali 25-Sep-2024 allocation no 24Sep240082 ');</v>
      </c>
    </row>
    <row r="228" spans="1:8" ht="105" x14ac:dyDescent="0.25">
      <c r="A228" t="s">
        <v>340</v>
      </c>
      <c r="B228" s="80" t="str">
        <f>VLOOKUP(A228,[1]Sheet1!$B:$C,2,0)</f>
        <v>040000178301</v>
      </c>
      <c r="C228" s="46">
        <v>8800</v>
      </c>
      <c r="D228" s="81">
        <f t="shared" si="15"/>
        <v>8800</v>
      </c>
      <c r="E228" s="79" t="s">
        <v>2492</v>
      </c>
      <c r="F228" s="82" t="str">
        <f t="shared" si="12"/>
        <v>insert into ins_premium_det (premium_rcv_code,assorted_code, rec_amount,premium_rcv_detail_code,remaining_amt, payrec, mode_code,coinsurance_code,class_cd,it_remarks) values</v>
      </c>
      <c r="G228" s="83" t="str">
        <f t="shared" si="13"/>
        <v>('24Sep240082','040000178301','8800',(select max(to_number(i.premium_rcv_detail_code))+1
from ins_premium_det i),'8800','8800','02', '11000003','00','Request by Mr. Omair Ali 25-Sep-2024 allocation no 24Sep240082 ');</v>
      </c>
      <c r="H228" s="84" t="str">
        <f t="shared" si="14"/>
        <v>insert into ins_premium_det (premium_rcv_code,assorted_code, rec_amount,premium_rcv_detail_code,remaining_amt, payrec, mode_code,coinsurance_code,class_cd,it_remarks) values('24Sep240082','040000178301','8800',(select max(to_number(i.premium_rcv_detail_code))+1
from ins_premium_det i),'8800','8800','02', '11000003','00','Request by Mr. Omair Ali 25-Sep-2024 allocation no 24Sep240082 ');</v>
      </c>
    </row>
    <row r="229" spans="1:8" ht="105" x14ac:dyDescent="0.25">
      <c r="A229" t="s">
        <v>341</v>
      </c>
      <c r="B229" s="80" t="str">
        <f>VLOOKUP(A229,[1]Sheet1!$B:$C,2,0)</f>
        <v>040000178308</v>
      </c>
      <c r="C229" s="46">
        <v>8800</v>
      </c>
      <c r="D229" s="81">
        <f t="shared" si="15"/>
        <v>8800</v>
      </c>
      <c r="E229" s="79" t="s">
        <v>2492</v>
      </c>
      <c r="F229" s="82" t="str">
        <f t="shared" si="12"/>
        <v>insert into ins_premium_det (premium_rcv_code,assorted_code, rec_amount,premium_rcv_detail_code,remaining_amt, payrec, mode_code,coinsurance_code,class_cd,it_remarks) values</v>
      </c>
      <c r="G229" s="83" t="str">
        <f t="shared" si="13"/>
        <v>('24Sep240082','040000178308','8800',(select max(to_number(i.premium_rcv_detail_code))+1
from ins_premium_det i),'8800','8800','02', '11000003','00','Request by Mr. Omair Ali 25-Sep-2024 allocation no 24Sep240082 ');</v>
      </c>
      <c r="H229" s="84" t="str">
        <f t="shared" si="14"/>
        <v>insert into ins_premium_det (premium_rcv_code,assorted_code, rec_amount,premium_rcv_detail_code,remaining_amt, payrec, mode_code,coinsurance_code,class_cd,it_remarks) values('24Sep240082','040000178308','8800',(select max(to_number(i.premium_rcv_detail_code))+1
from ins_premium_det i),'8800','8800','02', '11000003','00','Request by Mr. Omair Ali 25-Sep-2024 allocation no 24Sep240082 ');</v>
      </c>
    </row>
    <row r="230" spans="1:8" ht="105" x14ac:dyDescent="0.25">
      <c r="A230" t="s">
        <v>342</v>
      </c>
      <c r="B230" s="80" t="str">
        <f>VLOOKUP(A230,[1]Sheet1!$B:$C,2,0)</f>
        <v>040000178321</v>
      </c>
      <c r="C230" s="46">
        <v>8800</v>
      </c>
      <c r="D230" s="81">
        <f t="shared" si="15"/>
        <v>8800</v>
      </c>
      <c r="E230" s="79" t="s">
        <v>2492</v>
      </c>
      <c r="F230" s="82" t="str">
        <f t="shared" si="12"/>
        <v>insert into ins_premium_det (premium_rcv_code,assorted_code, rec_amount,premium_rcv_detail_code,remaining_amt, payrec, mode_code,coinsurance_code,class_cd,it_remarks) values</v>
      </c>
      <c r="G230" s="83" t="str">
        <f t="shared" si="13"/>
        <v>('24Sep240082','040000178321','8800',(select max(to_number(i.premium_rcv_detail_code))+1
from ins_premium_det i),'8800','8800','02', '11000003','00','Request by Mr. Omair Ali 25-Sep-2024 allocation no 24Sep240082 ');</v>
      </c>
      <c r="H230" s="84" t="str">
        <f t="shared" si="14"/>
        <v>insert into ins_premium_det (premium_rcv_code,assorted_code, rec_amount,premium_rcv_detail_code,remaining_amt, payrec, mode_code,coinsurance_code,class_cd,it_remarks) values('24Sep240082','040000178321','8800',(select max(to_number(i.premium_rcv_detail_code))+1
from ins_premium_det i),'8800','8800','02', '11000003','00','Request by Mr. Omair Ali 25-Sep-2024 allocation no 24Sep240082 ');</v>
      </c>
    </row>
    <row r="231" spans="1:8" ht="105" x14ac:dyDescent="0.25">
      <c r="A231" t="s">
        <v>343</v>
      </c>
      <c r="B231" s="80" t="str">
        <f>VLOOKUP(A231,[1]Sheet1!$B:$C,2,0)</f>
        <v>040000178322</v>
      </c>
      <c r="C231" s="46">
        <v>8800</v>
      </c>
      <c r="D231" s="81">
        <f t="shared" si="15"/>
        <v>8800</v>
      </c>
      <c r="E231" s="79" t="s">
        <v>2492</v>
      </c>
      <c r="F231" s="82" t="str">
        <f t="shared" si="12"/>
        <v>insert into ins_premium_det (premium_rcv_code,assorted_code, rec_amount,premium_rcv_detail_code,remaining_amt, payrec, mode_code,coinsurance_code,class_cd,it_remarks) values</v>
      </c>
      <c r="G231" s="83" t="str">
        <f t="shared" si="13"/>
        <v>('24Sep240082','040000178322','8800',(select max(to_number(i.premium_rcv_detail_code))+1
from ins_premium_det i),'8800','8800','02', '11000003','00','Request by Mr. Omair Ali 25-Sep-2024 allocation no 24Sep240082 ');</v>
      </c>
      <c r="H231" s="84" t="str">
        <f t="shared" si="14"/>
        <v>insert into ins_premium_det (premium_rcv_code,assorted_code, rec_amount,premium_rcv_detail_code,remaining_amt, payrec, mode_code,coinsurance_code,class_cd,it_remarks) values('24Sep240082','040000178322','8800',(select max(to_number(i.premium_rcv_detail_code))+1
from ins_premium_det i),'8800','8800','02', '11000003','00','Request by Mr. Omair Ali 25-Sep-2024 allocation no 24Sep240082 ');</v>
      </c>
    </row>
    <row r="232" spans="1:8" ht="105" x14ac:dyDescent="0.25">
      <c r="A232" t="s">
        <v>344</v>
      </c>
      <c r="B232" s="80" t="str">
        <f>VLOOKUP(A232,[1]Sheet1!$B:$C,2,0)</f>
        <v>040000178323</v>
      </c>
      <c r="C232" s="46">
        <v>9550</v>
      </c>
      <c r="D232" s="81">
        <f t="shared" si="15"/>
        <v>9550</v>
      </c>
      <c r="E232" s="79" t="s">
        <v>2492</v>
      </c>
      <c r="F232" s="82" t="str">
        <f t="shared" si="12"/>
        <v>insert into ins_premium_det (premium_rcv_code,assorted_code, rec_amount,premium_rcv_detail_code,remaining_amt, payrec, mode_code,coinsurance_code,class_cd,it_remarks) values</v>
      </c>
      <c r="G232" s="83" t="str">
        <f t="shared" si="13"/>
        <v>('24Sep240082','040000178323','9550',(select max(to_number(i.premium_rcv_detail_code))+1
from ins_premium_det i),'9550','9550','02', '11000003','00','Request by Mr. Omair Ali 25-Sep-2024 allocation no 24Sep240082 ');</v>
      </c>
      <c r="H232" s="84" t="str">
        <f t="shared" si="14"/>
        <v>insert into ins_premium_det (premium_rcv_code,assorted_code, rec_amount,premium_rcv_detail_code,remaining_amt, payrec, mode_code,coinsurance_code,class_cd,it_remarks) values('24Sep240082','040000178323','9550',(select max(to_number(i.premium_rcv_detail_code))+1
from ins_premium_det i),'9550','9550','02', '11000003','00','Request by Mr. Omair Ali 25-Sep-2024 allocation no 24Sep240082 ');</v>
      </c>
    </row>
    <row r="233" spans="1:8" ht="105" x14ac:dyDescent="0.25">
      <c r="A233" t="s">
        <v>345</v>
      </c>
      <c r="B233" s="80" t="str">
        <f>VLOOKUP(A233,[1]Sheet1!$B:$C,2,0)</f>
        <v>040000178325</v>
      </c>
      <c r="C233" s="46">
        <v>9550</v>
      </c>
      <c r="D233" s="81">
        <f t="shared" si="15"/>
        <v>9550</v>
      </c>
      <c r="E233" s="79" t="s">
        <v>2492</v>
      </c>
      <c r="F233" s="82" t="str">
        <f t="shared" si="12"/>
        <v>insert into ins_premium_det (premium_rcv_code,assorted_code, rec_amount,premium_rcv_detail_code,remaining_amt, payrec, mode_code,coinsurance_code,class_cd,it_remarks) values</v>
      </c>
      <c r="G233" s="83" t="str">
        <f t="shared" si="13"/>
        <v>('24Sep240082','040000178325','9550',(select max(to_number(i.premium_rcv_detail_code))+1
from ins_premium_det i),'9550','9550','02', '11000003','00','Request by Mr. Omair Ali 25-Sep-2024 allocation no 24Sep240082 ');</v>
      </c>
      <c r="H233" s="84" t="str">
        <f t="shared" si="14"/>
        <v>insert into ins_premium_det (premium_rcv_code,assorted_code, rec_amount,premium_rcv_detail_code,remaining_amt, payrec, mode_code,coinsurance_code,class_cd,it_remarks) values('24Sep240082','040000178325','9550',(select max(to_number(i.premium_rcv_detail_code))+1
from ins_premium_det i),'9550','9550','02', '11000003','00','Request by Mr. Omair Ali 25-Sep-2024 allocation no 24Sep240082 ');</v>
      </c>
    </row>
    <row r="234" spans="1:8" ht="105" x14ac:dyDescent="0.25">
      <c r="A234" t="s">
        <v>346</v>
      </c>
      <c r="B234" s="80" t="str">
        <f>VLOOKUP(A234,[1]Sheet1!$B:$C,2,0)</f>
        <v>040000178328</v>
      </c>
      <c r="C234" s="46">
        <v>8800</v>
      </c>
      <c r="D234" s="81">
        <f t="shared" si="15"/>
        <v>8800</v>
      </c>
      <c r="E234" s="79" t="s">
        <v>2492</v>
      </c>
      <c r="F234" s="82" t="str">
        <f t="shared" si="12"/>
        <v>insert into ins_premium_det (premium_rcv_code,assorted_code, rec_amount,premium_rcv_detail_code,remaining_amt, payrec, mode_code,coinsurance_code,class_cd,it_remarks) values</v>
      </c>
      <c r="G234" s="83" t="str">
        <f t="shared" si="13"/>
        <v>('24Sep240082','040000178328','8800',(select max(to_number(i.premium_rcv_detail_code))+1
from ins_premium_det i),'8800','8800','02', '11000003','00','Request by Mr. Omair Ali 25-Sep-2024 allocation no 24Sep240082 ');</v>
      </c>
      <c r="H234" s="84" t="str">
        <f t="shared" si="14"/>
        <v>insert into ins_premium_det (premium_rcv_code,assorted_code, rec_amount,premium_rcv_detail_code,remaining_amt, payrec, mode_code,coinsurance_code,class_cd,it_remarks) values('24Sep240082','040000178328','8800',(select max(to_number(i.premium_rcv_detail_code))+1
from ins_premium_det i),'8800','8800','02', '11000003','00','Request by Mr. Omair Ali 25-Sep-2024 allocation no 24Sep240082 ');</v>
      </c>
    </row>
    <row r="235" spans="1:8" ht="105" x14ac:dyDescent="0.25">
      <c r="A235" t="s">
        <v>347</v>
      </c>
      <c r="B235" s="80" t="str">
        <f>VLOOKUP(A235,[1]Sheet1!$B:$C,2,0)</f>
        <v>040000178329</v>
      </c>
      <c r="C235" s="46">
        <v>9550</v>
      </c>
      <c r="D235" s="81">
        <f t="shared" si="15"/>
        <v>9550</v>
      </c>
      <c r="E235" s="79" t="s">
        <v>2492</v>
      </c>
      <c r="F235" s="82" t="str">
        <f t="shared" si="12"/>
        <v>insert into ins_premium_det (premium_rcv_code,assorted_code, rec_amount,premium_rcv_detail_code,remaining_amt, payrec, mode_code,coinsurance_code,class_cd,it_remarks) values</v>
      </c>
      <c r="G235" s="83" t="str">
        <f t="shared" si="13"/>
        <v>('24Sep240082','040000178329','9550',(select max(to_number(i.premium_rcv_detail_code))+1
from ins_premium_det i),'9550','9550','02', '11000003','00','Request by Mr. Omair Ali 25-Sep-2024 allocation no 24Sep240082 ');</v>
      </c>
      <c r="H235" s="84" t="str">
        <f t="shared" si="14"/>
        <v>insert into ins_premium_det (premium_rcv_code,assorted_code, rec_amount,premium_rcv_detail_code,remaining_amt, payrec, mode_code,coinsurance_code,class_cd,it_remarks) values('24Sep240082','040000178329','9550',(select max(to_number(i.premium_rcv_detail_code))+1
from ins_premium_det i),'9550','9550','02', '11000003','00','Request by Mr. Omair Ali 25-Sep-2024 allocation no 24Sep240082 ');</v>
      </c>
    </row>
    <row r="236" spans="1:8" ht="105" x14ac:dyDescent="0.25">
      <c r="A236" t="s">
        <v>348</v>
      </c>
      <c r="B236" s="80" t="str">
        <f>VLOOKUP(A236,[1]Sheet1!$B:$C,2,0)</f>
        <v>040000178330</v>
      </c>
      <c r="C236" s="46">
        <v>9550</v>
      </c>
      <c r="D236" s="81">
        <f t="shared" si="15"/>
        <v>9550</v>
      </c>
      <c r="E236" s="79" t="s">
        <v>2492</v>
      </c>
      <c r="F236" s="82" t="str">
        <f t="shared" si="12"/>
        <v>insert into ins_premium_det (premium_rcv_code,assorted_code, rec_amount,premium_rcv_detail_code,remaining_amt, payrec, mode_code,coinsurance_code,class_cd,it_remarks) values</v>
      </c>
      <c r="G236" s="83" t="str">
        <f t="shared" si="13"/>
        <v>('24Sep240082','040000178330','9550',(select max(to_number(i.premium_rcv_detail_code))+1
from ins_premium_det i),'9550','9550','02', '11000003','00','Request by Mr. Omair Ali 25-Sep-2024 allocation no 24Sep240082 ');</v>
      </c>
      <c r="H236" s="84" t="str">
        <f t="shared" si="14"/>
        <v>insert into ins_premium_det (premium_rcv_code,assorted_code, rec_amount,premium_rcv_detail_code,remaining_amt, payrec, mode_code,coinsurance_code,class_cd,it_remarks) values('24Sep240082','040000178330','9550',(select max(to_number(i.premium_rcv_detail_code))+1
from ins_premium_det i),'9550','9550','02', '11000003','00','Request by Mr. Omair Ali 25-Sep-2024 allocation no 24Sep240082 ');</v>
      </c>
    </row>
    <row r="237" spans="1:8" ht="105" x14ac:dyDescent="0.25">
      <c r="A237" t="s">
        <v>349</v>
      </c>
      <c r="B237" s="80" t="str">
        <f>VLOOKUP(A237,[1]Sheet1!$B:$C,2,0)</f>
        <v>040000178347</v>
      </c>
      <c r="C237" s="46">
        <v>9550</v>
      </c>
      <c r="D237" s="81">
        <f t="shared" si="15"/>
        <v>9550</v>
      </c>
      <c r="E237" s="79" t="s">
        <v>2492</v>
      </c>
      <c r="F237" s="82" t="str">
        <f t="shared" si="12"/>
        <v>insert into ins_premium_det (premium_rcv_code,assorted_code, rec_amount,premium_rcv_detail_code,remaining_amt, payrec, mode_code,coinsurance_code,class_cd,it_remarks) values</v>
      </c>
      <c r="G237" s="83" t="str">
        <f t="shared" si="13"/>
        <v>('24Sep240082','040000178347','9550',(select max(to_number(i.premium_rcv_detail_code))+1
from ins_premium_det i),'9550','9550','02', '11000003','00','Request by Mr. Omair Ali 25-Sep-2024 allocation no 24Sep240082 ');</v>
      </c>
      <c r="H237" s="84" t="str">
        <f t="shared" si="14"/>
        <v>insert into ins_premium_det (premium_rcv_code,assorted_code, rec_amount,premium_rcv_detail_code,remaining_amt, payrec, mode_code,coinsurance_code,class_cd,it_remarks) values('24Sep240082','040000178347','9550',(select max(to_number(i.premium_rcv_detail_code))+1
from ins_premium_det i),'9550','9550','02', '11000003','00','Request by Mr. Omair Ali 25-Sep-2024 allocation no 24Sep240082 ');</v>
      </c>
    </row>
    <row r="238" spans="1:8" ht="105" x14ac:dyDescent="0.25">
      <c r="A238" t="s">
        <v>350</v>
      </c>
      <c r="B238" s="80" t="str">
        <f>VLOOKUP(A238,[1]Sheet1!$B:$C,2,0)</f>
        <v>040000178350</v>
      </c>
      <c r="C238" s="46">
        <v>9550</v>
      </c>
      <c r="D238" s="81">
        <f t="shared" si="15"/>
        <v>9550</v>
      </c>
      <c r="E238" s="79" t="s">
        <v>2492</v>
      </c>
      <c r="F238" s="82" t="str">
        <f t="shared" si="12"/>
        <v>insert into ins_premium_det (premium_rcv_code,assorted_code, rec_amount,premium_rcv_detail_code,remaining_amt, payrec, mode_code,coinsurance_code,class_cd,it_remarks) values</v>
      </c>
      <c r="G238" s="83" t="str">
        <f t="shared" si="13"/>
        <v>('24Sep240082','040000178350','9550',(select max(to_number(i.premium_rcv_detail_code))+1
from ins_premium_det i),'9550','9550','02', '11000003','00','Request by Mr. Omair Ali 25-Sep-2024 allocation no 24Sep240082 ');</v>
      </c>
      <c r="H238" s="84" t="str">
        <f t="shared" si="14"/>
        <v>insert into ins_premium_det (premium_rcv_code,assorted_code, rec_amount,premium_rcv_detail_code,remaining_amt, payrec, mode_code,coinsurance_code,class_cd,it_remarks) values('24Sep240082','040000178350','9550',(select max(to_number(i.premium_rcv_detail_code))+1
from ins_premium_det i),'9550','9550','02', '11000003','00','Request by Mr. Omair Ali 25-Sep-2024 allocation no 24Sep240082 ');</v>
      </c>
    </row>
    <row r="239" spans="1:8" ht="105" x14ac:dyDescent="0.25">
      <c r="A239" t="s">
        <v>351</v>
      </c>
      <c r="B239" s="80" t="str">
        <f>VLOOKUP(A239,[1]Sheet1!$B:$C,2,0)</f>
        <v>040000178358</v>
      </c>
      <c r="C239" s="46">
        <v>12320</v>
      </c>
      <c r="D239" s="81">
        <f t="shared" si="15"/>
        <v>12320</v>
      </c>
      <c r="E239" s="79" t="s">
        <v>2492</v>
      </c>
      <c r="F239" s="82" t="str">
        <f t="shared" si="12"/>
        <v>insert into ins_premium_det (premium_rcv_code,assorted_code, rec_amount,premium_rcv_detail_code,remaining_amt, payrec, mode_code,coinsurance_code,class_cd,it_remarks) values</v>
      </c>
      <c r="G239" s="83" t="str">
        <f t="shared" si="13"/>
        <v>('24Sep240082','040000178358','12320',(select max(to_number(i.premium_rcv_detail_code))+1
from ins_premium_det i),'12320','12320','02', '11000003','00','Request by Mr. Omair Ali 25-Sep-2024 allocation no 24Sep240082 ');</v>
      </c>
      <c r="H239" s="84" t="str">
        <f t="shared" si="14"/>
        <v>insert into ins_premium_det (premium_rcv_code,assorted_code, rec_amount,premium_rcv_detail_code,remaining_amt, payrec, mode_code,coinsurance_code,class_cd,it_remarks) values('24Sep240082','040000178358','12320',(select max(to_number(i.premium_rcv_detail_code))+1
from ins_premium_det i),'12320','12320','02', '11000003','00','Request by Mr. Omair Ali 25-Sep-2024 allocation no 24Sep240082 ');</v>
      </c>
    </row>
    <row r="240" spans="1:8" ht="105" x14ac:dyDescent="0.25">
      <c r="A240" t="s">
        <v>352</v>
      </c>
      <c r="B240" s="80" t="str">
        <f>VLOOKUP(A240,[1]Sheet1!$B:$C,2,0)</f>
        <v>040000178362</v>
      </c>
      <c r="C240" s="46">
        <v>13675</v>
      </c>
      <c r="D240" s="81">
        <f t="shared" si="15"/>
        <v>13675</v>
      </c>
      <c r="E240" s="79" t="s">
        <v>2492</v>
      </c>
      <c r="F240" s="82" t="str">
        <f t="shared" si="12"/>
        <v>insert into ins_premium_det (premium_rcv_code,assorted_code, rec_amount,premium_rcv_detail_code,remaining_amt, payrec, mode_code,coinsurance_code,class_cd,it_remarks) values</v>
      </c>
      <c r="G240" s="83" t="str">
        <f t="shared" si="13"/>
        <v>('24Sep240082','040000178362','13675',(select max(to_number(i.premium_rcv_detail_code))+1
from ins_premium_det i),'13675','13675','02', '11000003','00','Request by Mr. Omair Ali 25-Sep-2024 allocation no 24Sep240082 ');</v>
      </c>
      <c r="H240" s="84" t="str">
        <f t="shared" si="14"/>
        <v>insert into ins_premium_det (premium_rcv_code,assorted_code, rec_amount,premium_rcv_detail_code,remaining_amt, payrec, mode_code,coinsurance_code,class_cd,it_remarks) values('24Sep240082','040000178362','13675',(select max(to_number(i.premium_rcv_detail_code))+1
from ins_premium_det i),'13675','13675','02', '11000003','00','Request by Mr. Omair Ali 25-Sep-2024 allocation no 24Sep240082 ');</v>
      </c>
    </row>
    <row r="241" spans="1:8" ht="105" x14ac:dyDescent="0.25">
      <c r="A241" t="s">
        <v>353</v>
      </c>
      <c r="B241" s="80" t="str">
        <f>VLOOKUP(A241,[1]Sheet1!$B:$C,2,0)</f>
        <v>040000178368</v>
      </c>
      <c r="C241" s="46">
        <v>12475</v>
      </c>
      <c r="D241" s="81">
        <f t="shared" si="15"/>
        <v>12475</v>
      </c>
      <c r="E241" s="79" t="s">
        <v>2492</v>
      </c>
      <c r="F241" s="82" t="str">
        <f t="shared" si="12"/>
        <v>insert into ins_premium_det (premium_rcv_code,assorted_code, rec_amount,premium_rcv_detail_code,remaining_amt, payrec, mode_code,coinsurance_code,class_cd,it_remarks) values</v>
      </c>
      <c r="G241" s="83" t="str">
        <f t="shared" si="13"/>
        <v>('24Sep240082','040000178368','12475',(select max(to_number(i.premium_rcv_detail_code))+1
from ins_premium_det i),'12475','12475','02', '11000003','00','Request by Mr. Omair Ali 25-Sep-2024 allocation no 24Sep240082 ');</v>
      </c>
      <c r="H241" s="84" t="str">
        <f t="shared" si="14"/>
        <v>insert into ins_premium_det (premium_rcv_code,assorted_code, rec_amount,premium_rcv_detail_code,remaining_amt, payrec, mode_code,coinsurance_code,class_cd,it_remarks) values('24Sep240082','040000178368','12475',(select max(to_number(i.premium_rcv_detail_code))+1
from ins_premium_det i),'12475','12475','02', '11000003','00','Request by Mr. Omair Ali 25-Sep-2024 allocation no 24Sep240082 ');</v>
      </c>
    </row>
    <row r="242" spans="1:8" ht="105" x14ac:dyDescent="0.25">
      <c r="A242" t="s">
        <v>354</v>
      </c>
      <c r="B242" s="80" t="str">
        <f>VLOOKUP(A242,[1]Sheet1!$B:$C,2,0)</f>
        <v>040000178370</v>
      </c>
      <c r="C242" s="46">
        <v>13675</v>
      </c>
      <c r="D242" s="81">
        <f t="shared" si="15"/>
        <v>13675</v>
      </c>
      <c r="E242" s="79" t="s">
        <v>2492</v>
      </c>
      <c r="F242" s="82" t="str">
        <f t="shared" si="12"/>
        <v>insert into ins_premium_det (premium_rcv_code,assorted_code, rec_amount,premium_rcv_detail_code,remaining_amt, payrec, mode_code,coinsurance_code,class_cd,it_remarks) values</v>
      </c>
      <c r="G242" s="83" t="str">
        <f t="shared" si="13"/>
        <v>('24Sep240082','040000178370','13675',(select max(to_number(i.premium_rcv_detail_code))+1
from ins_premium_det i),'13675','13675','02', '11000003','00','Request by Mr. Omair Ali 25-Sep-2024 allocation no 24Sep240082 ');</v>
      </c>
      <c r="H242" s="84" t="str">
        <f t="shared" si="14"/>
        <v>insert into ins_premium_det (premium_rcv_code,assorted_code, rec_amount,premium_rcv_detail_code,remaining_amt, payrec, mode_code,coinsurance_code,class_cd,it_remarks) values('24Sep240082','040000178370','13675',(select max(to_number(i.premium_rcv_detail_code))+1
from ins_premium_det i),'13675','13675','02', '11000003','00','Request by Mr. Omair Ali 25-Sep-2024 allocation no 24Sep240082 ');</v>
      </c>
    </row>
    <row r="243" spans="1:8" ht="105" x14ac:dyDescent="0.25">
      <c r="A243" t="s">
        <v>355</v>
      </c>
      <c r="B243" s="80" t="str">
        <f>VLOOKUP(A243,[1]Sheet1!$B:$C,2,0)</f>
        <v>040000178372</v>
      </c>
      <c r="C243" s="46">
        <v>8800</v>
      </c>
      <c r="D243" s="81">
        <f t="shared" si="15"/>
        <v>8800</v>
      </c>
      <c r="E243" s="79" t="s">
        <v>2492</v>
      </c>
      <c r="F243" s="82" t="str">
        <f t="shared" si="12"/>
        <v>insert into ins_premium_det (premium_rcv_code,assorted_code, rec_amount,premium_rcv_detail_code,remaining_amt, payrec, mode_code,coinsurance_code,class_cd,it_remarks) values</v>
      </c>
      <c r="G243" s="83" t="str">
        <f t="shared" si="13"/>
        <v>('24Sep240082','040000178372','8800',(select max(to_number(i.premium_rcv_detail_code))+1
from ins_premium_det i),'8800','8800','02', '11000003','00','Request by Mr. Omair Ali 25-Sep-2024 allocation no 24Sep240082 ');</v>
      </c>
      <c r="H243" s="84" t="str">
        <f t="shared" si="14"/>
        <v>insert into ins_premium_det (premium_rcv_code,assorted_code, rec_amount,premium_rcv_detail_code,remaining_amt, payrec, mode_code,coinsurance_code,class_cd,it_remarks) values('24Sep240082','040000178372','8800',(select max(to_number(i.premium_rcv_detail_code))+1
from ins_premium_det i),'8800','8800','02', '11000003','00','Request by Mr. Omair Ali 25-Sep-2024 allocation no 24Sep240082 ');</v>
      </c>
    </row>
    <row r="244" spans="1:8" ht="105" x14ac:dyDescent="0.25">
      <c r="A244" t="s">
        <v>356</v>
      </c>
      <c r="B244" s="80" t="str">
        <f>VLOOKUP(A244,[1]Sheet1!$B:$C,2,0)</f>
        <v>040000178377</v>
      </c>
      <c r="C244" s="46">
        <v>12475</v>
      </c>
      <c r="D244" s="81">
        <f t="shared" si="15"/>
        <v>12475</v>
      </c>
      <c r="E244" s="79" t="s">
        <v>2492</v>
      </c>
      <c r="F244" s="82" t="str">
        <f t="shared" si="12"/>
        <v>insert into ins_premium_det (premium_rcv_code,assorted_code, rec_amount,premium_rcv_detail_code,remaining_amt, payrec, mode_code,coinsurance_code,class_cd,it_remarks) values</v>
      </c>
      <c r="G244" s="83" t="str">
        <f t="shared" si="13"/>
        <v>('24Sep240082','040000178377','12475',(select max(to_number(i.premium_rcv_detail_code))+1
from ins_premium_det i),'12475','12475','02', '11000003','00','Request by Mr. Omair Ali 25-Sep-2024 allocation no 24Sep240082 ');</v>
      </c>
      <c r="H244" s="84" t="str">
        <f t="shared" si="14"/>
        <v>insert into ins_premium_det (premium_rcv_code,assorted_code, rec_amount,premium_rcv_detail_code,remaining_amt, payrec, mode_code,coinsurance_code,class_cd,it_remarks) values('24Sep240082','040000178377','12475',(select max(to_number(i.premium_rcv_detail_code))+1
from ins_premium_det i),'12475','12475','02', '11000003','00','Request by Mr. Omair Ali 25-Sep-2024 allocation no 24Sep240082 ');</v>
      </c>
    </row>
    <row r="245" spans="1:8" ht="105" x14ac:dyDescent="0.25">
      <c r="A245" t="s">
        <v>357</v>
      </c>
      <c r="B245" s="80" t="str">
        <f>VLOOKUP(A245,[1]Sheet1!$B:$C,2,0)</f>
        <v>040000178379</v>
      </c>
      <c r="C245" s="46">
        <v>9550</v>
      </c>
      <c r="D245" s="81">
        <f t="shared" si="15"/>
        <v>9550</v>
      </c>
      <c r="E245" s="79" t="s">
        <v>2492</v>
      </c>
      <c r="F245" s="82" t="str">
        <f t="shared" si="12"/>
        <v>insert into ins_premium_det (premium_rcv_code,assorted_code, rec_amount,premium_rcv_detail_code,remaining_amt, payrec, mode_code,coinsurance_code,class_cd,it_remarks) values</v>
      </c>
      <c r="G245" s="83" t="str">
        <f t="shared" si="13"/>
        <v>('24Sep240082','040000178379','9550',(select max(to_number(i.premium_rcv_detail_code))+1
from ins_premium_det i),'9550','9550','02', '11000003','00','Request by Mr. Omair Ali 25-Sep-2024 allocation no 24Sep240082 ');</v>
      </c>
      <c r="H245" s="84" t="str">
        <f t="shared" si="14"/>
        <v>insert into ins_premium_det (premium_rcv_code,assorted_code, rec_amount,premium_rcv_detail_code,remaining_amt, payrec, mode_code,coinsurance_code,class_cd,it_remarks) values('24Sep240082','040000178379','9550',(select max(to_number(i.premium_rcv_detail_code))+1
from ins_premium_det i),'9550','9550','02', '11000003','00','Request by Mr. Omair Ali 25-Sep-2024 allocation no 24Sep240082 ');</v>
      </c>
    </row>
    <row r="246" spans="1:8" ht="105" x14ac:dyDescent="0.25">
      <c r="A246" t="s">
        <v>358</v>
      </c>
      <c r="B246" s="80" t="str">
        <f>VLOOKUP(A246,[1]Sheet1!$B:$C,2,0)</f>
        <v>040000178385</v>
      </c>
      <c r="C246" s="46">
        <v>12320</v>
      </c>
      <c r="D246" s="81">
        <f t="shared" si="15"/>
        <v>12320</v>
      </c>
      <c r="E246" s="79" t="s">
        <v>2492</v>
      </c>
      <c r="F246" s="82" t="str">
        <f t="shared" si="12"/>
        <v>insert into ins_premium_det (premium_rcv_code,assorted_code, rec_amount,premium_rcv_detail_code,remaining_amt, payrec, mode_code,coinsurance_code,class_cd,it_remarks) values</v>
      </c>
      <c r="G246" s="83" t="str">
        <f t="shared" si="13"/>
        <v>('24Sep240082','040000178385','12320',(select max(to_number(i.premium_rcv_detail_code))+1
from ins_premium_det i),'12320','12320','02', '11000003','00','Request by Mr. Omair Ali 25-Sep-2024 allocation no 24Sep240082 ');</v>
      </c>
      <c r="H246" s="84" t="str">
        <f t="shared" si="14"/>
        <v>insert into ins_premium_det (premium_rcv_code,assorted_code, rec_amount,premium_rcv_detail_code,remaining_amt, payrec, mode_code,coinsurance_code,class_cd,it_remarks) values('24Sep240082','040000178385','12320',(select max(to_number(i.premium_rcv_detail_code))+1
from ins_premium_det i),'12320','12320','02', '11000003','00','Request by Mr. Omair Ali 25-Sep-2024 allocation no 24Sep240082 ');</v>
      </c>
    </row>
    <row r="247" spans="1:8" ht="105" x14ac:dyDescent="0.25">
      <c r="A247" t="s">
        <v>359</v>
      </c>
      <c r="B247" s="80" t="str">
        <f>VLOOKUP(A247,[1]Sheet1!$B:$C,2,0)</f>
        <v>040000178393</v>
      </c>
      <c r="C247" s="46">
        <v>8800</v>
      </c>
      <c r="D247" s="81">
        <f t="shared" si="15"/>
        <v>8800</v>
      </c>
      <c r="E247" s="79" t="s">
        <v>2492</v>
      </c>
      <c r="F247" s="82" t="str">
        <f t="shared" si="12"/>
        <v>insert into ins_premium_det (premium_rcv_code,assorted_code, rec_amount,premium_rcv_detail_code,remaining_amt, payrec, mode_code,coinsurance_code,class_cd,it_remarks) values</v>
      </c>
      <c r="G247" s="83" t="str">
        <f t="shared" si="13"/>
        <v>('24Sep240082','040000178393','8800',(select max(to_number(i.premium_rcv_detail_code))+1
from ins_premium_det i),'8800','8800','02', '11000003','00','Request by Mr. Omair Ali 25-Sep-2024 allocation no 24Sep240082 ');</v>
      </c>
      <c r="H247" s="84" t="str">
        <f t="shared" si="14"/>
        <v>insert into ins_premium_det (premium_rcv_code,assorted_code, rec_amount,premium_rcv_detail_code,remaining_amt, payrec, mode_code,coinsurance_code,class_cd,it_remarks) values('24Sep240082','040000178393','8800',(select max(to_number(i.premium_rcv_detail_code))+1
from ins_premium_det i),'8800','8800','02', '11000003','00','Request by Mr. Omair Ali 25-Sep-2024 allocation no 24Sep240082 ');</v>
      </c>
    </row>
    <row r="248" spans="1:8" ht="105" x14ac:dyDescent="0.25">
      <c r="A248" t="s">
        <v>360</v>
      </c>
      <c r="B248" s="80" t="str">
        <f>VLOOKUP(A248,[1]Sheet1!$B:$C,2,0)</f>
        <v>040000178400</v>
      </c>
      <c r="C248" s="46">
        <v>9550</v>
      </c>
      <c r="D248" s="81">
        <f t="shared" si="15"/>
        <v>9550</v>
      </c>
      <c r="E248" s="79" t="s">
        <v>2492</v>
      </c>
      <c r="F248" s="82" t="str">
        <f t="shared" si="12"/>
        <v>insert into ins_premium_det (premium_rcv_code,assorted_code, rec_amount,premium_rcv_detail_code,remaining_amt, payrec, mode_code,coinsurance_code,class_cd,it_remarks) values</v>
      </c>
      <c r="G248" s="83" t="str">
        <f t="shared" si="13"/>
        <v>('24Sep240082','040000178400','9550',(select max(to_number(i.premium_rcv_detail_code))+1
from ins_premium_det i),'9550','9550','02', '11000003','00','Request by Mr. Omair Ali 25-Sep-2024 allocation no 24Sep240082 ');</v>
      </c>
      <c r="H248" s="84" t="str">
        <f t="shared" si="14"/>
        <v>insert into ins_premium_det (premium_rcv_code,assorted_code, rec_amount,premium_rcv_detail_code,remaining_amt, payrec, mode_code,coinsurance_code,class_cd,it_remarks) values('24Sep240082','040000178400','9550',(select max(to_number(i.premium_rcv_detail_code))+1
from ins_premium_det i),'9550','9550','02', '11000003','00','Request by Mr. Omair Ali 25-Sep-2024 allocation no 24Sep240082 ');</v>
      </c>
    </row>
    <row r="249" spans="1:8" ht="105" x14ac:dyDescent="0.25">
      <c r="A249" t="s">
        <v>361</v>
      </c>
      <c r="B249" s="80" t="str">
        <f>VLOOKUP(A249,[1]Sheet1!$B:$C,2,0)</f>
        <v>040000178401</v>
      </c>
      <c r="C249" s="46">
        <v>9550</v>
      </c>
      <c r="D249" s="81">
        <f t="shared" si="15"/>
        <v>9550</v>
      </c>
      <c r="E249" s="79" t="s">
        <v>2492</v>
      </c>
      <c r="F249" s="82" t="str">
        <f t="shared" si="12"/>
        <v>insert into ins_premium_det (premium_rcv_code,assorted_code, rec_amount,premium_rcv_detail_code,remaining_amt, payrec, mode_code,coinsurance_code,class_cd,it_remarks) values</v>
      </c>
      <c r="G249" s="83" t="str">
        <f t="shared" si="13"/>
        <v>('24Sep240082','040000178401','9550',(select max(to_number(i.premium_rcv_detail_code))+1
from ins_premium_det i),'9550','9550','02', '11000003','00','Request by Mr. Omair Ali 25-Sep-2024 allocation no 24Sep240082 ');</v>
      </c>
      <c r="H249" s="84" t="str">
        <f t="shared" si="14"/>
        <v>insert into ins_premium_det (premium_rcv_code,assorted_code, rec_amount,premium_rcv_detail_code,remaining_amt, payrec, mode_code,coinsurance_code,class_cd,it_remarks) values('24Sep240082','040000178401','9550',(select max(to_number(i.premium_rcv_detail_code))+1
from ins_premium_det i),'9550','9550','02', '11000003','00','Request by Mr. Omair Ali 25-Sep-2024 allocation no 24Sep240082 ');</v>
      </c>
    </row>
    <row r="250" spans="1:8" ht="105" x14ac:dyDescent="0.25">
      <c r="A250" t="s">
        <v>362</v>
      </c>
      <c r="B250" s="80" t="str">
        <f>VLOOKUP(A250,[1]Sheet1!$B:$C,2,0)</f>
        <v>040000178415</v>
      </c>
      <c r="C250" s="46">
        <v>12320</v>
      </c>
      <c r="D250" s="81">
        <f t="shared" si="15"/>
        <v>12320</v>
      </c>
      <c r="E250" s="79" t="s">
        <v>2492</v>
      </c>
      <c r="F250" s="82" t="str">
        <f t="shared" si="12"/>
        <v>insert into ins_premium_det (premium_rcv_code,assorted_code, rec_amount,premium_rcv_detail_code,remaining_amt, payrec, mode_code,coinsurance_code,class_cd,it_remarks) values</v>
      </c>
      <c r="G250" s="83" t="str">
        <f t="shared" si="13"/>
        <v>('24Sep240082','040000178415','12320',(select max(to_number(i.premium_rcv_detail_code))+1
from ins_premium_det i),'12320','12320','02', '11000003','00','Request by Mr. Omair Ali 25-Sep-2024 allocation no 24Sep240082 ');</v>
      </c>
      <c r="H250" s="84" t="str">
        <f t="shared" si="14"/>
        <v>insert into ins_premium_det (premium_rcv_code,assorted_code, rec_amount,premium_rcv_detail_code,remaining_amt, payrec, mode_code,coinsurance_code,class_cd,it_remarks) values('24Sep240082','040000178415','12320',(select max(to_number(i.premium_rcv_detail_code))+1
from ins_premium_det i),'12320','12320','02', '11000003','00','Request by Mr. Omair Ali 25-Sep-2024 allocation no 24Sep240082 ');</v>
      </c>
    </row>
    <row r="251" spans="1:8" ht="105" x14ac:dyDescent="0.25">
      <c r="A251" t="s">
        <v>363</v>
      </c>
      <c r="B251" s="80" t="str">
        <f>VLOOKUP(A251,[1]Sheet1!$B:$C,2,0)</f>
        <v>040000178416</v>
      </c>
      <c r="C251" s="46">
        <v>12320</v>
      </c>
      <c r="D251" s="81">
        <f t="shared" si="15"/>
        <v>12320</v>
      </c>
      <c r="E251" s="79" t="s">
        <v>2492</v>
      </c>
      <c r="F251" s="82" t="str">
        <f t="shared" si="12"/>
        <v>insert into ins_premium_det (premium_rcv_code,assorted_code, rec_amount,premium_rcv_detail_code,remaining_amt, payrec, mode_code,coinsurance_code,class_cd,it_remarks) values</v>
      </c>
      <c r="G251" s="83" t="str">
        <f t="shared" si="13"/>
        <v>('24Sep240082','040000178416','12320',(select max(to_number(i.premium_rcv_detail_code))+1
from ins_premium_det i),'12320','12320','02', '11000003','00','Request by Mr. Omair Ali 25-Sep-2024 allocation no 24Sep240082 ');</v>
      </c>
      <c r="H251" s="84" t="str">
        <f t="shared" si="14"/>
        <v>insert into ins_premium_det (premium_rcv_code,assorted_code, rec_amount,premium_rcv_detail_code,remaining_amt, payrec, mode_code,coinsurance_code,class_cd,it_remarks) values('24Sep240082','040000178416','12320',(select max(to_number(i.premium_rcv_detail_code))+1
from ins_premium_det i),'12320','12320','02', '11000003','00','Request by Mr. Omair Ali 25-Sep-2024 allocation no 24Sep240082 ');</v>
      </c>
    </row>
    <row r="252" spans="1:8" ht="105" x14ac:dyDescent="0.25">
      <c r="A252" t="s">
        <v>364</v>
      </c>
      <c r="B252" s="80" t="str">
        <f>VLOOKUP(A252,[1]Sheet1!$B:$C,2,0)</f>
        <v>040000178418</v>
      </c>
      <c r="C252" s="46">
        <v>8800</v>
      </c>
      <c r="D252" s="81">
        <f t="shared" si="15"/>
        <v>8800</v>
      </c>
      <c r="E252" s="79" t="s">
        <v>2492</v>
      </c>
      <c r="F252" s="82" t="str">
        <f t="shared" si="12"/>
        <v>insert into ins_premium_det (premium_rcv_code,assorted_code, rec_amount,premium_rcv_detail_code,remaining_amt, payrec, mode_code,coinsurance_code,class_cd,it_remarks) values</v>
      </c>
      <c r="G252" s="83" t="str">
        <f t="shared" si="13"/>
        <v>('24Sep240082','040000178418','8800',(select max(to_number(i.premium_rcv_detail_code))+1
from ins_premium_det i),'8800','8800','02', '11000003','00','Request by Mr. Omair Ali 25-Sep-2024 allocation no 24Sep240082 ');</v>
      </c>
      <c r="H252" s="84" t="str">
        <f t="shared" si="14"/>
        <v>insert into ins_premium_det (premium_rcv_code,assorted_code, rec_amount,premium_rcv_detail_code,remaining_amt, payrec, mode_code,coinsurance_code,class_cd,it_remarks) values('24Sep240082','040000178418','8800',(select max(to_number(i.premium_rcv_detail_code))+1
from ins_premium_det i),'8800','8800','02', '11000003','00','Request by Mr. Omair Ali 25-Sep-2024 allocation no 24Sep240082 ');</v>
      </c>
    </row>
    <row r="253" spans="1:8" ht="105" x14ac:dyDescent="0.25">
      <c r="A253" t="s">
        <v>365</v>
      </c>
      <c r="B253" s="80" t="str">
        <f>VLOOKUP(A253,[1]Sheet1!$B:$C,2,0)</f>
        <v>040000178422</v>
      </c>
      <c r="C253" s="46">
        <v>9550</v>
      </c>
      <c r="D253" s="81">
        <f t="shared" si="15"/>
        <v>9550</v>
      </c>
      <c r="E253" s="79" t="s">
        <v>2492</v>
      </c>
      <c r="F253" s="82" t="str">
        <f t="shared" si="12"/>
        <v>insert into ins_premium_det (premium_rcv_code,assorted_code, rec_amount,premium_rcv_detail_code,remaining_amt, payrec, mode_code,coinsurance_code,class_cd,it_remarks) values</v>
      </c>
      <c r="G253" s="83" t="str">
        <f t="shared" si="13"/>
        <v>('24Sep240082','040000178422','9550',(select max(to_number(i.premium_rcv_detail_code))+1
from ins_premium_det i),'9550','9550','02', '11000003','00','Request by Mr. Omair Ali 25-Sep-2024 allocation no 24Sep240082 ');</v>
      </c>
      <c r="H253" s="84" t="str">
        <f t="shared" si="14"/>
        <v>insert into ins_premium_det (premium_rcv_code,assorted_code, rec_amount,premium_rcv_detail_code,remaining_amt, payrec, mode_code,coinsurance_code,class_cd,it_remarks) values('24Sep240082','040000178422','9550',(select max(to_number(i.premium_rcv_detail_code))+1
from ins_premium_det i),'9550','9550','02', '11000003','00','Request by Mr. Omair Ali 25-Sep-2024 allocation no 24Sep240082 ');</v>
      </c>
    </row>
    <row r="254" spans="1:8" ht="105" x14ac:dyDescent="0.25">
      <c r="A254" t="s">
        <v>366</v>
      </c>
      <c r="B254" s="80" t="str">
        <f>VLOOKUP(A254,[1]Sheet1!$B:$C,2,0)</f>
        <v>040000178423</v>
      </c>
      <c r="C254" s="46">
        <v>12320</v>
      </c>
      <c r="D254" s="81">
        <f t="shared" si="15"/>
        <v>12320</v>
      </c>
      <c r="E254" s="79" t="s">
        <v>2492</v>
      </c>
      <c r="F254" s="82" t="str">
        <f t="shared" si="12"/>
        <v>insert into ins_premium_det (premium_rcv_code,assorted_code, rec_amount,premium_rcv_detail_code,remaining_amt, payrec, mode_code,coinsurance_code,class_cd,it_remarks) values</v>
      </c>
      <c r="G254" s="83" t="str">
        <f t="shared" si="13"/>
        <v>('24Sep240082','040000178423','12320',(select max(to_number(i.premium_rcv_detail_code))+1
from ins_premium_det i),'12320','12320','02', '11000003','00','Request by Mr. Omair Ali 25-Sep-2024 allocation no 24Sep240082 ');</v>
      </c>
      <c r="H254" s="84" t="str">
        <f t="shared" si="14"/>
        <v>insert into ins_premium_det (premium_rcv_code,assorted_code, rec_amount,premium_rcv_detail_code,remaining_amt, payrec, mode_code,coinsurance_code,class_cd,it_remarks) values('24Sep240082','040000178423','12320',(select max(to_number(i.premium_rcv_detail_code))+1
from ins_premium_det i),'12320','12320','02', '11000003','00','Request by Mr. Omair Ali 25-Sep-2024 allocation no 24Sep240082 ');</v>
      </c>
    </row>
    <row r="255" spans="1:8" ht="105" x14ac:dyDescent="0.25">
      <c r="A255" t="s">
        <v>367</v>
      </c>
      <c r="B255" s="80" t="str">
        <f>VLOOKUP(A255,[1]Sheet1!$B:$C,2,0)</f>
        <v>040000178424</v>
      </c>
      <c r="C255" s="46">
        <v>12320</v>
      </c>
      <c r="D255" s="81">
        <f t="shared" si="15"/>
        <v>12320</v>
      </c>
      <c r="E255" s="79" t="s">
        <v>2492</v>
      </c>
      <c r="F255" s="82" t="str">
        <f t="shared" si="12"/>
        <v>insert into ins_premium_det (premium_rcv_code,assorted_code, rec_amount,premium_rcv_detail_code,remaining_amt, payrec, mode_code,coinsurance_code,class_cd,it_remarks) values</v>
      </c>
      <c r="G255" s="83" t="str">
        <f t="shared" si="13"/>
        <v>('24Sep240082','040000178424','12320',(select max(to_number(i.premium_rcv_detail_code))+1
from ins_premium_det i),'12320','12320','02', '11000003','00','Request by Mr. Omair Ali 25-Sep-2024 allocation no 24Sep240082 ');</v>
      </c>
      <c r="H255" s="84" t="str">
        <f t="shared" si="14"/>
        <v>insert into ins_premium_det (premium_rcv_code,assorted_code, rec_amount,premium_rcv_detail_code,remaining_amt, payrec, mode_code,coinsurance_code,class_cd,it_remarks) values('24Sep240082','040000178424','12320',(select max(to_number(i.premium_rcv_detail_code))+1
from ins_premium_det i),'12320','12320','02', '11000003','00','Request by Mr. Omair Ali 25-Sep-2024 allocation no 24Sep240082 ');</v>
      </c>
    </row>
    <row r="256" spans="1:8" ht="105" x14ac:dyDescent="0.25">
      <c r="A256" t="s">
        <v>368</v>
      </c>
      <c r="B256" s="80" t="str">
        <f>VLOOKUP(A256,[1]Sheet1!$B:$C,2,0)</f>
        <v>040000178427</v>
      </c>
      <c r="C256" s="46">
        <v>12320</v>
      </c>
      <c r="D256" s="81">
        <f t="shared" si="15"/>
        <v>12320</v>
      </c>
      <c r="E256" s="79" t="s">
        <v>2492</v>
      </c>
      <c r="F256" s="82" t="str">
        <f t="shared" si="12"/>
        <v>insert into ins_premium_det (premium_rcv_code,assorted_code, rec_amount,premium_rcv_detail_code,remaining_amt, payrec, mode_code,coinsurance_code,class_cd,it_remarks) values</v>
      </c>
      <c r="G256" s="83" t="str">
        <f t="shared" si="13"/>
        <v>('24Sep240082','040000178427','12320',(select max(to_number(i.premium_rcv_detail_code))+1
from ins_premium_det i),'12320','12320','02', '11000003','00','Request by Mr. Omair Ali 25-Sep-2024 allocation no 24Sep240082 ');</v>
      </c>
      <c r="H256" s="84" t="str">
        <f t="shared" si="14"/>
        <v>insert into ins_premium_det (premium_rcv_code,assorted_code, rec_amount,premium_rcv_detail_code,remaining_amt, payrec, mode_code,coinsurance_code,class_cd,it_remarks) values('24Sep240082','040000178427','12320',(select max(to_number(i.premium_rcv_detail_code))+1
from ins_premium_det i),'12320','12320','02', '11000003','00','Request by Mr. Omair Ali 25-Sep-2024 allocation no 24Sep240082 ');</v>
      </c>
    </row>
    <row r="257" spans="1:8" ht="105" x14ac:dyDescent="0.25">
      <c r="A257" t="s">
        <v>369</v>
      </c>
      <c r="B257" s="80" t="str">
        <f>VLOOKUP(A257,[1]Sheet1!$B:$C,2,0)</f>
        <v>040000178431</v>
      </c>
      <c r="C257" s="46">
        <v>8800</v>
      </c>
      <c r="D257" s="81">
        <f t="shared" si="15"/>
        <v>8800</v>
      </c>
      <c r="E257" s="79" t="s">
        <v>2492</v>
      </c>
      <c r="F257" s="82" t="str">
        <f t="shared" si="12"/>
        <v>insert into ins_premium_det (premium_rcv_code,assorted_code, rec_amount,premium_rcv_detail_code,remaining_amt, payrec, mode_code,coinsurance_code,class_cd,it_remarks) values</v>
      </c>
      <c r="G257" s="83" t="str">
        <f t="shared" si="13"/>
        <v>('24Sep240082','040000178431','8800',(select max(to_number(i.premium_rcv_detail_code))+1
from ins_premium_det i),'8800','8800','02', '11000003','00','Request by Mr. Omair Ali 25-Sep-2024 allocation no 24Sep240082 ');</v>
      </c>
      <c r="H257" s="84" t="str">
        <f t="shared" si="14"/>
        <v>insert into ins_premium_det (premium_rcv_code,assorted_code, rec_amount,premium_rcv_detail_code,remaining_amt, payrec, mode_code,coinsurance_code,class_cd,it_remarks) values('24Sep240082','040000178431','8800',(select max(to_number(i.premium_rcv_detail_code))+1
from ins_premium_det i),'8800','8800','02', '11000003','00','Request by Mr. Omair Ali 25-Sep-2024 allocation no 24Sep240082 ');</v>
      </c>
    </row>
    <row r="258" spans="1:8" ht="105" x14ac:dyDescent="0.25">
      <c r="A258" t="s">
        <v>370</v>
      </c>
      <c r="B258" s="80" t="str">
        <f>VLOOKUP(A258,[1]Sheet1!$B:$C,2,0)</f>
        <v>040000178435</v>
      </c>
      <c r="C258" s="46">
        <v>12320</v>
      </c>
      <c r="D258" s="81">
        <f t="shared" si="15"/>
        <v>12320</v>
      </c>
      <c r="E258" s="79" t="s">
        <v>2492</v>
      </c>
      <c r="F258" s="82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83" t="str">
        <f t="shared" si="13"/>
        <v>('24Sep240082','040000178435','12320',(select max(to_number(i.premium_rcv_detail_code))+1
from ins_premium_det i),'12320','12320','02', '11000003','00','Request by Mr. Omair Ali 25-Sep-2024 allocation no 24Sep240082 ');</v>
      </c>
      <c r="H258" s="84" t="str">
        <f t="shared" si="14"/>
        <v>insert into ins_premium_det (premium_rcv_code,assorted_code, rec_amount,premium_rcv_detail_code,remaining_amt, payrec, mode_code,coinsurance_code,class_cd,it_remarks) values('24Sep240082','040000178435','12320',(select max(to_number(i.premium_rcv_detail_code))+1
from ins_premium_det i),'12320','12320','02', '11000003','00','Request by Mr. Omair Ali 25-Sep-2024 allocation no 24Sep240082 ');</v>
      </c>
    </row>
    <row r="259" spans="1:8" ht="105" x14ac:dyDescent="0.25">
      <c r="A259" t="s">
        <v>371</v>
      </c>
      <c r="B259" s="80" t="str">
        <f>VLOOKUP(A259,[1]Sheet1!$B:$C,2,0)</f>
        <v>040000178454</v>
      </c>
      <c r="C259" s="46">
        <v>12320</v>
      </c>
      <c r="D259" s="81">
        <f t="shared" si="15"/>
        <v>12320</v>
      </c>
      <c r="E259" s="79" t="s">
        <v>2492</v>
      </c>
      <c r="F259" s="82" t="str">
        <f t="shared" si="16"/>
        <v>insert into ins_premium_det (premium_rcv_code,assorted_code, rec_amount,premium_rcv_detail_code,remaining_amt, payrec, mode_code,coinsurance_code,class_cd,it_remarks) values</v>
      </c>
      <c r="G259" s="83" t="str">
        <f t="shared" ref="G259:G322" si="17">"('"&amp;E259&amp;"','"&amp;B259&amp;"','"&amp;D259&amp;"',(select max(to_number(i.premium_rcv_detail_code))+1
from ins_premium_det i),'"&amp;D259&amp;"','"&amp;D259&amp;"','02', '11000003','00','Request by Mr. Omair Ali 25-Sep-2024 allocation no 24Sep240082 ');"</f>
        <v>('24Sep240082','040000178454','12320',(select max(to_number(i.premium_rcv_detail_code))+1
from ins_premium_det i),'12320','12320','02', '11000003','00','Request by Mr. Omair Ali 25-Sep-2024 allocation no 24Sep240082 ');</v>
      </c>
      <c r="H259" s="84" t="str">
        <f t="shared" ref="H259:H322" si="18">F259&amp;G259</f>
        <v>insert into ins_premium_det (premium_rcv_code,assorted_code, rec_amount,premium_rcv_detail_code,remaining_amt, payrec, mode_code,coinsurance_code,class_cd,it_remarks) values('24Sep240082','040000178454','12320',(select max(to_number(i.premium_rcv_detail_code))+1
from ins_premium_det i),'12320','12320','02', '11000003','00','Request by Mr. Omair Ali 25-Sep-2024 allocation no 24Sep240082 ');</v>
      </c>
    </row>
    <row r="260" spans="1:8" ht="105" x14ac:dyDescent="0.25">
      <c r="A260" t="s">
        <v>372</v>
      </c>
      <c r="B260" s="80" t="str">
        <f>VLOOKUP(A260,[1]Sheet1!$B:$C,2,0)</f>
        <v>040000178456</v>
      </c>
      <c r="C260" s="46">
        <v>19145</v>
      </c>
      <c r="D260" s="81">
        <f t="shared" ref="D260:D323" si="19">ROUND(C260,0)</f>
        <v>19145</v>
      </c>
      <c r="E260" s="79" t="s">
        <v>2492</v>
      </c>
      <c r="F260" s="82" t="str">
        <f t="shared" si="16"/>
        <v>insert into ins_premium_det (premium_rcv_code,assorted_code, rec_amount,premium_rcv_detail_code,remaining_amt, payrec, mode_code,coinsurance_code,class_cd,it_remarks) values</v>
      </c>
      <c r="G260" s="83" t="str">
        <f t="shared" si="17"/>
        <v>('24Sep240082','040000178456','19145',(select max(to_number(i.premium_rcv_detail_code))+1
from ins_premium_det i),'19145','19145','02', '11000003','00','Request by Mr. Omair Ali 25-Sep-2024 allocation no 24Sep240082 ');</v>
      </c>
      <c r="H260" s="84" t="str">
        <f t="shared" si="18"/>
        <v>insert into ins_premium_det (premium_rcv_code,assorted_code, rec_amount,premium_rcv_detail_code,remaining_amt, payrec, mode_code,coinsurance_code,class_cd,it_remarks) values('24Sep240082','040000178456','19145',(select max(to_number(i.premium_rcv_detail_code))+1
from ins_premium_det i),'19145','19145','02', '11000003','00','Request by Mr. Omair Ali 25-Sep-2024 allocation no 24Sep240082 ');</v>
      </c>
    </row>
    <row r="261" spans="1:8" ht="105" x14ac:dyDescent="0.25">
      <c r="A261" t="s">
        <v>373</v>
      </c>
      <c r="B261" s="80" t="str">
        <f>VLOOKUP(A261,[1]Sheet1!$B:$C,2,0)</f>
        <v>040000178462</v>
      </c>
      <c r="C261" s="46">
        <v>19145</v>
      </c>
      <c r="D261" s="81">
        <f t="shared" si="19"/>
        <v>19145</v>
      </c>
      <c r="E261" s="79" t="s">
        <v>2492</v>
      </c>
      <c r="F261" s="82" t="str">
        <f t="shared" si="16"/>
        <v>insert into ins_premium_det (premium_rcv_code,assorted_code, rec_amount,premium_rcv_detail_code,remaining_amt, payrec, mode_code,coinsurance_code,class_cd,it_remarks) values</v>
      </c>
      <c r="G261" s="83" t="str">
        <f t="shared" si="17"/>
        <v>('24Sep240082','040000178462','19145',(select max(to_number(i.premium_rcv_detail_code))+1
from ins_premium_det i),'19145','19145','02', '11000003','00','Request by Mr. Omair Ali 25-Sep-2024 allocation no 24Sep240082 ');</v>
      </c>
      <c r="H261" s="84" t="str">
        <f t="shared" si="18"/>
        <v>insert into ins_premium_det (premium_rcv_code,assorted_code, rec_amount,premium_rcv_detail_code,remaining_amt, payrec, mode_code,coinsurance_code,class_cd,it_remarks) values('24Sep240082','040000178462','19145',(select max(to_number(i.premium_rcv_detail_code))+1
from ins_premium_det i),'19145','19145','02', '11000003','00','Request by Mr. Omair Ali 25-Sep-2024 allocation no 24Sep240082 ');</v>
      </c>
    </row>
    <row r="262" spans="1:8" ht="105" x14ac:dyDescent="0.25">
      <c r="A262" t="s">
        <v>374</v>
      </c>
      <c r="B262" s="80" t="str">
        <f>VLOOKUP(A262,[1]Sheet1!$B:$C,2,0)</f>
        <v>040000178465</v>
      </c>
      <c r="C262" s="46">
        <v>12320</v>
      </c>
      <c r="D262" s="81">
        <f t="shared" si="19"/>
        <v>12320</v>
      </c>
      <c r="E262" s="79" t="s">
        <v>2492</v>
      </c>
      <c r="F262" s="82" t="str">
        <f t="shared" si="16"/>
        <v>insert into ins_premium_det (premium_rcv_code,assorted_code, rec_amount,premium_rcv_detail_code,remaining_amt, payrec, mode_code,coinsurance_code,class_cd,it_remarks) values</v>
      </c>
      <c r="G262" s="83" t="str">
        <f t="shared" si="17"/>
        <v>('24Sep240082','040000178465','12320',(select max(to_number(i.premium_rcv_detail_code))+1
from ins_premium_det i),'12320','12320','02', '11000003','00','Request by Mr. Omair Ali 25-Sep-2024 allocation no 24Sep240082 ');</v>
      </c>
      <c r="H262" s="84" t="str">
        <f t="shared" si="18"/>
        <v>insert into ins_premium_det (premium_rcv_code,assorted_code, rec_amount,premium_rcv_detail_code,remaining_amt, payrec, mode_code,coinsurance_code,class_cd,it_remarks) values('24Sep240082','040000178465','12320',(select max(to_number(i.premium_rcv_detail_code))+1
from ins_premium_det i),'12320','12320','02', '11000003','00','Request by Mr. Omair Ali 25-Sep-2024 allocation no 24Sep240082 ');</v>
      </c>
    </row>
    <row r="263" spans="1:8" ht="105" x14ac:dyDescent="0.25">
      <c r="A263" t="s">
        <v>375</v>
      </c>
      <c r="B263" s="80" t="str">
        <f>VLOOKUP(A263,[1]Sheet1!$B:$C,2,0)</f>
        <v>040000178467</v>
      </c>
      <c r="C263" s="46">
        <v>12320</v>
      </c>
      <c r="D263" s="81">
        <f t="shared" si="19"/>
        <v>12320</v>
      </c>
      <c r="E263" s="79" t="s">
        <v>2492</v>
      </c>
      <c r="F263" s="82" t="str">
        <f t="shared" si="16"/>
        <v>insert into ins_premium_det (premium_rcv_code,assorted_code, rec_amount,premium_rcv_detail_code,remaining_amt, payrec, mode_code,coinsurance_code,class_cd,it_remarks) values</v>
      </c>
      <c r="G263" s="83" t="str">
        <f t="shared" si="17"/>
        <v>('24Sep240082','040000178467','12320',(select max(to_number(i.premium_rcv_detail_code))+1
from ins_premium_det i),'12320','12320','02', '11000003','00','Request by Mr. Omair Ali 25-Sep-2024 allocation no 24Sep240082 ');</v>
      </c>
      <c r="H263" s="84" t="str">
        <f t="shared" si="18"/>
        <v>insert into ins_premium_det (premium_rcv_code,assorted_code, rec_amount,premium_rcv_detail_code,remaining_amt, payrec, mode_code,coinsurance_code,class_cd,it_remarks) values('24Sep240082','040000178467','12320',(select max(to_number(i.premium_rcv_detail_code))+1
from ins_premium_det i),'12320','12320','02', '11000003','00','Request by Mr. Omair Ali 25-Sep-2024 allocation no 24Sep240082 ');</v>
      </c>
    </row>
    <row r="264" spans="1:8" ht="105" x14ac:dyDescent="0.25">
      <c r="A264" t="s">
        <v>376</v>
      </c>
      <c r="B264" s="80" t="str">
        <f>VLOOKUP(A264,[1]Sheet1!$B:$C,2,0)</f>
        <v>040000178472</v>
      </c>
      <c r="C264" s="46">
        <v>12320</v>
      </c>
      <c r="D264" s="81">
        <f t="shared" si="19"/>
        <v>12320</v>
      </c>
      <c r="E264" s="79" t="s">
        <v>2492</v>
      </c>
      <c r="F264" s="82" t="str">
        <f t="shared" si="16"/>
        <v>insert into ins_premium_det (premium_rcv_code,assorted_code, rec_amount,premium_rcv_detail_code,remaining_amt, payrec, mode_code,coinsurance_code,class_cd,it_remarks) values</v>
      </c>
      <c r="G264" s="83" t="str">
        <f t="shared" si="17"/>
        <v>('24Sep240082','040000178472','12320',(select max(to_number(i.premium_rcv_detail_code))+1
from ins_premium_det i),'12320','12320','02', '11000003','00','Request by Mr. Omair Ali 25-Sep-2024 allocation no 24Sep240082 ');</v>
      </c>
      <c r="H264" s="84" t="str">
        <f t="shared" si="18"/>
        <v>insert into ins_premium_det (premium_rcv_code,assorted_code, rec_amount,premium_rcv_detail_code,remaining_amt, payrec, mode_code,coinsurance_code,class_cd,it_remarks) values('24Sep240082','040000178472','12320',(select max(to_number(i.premium_rcv_detail_code))+1
from ins_premium_det i),'12320','12320','02', '11000003','00','Request by Mr. Omair Ali 25-Sep-2024 allocation no 24Sep240082 ');</v>
      </c>
    </row>
    <row r="265" spans="1:8" ht="105" x14ac:dyDescent="0.25">
      <c r="A265" t="s">
        <v>377</v>
      </c>
      <c r="B265" s="80" t="str">
        <f>VLOOKUP(A265,[1]Sheet1!$B:$C,2,0)</f>
        <v>040000178476</v>
      </c>
      <c r="C265" s="46">
        <v>8800</v>
      </c>
      <c r="D265" s="81">
        <f t="shared" si="19"/>
        <v>8800</v>
      </c>
      <c r="E265" s="79" t="s">
        <v>2492</v>
      </c>
      <c r="F265" s="82" t="str">
        <f t="shared" si="16"/>
        <v>insert into ins_premium_det (premium_rcv_code,assorted_code, rec_amount,premium_rcv_detail_code,remaining_amt, payrec, mode_code,coinsurance_code,class_cd,it_remarks) values</v>
      </c>
      <c r="G265" s="83" t="str">
        <f t="shared" si="17"/>
        <v>('24Sep240082','040000178476','8800',(select max(to_number(i.premium_rcv_detail_code))+1
from ins_premium_det i),'8800','8800','02', '11000003','00','Request by Mr. Omair Ali 25-Sep-2024 allocation no 24Sep240082 ');</v>
      </c>
      <c r="H265" s="84" t="str">
        <f t="shared" si="18"/>
        <v>insert into ins_premium_det (premium_rcv_code,assorted_code, rec_amount,premium_rcv_detail_code,remaining_amt, payrec, mode_code,coinsurance_code,class_cd,it_remarks) values('24Sep240082','040000178476','8800',(select max(to_number(i.premium_rcv_detail_code))+1
from ins_premium_det i),'8800','8800','02', '11000003','00','Request by Mr. Omair Ali 25-Sep-2024 allocation no 24Sep240082 ');</v>
      </c>
    </row>
    <row r="266" spans="1:8" ht="105" x14ac:dyDescent="0.25">
      <c r="A266" t="s">
        <v>378</v>
      </c>
      <c r="B266" s="80" t="str">
        <f>VLOOKUP(A266,[1]Sheet1!$B:$C,2,0)</f>
        <v>040000178478</v>
      </c>
      <c r="C266" s="46">
        <v>12320</v>
      </c>
      <c r="D266" s="81">
        <f t="shared" si="19"/>
        <v>12320</v>
      </c>
      <c r="E266" s="79" t="s">
        <v>2492</v>
      </c>
      <c r="F266" s="82" t="str">
        <f t="shared" si="16"/>
        <v>insert into ins_premium_det (premium_rcv_code,assorted_code, rec_amount,premium_rcv_detail_code,remaining_amt, payrec, mode_code,coinsurance_code,class_cd,it_remarks) values</v>
      </c>
      <c r="G266" s="83" t="str">
        <f t="shared" si="17"/>
        <v>('24Sep240082','040000178478','12320',(select max(to_number(i.premium_rcv_detail_code))+1
from ins_premium_det i),'12320','12320','02', '11000003','00','Request by Mr. Omair Ali 25-Sep-2024 allocation no 24Sep240082 ');</v>
      </c>
      <c r="H266" s="84" t="str">
        <f t="shared" si="18"/>
        <v>insert into ins_premium_det (premium_rcv_code,assorted_code, rec_amount,premium_rcv_detail_code,remaining_amt, payrec, mode_code,coinsurance_code,class_cd,it_remarks) values('24Sep240082','040000178478','12320',(select max(to_number(i.premium_rcv_detail_code))+1
from ins_premium_det i),'12320','12320','02', '11000003','00','Request by Mr. Omair Ali 25-Sep-2024 allocation no 24Sep240082 ');</v>
      </c>
    </row>
    <row r="267" spans="1:8" ht="105" x14ac:dyDescent="0.25">
      <c r="A267" t="s">
        <v>379</v>
      </c>
      <c r="B267" s="80" t="str">
        <f>VLOOKUP(A267,[1]Sheet1!$B:$C,2,0)</f>
        <v>040000178479</v>
      </c>
      <c r="C267" s="46">
        <v>12320</v>
      </c>
      <c r="D267" s="81">
        <f t="shared" si="19"/>
        <v>12320</v>
      </c>
      <c r="E267" s="79" t="s">
        <v>2492</v>
      </c>
      <c r="F267" s="82" t="str">
        <f t="shared" si="16"/>
        <v>insert into ins_premium_det (premium_rcv_code,assorted_code, rec_amount,premium_rcv_detail_code,remaining_amt, payrec, mode_code,coinsurance_code,class_cd,it_remarks) values</v>
      </c>
      <c r="G267" s="83" t="str">
        <f t="shared" si="17"/>
        <v>('24Sep240082','040000178479','12320',(select max(to_number(i.premium_rcv_detail_code))+1
from ins_premium_det i),'12320','12320','02', '11000003','00','Request by Mr. Omair Ali 25-Sep-2024 allocation no 24Sep240082 ');</v>
      </c>
      <c r="H267" s="84" t="str">
        <f t="shared" si="18"/>
        <v>insert into ins_premium_det (premium_rcv_code,assorted_code, rec_amount,premium_rcv_detail_code,remaining_amt, payrec, mode_code,coinsurance_code,class_cd,it_remarks) values('24Sep240082','040000178479','12320',(select max(to_number(i.premium_rcv_detail_code))+1
from ins_premium_det i),'12320','12320','02', '11000003','00','Request by Mr. Omair Ali 25-Sep-2024 allocation no 24Sep240082 ');</v>
      </c>
    </row>
    <row r="268" spans="1:8" ht="105" x14ac:dyDescent="0.25">
      <c r="A268" t="s">
        <v>380</v>
      </c>
      <c r="B268" s="80" t="str">
        <f>VLOOKUP(A268,[1]Sheet1!$B:$C,2,0)</f>
        <v>040000178480</v>
      </c>
      <c r="C268" s="46">
        <v>9550</v>
      </c>
      <c r="D268" s="81">
        <f t="shared" si="19"/>
        <v>9550</v>
      </c>
      <c r="E268" s="79" t="s">
        <v>2492</v>
      </c>
      <c r="F268" s="82" t="str">
        <f t="shared" si="16"/>
        <v>insert into ins_premium_det (premium_rcv_code,assorted_code, rec_amount,premium_rcv_detail_code,remaining_amt, payrec, mode_code,coinsurance_code,class_cd,it_remarks) values</v>
      </c>
      <c r="G268" s="83" t="str">
        <f t="shared" si="17"/>
        <v>('24Sep240082','040000178480','9550',(select max(to_number(i.premium_rcv_detail_code))+1
from ins_premium_det i),'9550','9550','02', '11000003','00','Request by Mr. Omair Ali 25-Sep-2024 allocation no 24Sep240082 ');</v>
      </c>
      <c r="H268" s="84" t="str">
        <f t="shared" si="18"/>
        <v>insert into ins_premium_det (premium_rcv_code,assorted_code, rec_amount,premium_rcv_detail_code,remaining_amt, payrec, mode_code,coinsurance_code,class_cd,it_remarks) values('24Sep240082','040000178480','9550',(select max(to_number(i.premium_rcv_detail_code))+1
from ins_premium_det i),'9550','9550','02', '11000003','00','Request by Mr. Omair Ali 25-Sep-2024 allocation no 24Sep240082 ');</v>
      </c>
    </row>
    <row r="269" spans="1:8" ht="105" x14ac:dyDescent="0.25">
      <c r="A269" t="s">
        <v>381</v>
      </c>
      <c r="B269" s="80" t="str">
        <f>VLOOKUP(A269,[1]Sheet1!$B:$C,2,0)</f>
        <v>040000178483</v>
      </c>
      <c r="C269" s="46">
        <v>8800</v>
      </c>
      <c r="D269" s="81">
        <f t="shared" si="19"/>
        <v>8800</v>
      </c>
      <c r="E269" s="79" t="s">
        <v>2492</v>
      </c>
      <c r="F269" s="82" t="str">
        <f t="shared" si="16"/>
        <v>insert into ins_premium_det (premium_rcv_code,assorted_code, rec_amount,premium_rcv_detail_code,remaining_amt, payrec, mode_code,coinsurance_code,class_cd,it_remarks) values</v>
      </c>
      <c r="G269" s="83" t="str">
        <f t="shared" si="17"/>
        <v>('24Sep240082','040000178483','8800',(select max(to_number(i.premium_rcv_detail_code))+1
from ins_premium_det i),'8800','8800','02', '11000003','00','Request by Mr. Omair Ali 25-Sep-2024 allocation no 24Sep240082 ');</v>
      </c>
      <c r="H269" s="84" t="str">
        <f t="shared" si="18"/>
        <v>insert into ins_premium_det (premium_rcv_code,assorted_code, rec_amount,premium_rcv_detail_code,remaining_amt, payrec, mode_code,coinsurance_code,class_cd,it_remarks) values('24Sep240082','040000178483','8800',(select max(to_number(i.premium_rcv_detail_code))+1
from ins_premium_det i),'8800','8800','02', '11000003','00','Request by Mr. Omair Ali 25-Sep-2024 allocation no 24Sep240082 ');</v>
      </c>
    </row>
    <row r="270" spans="1:8" ht="105" x14ac:dyDescent="0.25">
      <c r="A270" t="s">
        <v>382</v>
      </c>
      <c r="B270" s="80" t="str">
        <f>VLOOKUP(A270,[1]Sheet1!$B:$C,2,0)</f>
        <v>040000178484</v>
      </c>
      <c r="C270" s="46">
        <v>13370</v>
      </c>
      <c r="D270" s="81">
        <f t="shared" si="19"/>
        <v>13370</v>
      </c>
      <c r="E270" s="79" t="s">
        <v>2492</v>
      </c>
      <c r="F270" s="82" t="str">
        <f t="shared" si="16"/>
        <v>insert into ins_premium_det (premium_rcv_code,assorted_code, rec_amount,premium_rcv_detail_code,remaining_amt, payrec, mode_code,coinsurance_code,class_cd,it_remarks) values</v>
      </c>
      <c r="G270" s="83" t="str">
        <f t="shared" si="17"/>
        <v>('24Sep240082','040000178484','13370',(select max(to_number(i.premium_rcv_detail_code))+1
from ins_premium_det i),'13370','13370','02', '11000003','00','Request by Mr. Omair Ali 25-Sep-2024 allocation no 24Sep240082 ');</v>
      </c>
      <c r="H270" s="84" t="str">
        <f t="shared" si="18"/>
        <v>insert into ins_premium_det (premium_rcv_code,assorted_code, rec_amount,premium_rcv_detail_code,remaining_amt, payrec, mode_code,coinsurance_code,class_cd,it_remarks) values('24Sep240082','040000178484','13370',(select max(to_number(i.premium_rcv_detail_code))+1
from ins_premium_det i),'13370','13370','02', '11000003','00','Request by Mr. Omair Ali 25-Sep-2024 allocation no 24Sep240082 ');</v>
      </c>
    </row>
    <row r="271" spans="1:8" ht="105" x14ac:dyDescent="0.25">
      <c r="A271" t="s">
        <v>383</v>
      </c>
      <c r="B271" s="80" t="str">
        <f>VLOOKUP(A271,[1]Sheet1!$B:$C,2,0)</f>
        <v>040000178485</v>
      </c>
      <c r="C271" s="46">
        <v>13370</v>
      </c>
      <c r="D271" s="81">
        <f t="shared" si="19"/>
        <v>13370</v>
      </c>
      <c r="E271" s="79" t="s">
        <v>2492</v>
      </c>
      <c r="F271" s="82" t="str">
        <f t="shared" si="16"/>
        <v>insert into ins_premium_det (premium_rcv_code,assorted_code, rec_amount,premium_rcv_detail_code,remaining_amt, payrec, mode_code,coinsurance_code,class_cd,it_remarks) values</v>
      </c>
      <c r="G271" s="83" t="str">
        <f t="shared" si="17"/>
        <v>('24Sep240082','040000178485','13370',(select max(to_number(i.premium_rcv_detail_code))+1
from ins_premium_det i),'13370','13370','02', '11000003','00','Request by Mr. Omair Ali 25-Sep-2024 allocation no 24Sep240082 ');</v>
      </c>
      <c r="H271" s="84" t="str">
        <f t="shared" si="18"/>
        <v>insert into ins_premium_det (premium_rcv_code,assorted_code, rec_amount,premium_rcv_detail_code,remaining_amt, payrec, mode_code,coinsurance_code,class_cd,it_remarks) values('24Sep240082','040000178485','13370',(select max(to_number(i.premium_rcv_detail_code))+1
from ins_premium_det i),'13370','13370','02', '11000003','00','Request by Mr. Omair Ali 25-Sep-2024 allocation no 24Sep240082 ');</v>
      </c>
    </row>
    <row r="272" spans="1:8" ht="105" x14ac:dyDescent="0.25">
      <c r="A272" t="s">
        <v>384</v>
      </c>
      <c r="B272" s="80" t="str">
        <f>VLOOKUP(A272,[1]Sheet1!$B:$C,2,0)</f>
        <v>040000178486</v>
      </c>
      <c r="C272" s="46">
        <v>8800</v>
      </c>
      <c r="D272" s="81">
        <f t="shared" si="19"/>
        <v>8800</v>
      </c>
      <c r="E272" s="79" t="s">
        <v>2492</v>
      </c>
      <c r="F272" s="82" t="str">
        <f t="shared" si="16"/>
        <v>insert into ins_premium_det (premium_rcv_code,assorted_code, rec_amount,premium_rcv_detail_code,remaining_amt, payrec, mode_code,coinsurance_code,class_cd,it_remarks) values</v>
      </c>
      <c r="G272" s="83" t="str">
        <f t="shared" si="17"/>
        <v>('24Sep240082','040000178486','8800',(select max(to_number(i.premium_rcv_detail_code))+1
from ins_premium_det i),'8800','8800','02', '11000003','00','Request by Mr. Omair Ali 25-Sep-2024 allocation no 24Sep240082 ');</v>
      </c>
      <c r="H272" s="84" t="str">
        <f t="shared" si="18"/>
        <v>insert into ins_premium_det (premium_rcv_code,assorted_code, rec_amount,premium_rcv_detail_code,remaining_amt, payrec, mode_code,coinsurance_code,class_cd,it_remarks) values('24Sep240082','040000178486','8800',(select max(to_number(i.premium_rcv_detail_code))+1
from ins_premium_det i),'8800','8800','02', '11000003','00','Request by Mr. Omair Ali 25-Sep-2024 allocation no 24Sep240082 ');</v>
      </c>
    </row>
    <row r="273" spans="1:8" ht="105" x14ac:dyDescent="0.25">
      <c r="A273" t="s">
        <v>385</v>
      </c>
      <c r="B273" s="80" t="str">
        <f>VLOOKUP(A273,[1]Sheet1!$B:$C,2,0)</f>
        <v>040000178488</v>
      </c>
      <c r="C273" s="46">
        <v>13370</v>
      </c>
      <c r="D273" s="81">
        <f t="shared" si="19"/>
        <v>13370</v>
      </c>
      <c r="E273" s="79" t="s">
        <v>2492</v>
      </c>
      <c r="F273" s="82" t="str">
        <f t="shared" si="16"/>
        <v>insert into ins_premium_det (premium_rcv_code,assorted_code, rec_amount,premium_rcv_detail_code,remaining_amt, payrec, mode_code,coinsurance_code,class_cd,it_remarks) values</v>
      </c>
      <c r="G273" s="83" t="str">
        <f t="shared" si="17"/>
        <v>('24Sep240082','040000178488','13370',(select max(to_number(i.premium_rcv_detail_code))+1
from ins_premium_det i),'13370','13370','02', '11000003','00','Request by Mr. Omair Ali 25-Sep-2024 allocation no 24Sep240082 ');</v>
      </c>
      <c r="H273" s="84" t="str">
        <f t="shared" si="18"/>
        <v>insert into ins_premium_det (premium_rcv_code,assorted_code, rec_amount,premium_rcv_detail_code,remaining_amt, payrec, mode_code,coinsurance_code,class_cd,it_remarks) values('24Sep240082','040000178488','13370',(select max(to_number(i.premium_rcv_detail_code))+1
from ins_premium_det i),'13370','13370','02', '11000003','00','Request by Mr. Omair Ali 25-Sep-2024 allocation no 24Sep240082 ');</v>
      </c>
    </row>
    <row r="274" spans="1:8" ht="105" x14ac:dyDescent="0.25">
      <c r="A274" t="s">
        <v>386</v>
      </c>
      <c r="B274" s="80" t="str">
        <f>VLOOKUP(A274,[1]Sheet1!$B:$C,2,0)</f>
        <v>040000178489</v>
      </c>
      <c r="C274" s="46">
        <v>13370</v>
      </c>
      <c r="D274" s="81">
        <f t="shared" si="19"/>
        <v>13370</v>
      </c>
      <c r="E274" s="79" t="s">
        <v>2492</v>
      </c>
      <c r="F274" s="82" t="str">
        <f t="shared" si="16"/>
        <v>insert into ins_premium_det (premium_rcv_code,assorted_code, rec_amount,premium_rcv_detail_code,remaining_amt, payrec, mode_code,coinsurance_code,class_cd,it_remarks) values</v>
      </c>
      <c r="G274" s="83" t="str">
        <f t="shared" si="17"/>
        <v>('24Sep240082','040000178489','13370',(select max(to_number(i.premium_rcv_detail_code))+1
from ins_premium_det i),'13370','13370','02', '11000003','00','Request by Mr. Omair Ali 25-Sep-2024 allocation no 24Sep240082 ');</v>
      </c>
      <c r="H274" s="84" t="str">
        <f t="shared" si="18"/>
        <v>insert into ins_premium_det (premium_rcv_code,assorted_code, rec_amount,premium_rcv_detail_code,remaining_amt, payrec, mode_code,coinsurance_code,class_cd,it_remarks) values('24Sep240082','040000178489','13370',(select max(to_number(i.premium_rcv_detail_code))+1
from ins_premium_det i),'13370','13370','02', '11000003','00','Request by Mr. Omair Ali 25-Sep-2024 allocation no 24Sep240082 ');</v>
      </c>
    </row>
    <row r="275" spans="1:8" ht="105" x14ac:dyDescent="0.25">
      <c r="A275" t="s">
        <v>387</v>
      </c>
      <c r="B275" s="80" t="str">
        <f>VLOOKUP(A275,[1]Sheet1!$B:$C,2,0)</f>
        <v>040000178490</v>
      </c>
      <c r="C275" s="46">
        <v>13370</v>
      </c>
      <c r="D275" s="81">
        <f t="shared" si="19"/>
        <v>13370</v>
      </c>
      <c r="E275" s="79" t="s">
        <v>2492</v>
      </c>
      <c r="F275" s="82" t="str">
        <f t="shared" si="16"/>
        <v>insert into ins_premium_det (premium_rcv_code,assorted_code, rec_amount,premium_rcv_detail_code,remaining_amt, payrec, mode_code,coinsurance_code,class_cd,it_remarks) values</v>
      </c>
      <c r="G275" s="83" t="str">
        <f t="shared" si="17"/>
        <v>('24Sep240082','040000178490','13370',(select max(to_number(i.premium_rcv_detail_code))+1
from ins_premium_det i),'13370','13370','02', '11000003','00','Request by Mr. Omair Ali 25-Sep-2024 allocation no 24Sep240082 ');</v>
      </c>
      <c r="H275" s="84" t="str">
        <f t="shared" si="18"/>
        <v>insert into ins_premium_det (premium_rcv_code,assorted_code, rec_amount,premium_rcv_detail_code,remaining_amt, payrec, mode_code,coinsurance_code,class_cd,it_remarks) values('24Sep240082','040000178490','13370',(select max(to_number(i.premium_rcv_detail_code))+1
from ins_premium_det i),'13370','13370','02', '11000003','00','Request by Mr. Omair Ali 25-Sep-2024 allocation no 24Sep240082 ');</v>
      </c>
    </row>
    <row r="276" spans="1:8" ht="105" x14ac:dyDescent="0.25">
      <c r="A276" t="s">
        <v>388</v>
      </c>
      <c r="B276" s="80" t="str">
        <f>VLOOKUP(A276,[1]Sheet1!$B:$C,2,0)</f>
        <v>040000178491</v>
      </c>
      <c r="C276" s="46">
        <v>13370</v>
      </c>
      <c r="D276" s="81">
        <f t="shared" si="19"/>
        <v>13370</v>
      </c>
      <c r="E276" s="79" t="s">
        <v>2492</v>
      </c>
      <c r="F276" s="82" t="str">
        <f t="shared" si="16"/>
        <v>insert into ins_premium_det (premium_rcv_code,assorted_code, rec_amount,premium_rcv_detail_code,remaining_amt, payrec, mode_code,coinsurance_code,class_cd,it_remarks) values</v>
      </c>
      <c r="G276" s="83" t="str">
        <f t="shared" si="17"/>
        <v>('24Sep240082','040000178491','13370',(select max(to_number(i.premium_rcv_detail_code))+1
from ins_premium_det i),'13370','13370','02', '11000003','00','Request by Mr. Omair Ali 25-Sep-2024 allocation no 24Sep240082 ');</v>
      </c>
      <c r="H276" s="84" t="str">
        <f t="shared" si="18"/>
        <v>insert into ins_premium_det (premium_rcv_code,assorted_code, rec_amount,premium_rcv_detail_code,remaining_amt, payrec, mode_code,coinsurance_code,class_cd,it_remarks) values('24Sep240082','040000178491','13370',(select max(to_number(i.premium_rcv_detail_code))+1
from ins_premium_det i),'13370','13370','02', '11000003','00','Request by Mr. Omair Ali 25-Sep-2024 allocation no 24Sep240082 ');</v>
      </c>
    </row>
    <row r="277" spans="1:8" ht="105" x14ac:dyDescent="0.25">
      <c r="A277" t="s">
        <v>389</v>
      </c>
      <c r="B277" s="80" t="str">
        <f>VLOOKUP(A277,[1]Sheet1!$B:$C,2,0)</f>
        <v>040000178520</v>
      </c>
      <c r="C277" s="46">
        <v>8800</v>
      </c>
      <c r="D277" s="81">
        <f t="shared" si="19"/>
        <v>8800</v>
      </c>
      <c r="E277" s="79" t="s">
        <v>2492</v>
      </c>
      <c r="F277" s="82" t="str">
        <f t="shared" si="16"/>
        <v>insert into ins_premium_det (premium_rcv_code,assorted_code, rec_amount,premium_rcv_detail_code,remaining_amt, payrec, mode_code,coinsurance_code,class_cd,it_remarks) values</v>
      </c>
      <c r="G277" s="83" t="str">
        <f t="shared" si="17"/>
        <v>('24Sep240082','040000178520','8800',(select max(to_number(i.premium_rcv_detail_code))+1
from ins_premium_det i),'8800','8800','02', '11000003','00','Request by Mr. Omair Ali 25-Sep-2024 allocation no 24Sep240082 ');</v>
      </c>
      <c r="H277" s="84" t="str">
        <f t="shared" si="18"/>
        <v>insert into ins_premium_det (premium_rcv_code,assorted_code, rec_amount,premium_rcv_detail_code,remaining_amt, payrec, mode_code,coinsurance_code,class_cd,it_remarks) values('24Sep240082','040000178520','8800',(select max(to_number(i.premium_rcv_detail_code))+1
from ins_premium_det i),'8800','8800','02', '11000003','00','Request by Mr. Omair Ali 25-Sep-2024 allocation no 24Sep240082 ');</v>
      </c>
    </row>
    <row r="278" spans="1:8" ht="105" x14ac:dyDescent="0.25">
      <c r="A278" t="s">
        <v>390</v>
      </c>
      <c r="B278" s="80" t="str">
        <f>VLOOKUP(A278,[1]Sheet1!$B:$C,2,0)</f>
        <v>040000178523</v>
      </c>
      <c r="C278" s="46">
        <v>8800</v>
      </c>
      <c r="D278" s="81">
        <f t="shared" si="19"/>
        <v>8800</v>
      </c>
      <c r="E278" s="79" t="s">
        <v>2492</v>
      </c>
      <c r="F278" s="82" t="str">
        <f t="shared" si="16"/>
        <v>insert into ins_premium_det (premium_rcv_code,assorted_code, rec_amount,premium_rcv_detail_code,remaining_amt, payrec, mode_code,coinsurance_code,class_cd,it_remarks) values</v>
      </c>
      <c r="G278" s="83" t="str">
        <f t="shared" si="17"/>
        <v>('24Sep240082','040000178523','8800',(select max(to_number(i.premium_rcv_detail_code))+1
from ins_premium_det i),'8800','8800','02', '11000003','00','Request by Mr. Omair Ali 25-Sep-2024 allocation no 24Sep240082 ');</v>
      </c>
      <c r="H278" s="84" t="str">
        <f t="shared" si="18"/>
        <v>insert into ins_premium_det (premium_rcv_code,assorted_code, rec_amount,premium_rcv_detail_code,remaining_amt, payrec, mode_code,coinsurance_code,class_cd,it_remarks) values('24Sep240082','040000178523','8800',(select max(to_number(i.premium_rcv_detail_code))+1
from ins_premium_det i),'8800','8800','02', '11000003','00','Request by Mr. Omair Ali 25-Sep-2024 allocation no 24Sep240082 ');</v>
      </c>
    </row>
    <row r="279" spans="1:8" ht="105" x14ac:dyDescent="0.25">
      <c r="A279" t="s">
        <v>391</v>
      </c>
      <c r="B279" s="80" t="str">
        <f>VLOOKUP(A279,[1]Sheet1!$B:$C,2,0)</f>
        <v>040000178524</v>
      </c>
      <c r="C279" s="46">
        <v>8800</v>
      </c>
      <c r="D279" s="81">
        <f t="shared" si="19"/>
        <v>8800</v>
      </c>
      <c r="E279" s="79" t="s">
        <v>2492</v>
      </c>
      <c r="F279" s="82" t="str">
        <f t="shared" si="16"/>
        <v>insert into ins_premium_det (premium_rcv_code,assorted_code, rec_amount,premium_rcv_detail_code,remaining_amt, payrec, mode_code,coinsurance_code,class_cd,it_remarks) values</v>
      </c>
      <c r="G279" s="83" t="str">
        <f t="shared" si="17"/>
        <v>('24Sep240082','040000178524','8800',(select max(to_number(i.premium_rcv_detail_code))+1
from ins_premium_det i),'8800','8800','02', '11000003','00','Request by Mr. Omair Ali 25-Sep-2024 allocation no 24Sep240082 ');</v>
      </c>
      <c r="H279" s="84" t="str">
        <f t="shared" si="18"/>
        <v>insert into ins_premium_det (premium_rcv_code,assorted_code, rec_amount,premium_rcv_detail_code,remaining_amt, payrec, mode_code,coinsurance_code,class_cd,it_remarks) values('24Sep240082','040000178524','8800',(select max(to_number(i.premium_rcv_detail_code))+1
from ins_premium_det i),'8800','8800','02', '11000003','00','Request by Mr. Omair Ali 25-Sep-2024 allocation no 24Sep240082 ');</v>
      </c>
    </row>
    <row r="280" spans="1:8" ht="105" x14ac:dyDescent="0.25">
      <c r="A280" t="s">
        <v>392</v>
      </c>
      <c r="B280" s="80" t="str">
        <f>VLOOKUP(A280,[1]Sheet1!$B:$C,2,0)</f>
        <v>040000178527</v>
      </c>
      <c r="C280" s="46">
        <v>8800</v>
      </c>
      <c r="D280" s="81">
        <f t="shared" si="19"/>
        <v>8800</v>
      </c>
      <c r="E280" s="79" t="s">
        <v>2492</v>
      </c>
      <c r="F280" s="82" t="str">
        <f t="shared" si="16"/>
        <v>insert into ins_premium_det (premium_rcv_code,assorted_code, rec_amount,premium_rcv_detail_code,remaining_amt, payrec, mode_code,coinsurance_code,class_cd,it_remarks) values</v>
      </c>
      <c r="G280" s="83" t="str">
        <f t="shared" si="17"/>
        <v>('24Sep240082','040000178527','8800',(select max(to_number(i.premium_rcv_detail_code))+1
from ins_premium_det i),'8800','8800','02', '11000003','00','Request by Mr. Omair Ali 25-Sep-2024 allocation no 24Sep240082 ');</v>
      </c>
      <c r="H280" s="84" t="str">
        <f t="shared" si="18"/>
        <v>insert into ins_premium_det (premium_rcv_code,assorted_code, rec_amount,premium_rcv_detail_code,remaining_amt, payrec, mode_code,coinsurance_code,class_cd,it_remarks) values('24Sep240082','040000178527','8800',(select max(to_number(i.premium_rcv_detail_code))+1
from ins_premium_det i),'8800','8800','02', '11000003','00','Request by Mr. Omair Ali 25-Sep-2024 allocation no 24Sep240082 ');</v>
      </c>
    </row>
    <row r="281" spans="1:8" ht="105" x14ac:dyDescent="0.25">
      <c r="A281" t="s">
        <v>393</v>
      </c>
      <c r="B281" s="80" t="str">
        <f>VLOOKUP(A281,[1]Sheet1!$B:$C,2,0)</f>
        <v>040000178529</v>
      </c>
      <c r="C281" s="46">
        <v>13675</v>
      </c>
      <c r="D281" s="81">
        <f t="shared" si="19"/>
        <v>13675</v>
      </c>
      <c r="E281" s="79" t="s">
        <v>2492</v>
      </c>
      <c r="F281" s="82" t="str">
        <f t="shared" si="16"/>
        <v>insert into ins_premium_det (premium_rcv_code,assorted_code, rec_amount,premium_rcv_detail_code,remaining_amt, payrec, mode_code,coinsurance_code,class_cd,it_remarks) values</v>
      </c>
      <c r="G281" s="83" t="str">
        <f t="shared" si="17"/>
        <v>('24Sep240082','040000178529','13675',(select max(to_number(i.premium_rcv_detail_code))+1
from ins_premium_det i),'13675','13675','02', '11000003','00','Request by Mr. Omair Ali 25-Sep-2024 allocation no 24Sep240082 ');</v>
      </c>
      <c r="H281" s="84" t="str">
        <f t="shared" si="18"/>
        <v>insert into ins_premium_det (premium_rcv_code,assorted_code, rec_amount,premium_rcv_detail_code,remaining_amt, payrec, mode_code,coinsurance_code,class_cd,it_remarks) values('24Sep240082','040000178529','13675',(select max(to_number(i.premium_rcv_detail_code))+1
from ins_premium_det i),'13675','13675','02', '11000003','00','Request by Mr. Omair Ali 25-Sep-2024 allocation no 24Sep240082 ');</v>
      </c>
    </row>
    <row r="282" spans="1:8" ht="105" x14ac:dyDescent="0.25">
      <c r="A282" t="s">
        <v>394</v>
      </c>
      <c r="B282" s="80" t="str">
        <f>VLOOKUP(A282,[1]Sheet1!$B:$C,2,0)</f>
        <v>040000178532</v>
      </c>
      <c r="C282" s="46">
        <v>8800</v>
      </c>
      <c r="D282" s="81">
        <f t="shared" si="19"/>
        <v>8800</v>
      </c>
      <c r="E282" s="79" t="s">
        <v>2492</v>
      </c>
      <c r="F282" s="82" t="str">
        <f t="shared" si="16"/>
        <v>insert into ins_premium_det (premium_rcv_code,assorted_code, rec_amount,premium_rcv_detail_code,remaining_amt, payrec, mode_code,coinsurance_code,class_cd,it_remarks) values</v>
      </c>
      <c r="G282" s="83" t="str">
        <f t="shared" si="17"/>
        <v>('24Sep240082','040000178532','8800',(select max(to_number(i.premium_rcv_detail_code))+1
from ins_premium_det i),'8800','8800','02', '11000003','00','Request by Mr. Omair Ali 25-Sep-2024 allocation no 24Sep240082 ');</v>
      </c>
      <c r="H282" s="84" t="str">
        <f t="shared" si="18"/>
        <v>insert into ins_premium_det (premium_rcv_code,assorted_code, rec_amount,premium_rcv_detail_code,remaining_amt, payrec, mode_code,coinsurance_code,class_cd,it_remarks) values('24Sep240082','040000178532','8800',(select max(to_number(i.premium_rcv_detail_code))+1
from ins_premium_det i),'8800','8800','02', '11000003','00','Request by Mr. Omair Ali 25-Sep-2024 allocation no 24Sep240082 ');</v>
      </c>
    </row>
    <row r="283" spans="1:8" ht="105" x14ac:dyDescent="0.25">
      <c r="A283" t="s">
        <v>395</v>
      </c>
      <c r="B283" s="80" t="str">
        <f>VLOOKUP(A283,[1]Sheet1!$B:$C,2,0)</f>
        <v>040000178534</v>
      </c>
      <c r="C283" s="46">
        <v>12320</v>
      </c>
      <c r="D283" s="81">
        <f t="shared" si="19"/>
        <v>12320</v>
      </c>
      <c r="E283" s="79" t="s">
        <v>2492</v>
      </c>
      <c r="F283" s="82" t="str">
        <f t="shared" si="16"/>
        <v>insert into ins_premium_det (premium_rcv_code,assorted_code, rec_amount,premium_rcv_detail_code,remaining_amt, payrec, mode_code,coinsurance_code,class_cd,it_remarks) values</v>
      </c>
      <c r="G283" s="83" t="str">
        <f t="shared" si="17"/>
        <v>('24Sep240082','040000178534','12320',(select max(to_number(i.premium_rcv_detail_code))+1
from ins_premium_det i),'12320','12320','02', '11000003','00','Request by Mr. Omair Ali 25-Sep-2024 allocation no 24Sep240082 ');</v>
      </c>
      <c r="H283" s="84" t="str">
        <f t="shared" si="18"/>
        <v>insert into ins_premium_det (premium_rcv_code,assorted_code, rec_amount,premium_rcv_detail_code,remaining_amt, payrec, mode_code,coinsurance_code,class_cd,it_remarks) values('24Sep240082','040000178534','12320',(select max(to_number(i.premium_rcv_detail_code))+1
from ins_premium_det i),'12320','12320','02', '11000003','00','Request by Mr. Omair Ali 25-Sep-2024 allocation no 24Sep240082 ');</v>
      </c>
    </row>
    <row r="284" spans="1:8" ht="105" x14ac:dyDescent="0.25">
      <c r="A284" t="s">
        <v>396</v>
      </c>
      <c r="B284" s="80" t="str">
        <f>VLOOKUP(A284,[1]Sheet1!$B:$C,2,0)</f>
        <v>040000178535</v>
      </c>
      <c r="C284" s="46">
        <v>12320</v>
      </c>
      <c r="D284" s="81">
        <f t="shared" si="19"/>
        <v>12320</v>
      </c>
      <c r="E284" s="79" t="s">
        <v>2492</v>
      </c>
      <c r="F284" s="82" t="str">
        <f t="shared" si="16"/>
        <v>insert into ins_premium_det (premium_rcv_code,assorted_code, rec_amount,premium_rcv_detail_code,remaining_amt, payrec, mode_code,coinsurance_code,class_cd,it_remarks) values</v>
      </c>
      <c r="G284" s="83" t="str">
        <f t="shared" si="17"/>
        <v>('24Sep240082','040000178535','12320',(select max(to_number(i.premium_rcv_detail_code))+1
from ins_premium_det i),'12320','12320','02', '11000003','00','Request by Mr. Omair Ali 25-Sep-2024 allocation no 24Sep240082 ');</v>
      </c>
      <c r="H284" s="84" t="str">
        <f t="shared" si="18"/>
        <v>insert into ins_premium_det (premium_rcv_code,assorted_code, rec_amount,premium_rcv_detail_code,remaining_amt, payrec, mode_code,coinsurance_code,class_cd,it_remarks) values('24Sep240082','040000178535','12320',(select max(to_number(i.premium_rcv_detail_code))+1
from ins_premium_det i),'12320','12320','02', '11000003','00','Request by Mr. Omair Ali 25-Sep-2024 allocation no 24Sep240082 ');</v>
      </c>
    </row>
    <row r="285" spans="1:8" ht="105" x14ac:dyDescent="0.25">
      <c r="A285" t="s">
        <v>397</v>
      </c>
      <c r="B285" s="80" t="str">
        <f>VLOOKUP(A285,[1]Sheet1!$B:$C,2,0)</f>
        <v>040000178538</v>
      </c>
      <c r="C285" s="46">
        <v>12320</v>
      </c>
      <c r="D285" s="81">
        <f t="shared" si="19"/>
        <v>12320</v>
      </c>
      <c r="E285" s="79" t="s">
        <v>2492</v>
      </c>
      <c r="F285" s="82" t="str">
        <f t="shared" si="16"/>
        <v>insert into ins_premium_det (premium_rcv_code,assorted_code, rec_amount,premium_rcv_detail_code,remaining_amt, payrec, mode_code,coinsurance_code,class_cd,it_remarks) values</v>
      </c>
      <c r="G285" s="83" t="str">
        <f t="shared" si="17"/>
        <v>('24Sep240082','040000178538','12320',(select max(to_number(i.premium_rcv_detail_code))+1
from ins_premium_det i),'12320','12320','02', '11000003','00','Request by Mr. Omair Ali 25-Sep-2024 allocation no 24Sep240082 ');</v>
      </c>
      <c r="H285" s="84" t="str">
        <f t="shared" si="18"/>
        <v>insert into ins_premium_det (premium_rcv_code,assorted_code, rec_amount,premium_rcv_detail_code,remaining_amt, payrec, mode_code,coinsurance_code,class_cd,it_remarks) values('24Sep240082','040000178538','12320',(select max(to_number(i.premium_rcv_detail_code))+1
from ins_premium_det i),'12320','12320','02', '11000003','00','Request by Mr. Omair Ali 25-Sep-2024 allocation no 24Sep240082 ');</v>
      </c>
    </row>
    <row r="286" spans="1:8" ht="105" x14ac:dyDescent="0.25">
      <c r="A286" t="s">
        <v>398</v>
      </c>
      <c r="B286" s="80" t="str">
        <f>VLOOKUP(A286,[1]Sheet1!$B:$C,2,0)</f>
        <v>040000178540</v>
      </c>
      <c r="C286" s="46">
        <v>8800</v>
      </c>
      <c r="D286" s="81">
        <f t="shared" si="19"/>
        <v>8800</v>
      </c>
      <c r="E286" s="79" t="s">
        <v>2492</v>
      </c>
      <c r="F286" s="82" t="str">
        <f t="shared" si="16"/>
        <v>insert into ins_premium_det (premium_rcv_code,assorted_code, rec_amount,premium_rcv_detail_code,remaining_amt, payrec, mode_code,coinsurance_code,class_cd,it_remarks) values</v>
      </c>
      <c r="G286" s="83" t="str">
        <f t="shared" si="17"/>
        <v>('24Sep240082','040000178540','8800',(select max(to_number(i.premium_rcv_detail_code))+1
from ins_premium_det i),'8800','8800','02', '11000003','00','Request by Mr. Omair Ali 25-Sep-2024 allocation no 24Sep240082 ');</v>
      </c>
      <c r="H286" s="84" t="str">
        <f t="shared" si="18"/>
        <v>insert into ins_premium_det (premium_rcv_code,assorted_code, rec_amount,premium_rcv_detail_code,remaining_amt, payrec, mode_code,coinsurance_code,class_cd,it_remarks) values('24Sep240082','040000178540','8800',(select max(to_number(i.premium_rcv_detail_code))+1
from ins_premium_det i),'8800','8800','02', '11000003','00','Request by Mr. Omair Ali 25-Sep-2024 allocation no 24Sep240082 ');</v>
      </c>
    </row>
    <row r="287" spans="1:8" ht="105" x14ac:dyDescent="0.25">
      <c r="A287" t="s">
        <v>399</v>
      </c>
      <c r="B287" s="80" t="str">
        <f>VLOOKUP(A287,[1]Sheet1!$B:$C,2,0)</f>
        <v>040000178553</v>
      </c>
      <c r="C287" s="46">
        <v>19145</v>
      </c>
      <c r="D287" s="81">
        <f t="shared" si="19"/>
        <v>19145</v>
      </c>
      <c r="E287" s="79" t="s">
        <v>2492</v>
      </c>
      <c r="F287" s="82" t="str">
        <f t="shared" si="16"/>
        <v>insert into ins_premium_det (premium_rcv_code,assorted_code, rec_amount,premium_rcv_detail_code,remaining_amt, payrec, mode_code,coinsurance_code,class_cd,it_remarks) values</v>
      </c>
      <c r="G287" s="83" t="str">
        <f t="shared" si="17"/>
        <v>('24Sep240082','040000178553','19145',(select max(to_number(i.premium_rcv_detail_code))+1
from ins_premium_det i),'19145','19145','02', '11000003','00','Request by Mr. Omair Ali 25-Sep-2024 allocation no 24Sep240082 ');</v>
      </c>
      <c r="H287" s="84" t="str">
        <f t="shared" si="18"/>
        <v>insert into ins_premium_det (premium_rcv_code,assorted_code, rec_amount,premium_rcv_detail_code,remaining_amt, payrec, mode_code,coinsurance_code,class_cd,it_remarks) values('24Sep240082','040000178553','19145',(select max(to_number(i.premium_rcv_detail_code))+1
from ins_premium_det i),'19145','19145','02', '11000003','00','Request by Mr. Omair Ali 25-Sep-2024 allocation no 24Sep240082 ');</v>
      </c>
    </row>
    <row r="288" spans="1:8" ht="105" x14ac:dyDescent="0.25">
      <c r="A288" t="s">
        <v>400</v>
      </c>
      <c r="B288" s="80" t="str">
        <f>VLOOKUP(A288,[1]Sheet1!$B:$C,2,0)</f>
        <v>040000178557</v>
      </c>
      <c r="C288" s="46">
        <v>9550</v>
      </c>
      <c r="D288" s="81">
        <f t="shared" si="19"/>
        <v>9550</v>
      </c>
      <c r="E288" s="79" t="s">
        <v>2492</v>
      </c>
      <c r="F288" s="82" t="str">
        <f t="shared" si="16"/>
        <v>insert into ins_premium_det (premium_rcv_code,assorted_code, rec_amount,premium_rcv_detail_code,remaining_amt, payrec, mode_code,coinsurance_code,class_cd,it_remarks) values</v>
      </c>
      <c r="G288" s="83" t="str">
        <f t="shared" si="17"/>
        <v>('24Sep240082','040000178557','9550',(select max(to_number(i.premium_rcv_detail_code))+1
from ins_premium_det i),'9550','9550','02', '11000003','00','Request by Mr. Omair Ali 25-Sep-2024 allocation no 24Sep240082 ');</v>
      </c>
      <c r="H288" s="84" t="str">
        <f t="shared" si="18"/>
        <v>insert into ins_premium_det (premium_rcv_code,assorted_code, rec_amount,premium_rcv_detail_code,remaining_amt, payrec, mode_code,coinsurance_code,class_cd,it_remarks) values('24Sep240082','040000178557','9550',(select max(to_number(i.premium_rcv_detail_code))+1
from ins_premium_det i),'9550','9550','02', '11000003','00','Request by Mr. Omair Ali 25-Sep-2024 allocation no 24Sep240082 ');</v>
      </c>
    </row>
    <row r="289" spans="1:8" ht="105" x14ac:dyDescent="0.25">
      <c r="A289" t="s">
        <v>401</v>
      </c>
      <c r="B289" s="80" t="str">
        <f>VLOOKUP(A289,[1]Sheet1!$B:$C,2,0)</f>
        <v>040000178559</v>
      </c>
      <c r="C289" s="46">
        <v>13675</v>
      </c>
      <c r="D289" s="81">
        <f t="shared" si="19"/>
        <v>13675</v>
      </c>
      <c r="E289" s="79" t="s">
        <v>2492</v>
      </c>
      <c r="F289" s="82" t="str">
        <f t="shared" si="16"/>
        <v>insert into ins_premium_det (premium_rcv_code,assorted_code, rec_amount,premium_rcv_detail_code,remaining_amt, payrec, mode_code,coinsurance_code,class_cd,it_remarks) values</v>
      </c>
      <c r="G289" s="83" t="str">
        <f t="shared" si="17"/>
        <v>('24Sep240082','040000178559','13675',(select max(to_number(i.premium_rcv_detail_code))+1
from ins_premium_det i),'13675','13675','02', '11000003','00','Request by Mr. Omair Ali 25-Sep-2024 allocation no 24Sep240082 ');</v>
      </c>
      <c r="H289" s="84" t="str">
        <f t="shared" si="18"/>
        <v>insert into ins_premium_det (premium_rcv_code,assorted_code, rec_amount,premium_rcv_detail_code,remaining_amt, payrec, mode_code,coinsurance_code,class_cd,it_remarks) values('24Sep240082','040000178559','13675',(select max(to_number(i.premium_rcv_detail_code))+1
from ins_premium_det i),'13675','13675','02', '11000003','00','Request by Mr. Omair Ali 25-Sep-2024 allocation no 24Sep240082 ');</v>
      </c>
    </row>
    <row r="290" spans="1:8" ht="105" x14ac:dyDescent="0.25">
      <c r="A290" t="s">
        <v>402</v>
      </c>
      <c r="B290" s="80" t="str">
        <f>VLOOKUP(A290,[1]Sheet1!$B:$C,2,0)</f>
        <v>040000178561</v>
      </c>
      <c r="C290" s="46">
        <v>8800</v>
      </c>
      <c r="D290" s="81">
        <f t="shared" si="19"/>
        <v>8800</v>
      </c>
      <c r="E290" s="79" t="s">
        <v>2492</v>
      </c>
      <c r="F290" s="82" t="str">
        <f t="shared" si="16"/>
        <v>insert into ins_premium_det (premium_rcv_code,assorted_code, rec_amount,premium_rcv_detail_code,remaining_amt, payrec, mode_code,coinsurance_code,class_cd,it_remarks) values</v>
      </c>
      <c r="G290" s="83" t="str">
        <f t="shared" si="17"/>
        <v>('24Sep240082','040000178561','8800',(select max(to_number(i.premium_rcv_detail_code))+1
from ins_premium_det i),'8800','8800','02', '11000003','00','Request by Mr. Omair Ali 25-Sep-2024 allocation no 24Sep240082 ');</v>
      </c>
      <c r="H290" s="84" t="str">
        <f t="shared" si="18"/>
        <v>insert into ins_premium_det (premium_rcv_code,assorted_code, rec_amount,premium_rcv_detail_code,remaining_amt, payrec, mode_code,coinsurance_code,class_cd,it_remarks) values('24Sep240082','040000178561','8800',(select max(to_number(i.premium_rcv_detail_code))+1
from ins_premium_det i),'8800','8800','02', '11000003','00','Request by Mr. Omair Ali 25-Sep-2024 allocation no 24Sep240082 ');</v>
      </c>
    </row>
    <row r="291" spans="1:8" ht="105" x14ac:dyDescent="0.25">
      <c r="A291" t="s">
        <v>403</v>
      </c>
      <c r="B291" s="80" t="str">
        <f>VLOOKUP(A291,[1]Sheet1!$B:$C,2,0)</f>
        <v>040000178562</v>
      </c>
      <c r="C291" s="46">
        <v>8800</v>
      </c>
      <c r="D291" s="81">
        <f t="shared" si="19"/>
        <v>8800</v>
      </c>
      <c r="E291" s="79" t="s">
        <v>2492</v>
      </c>
      <c r="F291" s="82" t="str">
        <f t="shared" si="16"/>
        <v>insert into ins_premium_det (premium_rcv_code,assorted_code, rec_amount,premium_rcv_detail_code,remaining_amt, payrec, mode_code,coinsurance_code,class_cd,it_remarks) values</v>
      </c>
      <c r="G291" s="83" t="str">
        <f t="shared" si="17"/>
        <v>('24Sep240082','040000178562','8800',(select max(to_number(i.premium_rcv_detail_code))+1
from ins_premium_det i),'8800','8800','02', '11000003','00','Request by Mr. Omair Ali 25-Sep-2024 allocation no 24Sep240082 ');</v>
      </c>
      <c r="H291" s="84" t="str">
        <f t="shared" si="18"/>
        <v>insert into ins_premium_det (premium_rcv_code,assorted_code, rec_amount,premium_rcv_detail_code,remaining_amt, payrec, mode_code,coinsurance_code,class_cd,it_remarks) values('24Sep240082','040000178562','8800',(select max(to_number(i.premium_rcv_detail_code))+1
from ins_premium_det i),'8800','8800','02', '11000003','00','Request by Mr. Omair Ali 25-Sep-2024 allocation no 24Sep240082 ');</v>
      </c>
    </row>
    <row r="292" spans="1:8" ht="105" x14ac:dyDescent="0.25">
      <c r="A292" t="s">
        <v>404</v>
      </c>
      <c r="B292" s="80" t="str">
        <f>VLOOKUP(A292,[1]Sheet1!$B:$C,2,0)</f>
        <v>040000178564</v>
      </c>
      <c r="C292" s="46">
        <v>9550</v>
      </c>
      <c r="D292" s="81">
        <f t="shared" si="19"/>
        <v>9550</v>
      </c>
      <c r="E292" s="79" t="s">
        <v>2492</v>
      </c>
      <c r="F292" s="82" t="str">
        <f t="shared" si="16"/>
        <v>insert into ins_premium_det (premium_rcv_code,assorted_code, rec_amount,premium_rcv_detail_code,remaining_amt, payrec, mode_code,coinsurance_code,class_cd,it_remarks) values</v>
      </c>
      <c r="G292" s="83" t="str">
        <f t="shared" si="17"/>
        <v>('24Sep240082','040000178564','9550',(select max(to_number(i.premium_rcv_detail_code))+1
from ins_premium_det i),'9550','9550','02', '11000003','00','Request by Mr. Omair Ali 25-Sep-2024 allocation no 24Sep240082 ');</v>
      </c>
      <c r="H292" s="84" t="str">
        <f t="shared" si="18"/>
        <v>insert into ins_premium_det (premium_rcv_code,assorted_code, rec_amount,premium_rcv_detail_code,remaining_amt, payrec, mode_code,coinsurance_code,class_cd,it_remarks) values('24Sep240082','040000178564','9550',(select max(to_number(i.premium_rcv_detail_code))+1
from ins_premium_det i),'9550','9550','02', '11000003','00','Request by Mr. Omair Ali 25-Sep-2024 allocation no 24Sep240082 ');</v>
      </c>
    </row>
    <row r="293" spans="1:8" ht="105" x14ac:dyDescent="0.25">
      <c r="A293" t="s">
        <v>405</v>
      </c>
      <c r="B293" s="80" t="str">
        <f>VLOOKUP(A293,[1]Sheet1!$B:$C,2,0)</f>
        <v>040000178565</v>
      </c>
      <c r="C293" s="46">
        <v>12475</v>
      </c>
      <c r="D293" s="81">
        <f t="shared" si="19"/>
        <v>12475</v>
      </c>
      <c r="E293" s="79" t="s">
        <v>2492</v>
      </c>
      <c r="F293" s="82" t="str">
        <f t="shared" si="16"/>
        <v>insert into ins_premium_det (premium_rcv_code,assorted_code, rec_amount,premium_rcv_detail_code,remaining_amt, payrec, mode_code,coinsurance_code,class_cd,it_remarks) values</v>
      </c>
      <c r="G293" s="83" t="str">
        <f t="shared" si="17"/>
        <v>('24Sep240082','040000178565','12475',(select max(to_number(i.premium_rcv_detail_code))+1
from ins_premium_det i),'12475','12475','02', '11000003','00','Request by Mr. Omair Ali 25-Sep-2024 allocation no 24Sep240082 ');</v>
      </c>
      <c r="H293" s="84" t="str">
        <f t="shared" si="18"/>
        <v>insert into ins_premium_det (premium_rcv_code,assorted_code, rec_amount,premium_rcv_detail_code,remaining_amt, payrec, mode_code,coinsurance_code,class_cd,it_remarks) values('24Sep240082','040000178565','12475',(select max(to_number(i.premium_rcv_detail_code))+1
from ins_premium_det i),'12475','12475','02', '11000003','00','Request by Mr. Omair Ali 25-Sep-2024 allocation no 24Sep240082 ');</v>
      </c>
    </row>
    <row r="294" spans="1:8" ht="105" x14ac:dyDescent="0.25">
      <c r="A294" t="s">
        <v>406</v>
      </c>
      <c r="B294" s="80" t="str">
        <f>VLOOKUP(A294,[1]Sheet1!$B:$C,2,0)</f>
        <v>040000178569</v>
      </c>
      <c r="C294" s="46">
        <v>12320</v>
      </c>
      <c r="D294" s="81">
        <f t="shared" si="19"/>
        <v>12320</v>
      </c>
      <c r="E294" s="79" t="s">
        <v>2492</v>
      </c>
      <c r="F294" s="82" t="str">
        <f t="shared" si="16"/>
        <v>insert into ins_premium_det (premium_rcv_code,assorted_code, rec_amount,premium_rcv_detail_code,remaining_amt, payrec, mode_code,coinsurance_code,class_cd,it_remarks) values</v>
      </c>
      <c r="G294" s="83" t="str">
        <f t="shared" si="17"/>
        <v>('24Sep240082','040000178569','12320',(select max(to_number(i.premium_rcv_detail_code))+1
from ins_premium_det i),'12320','12320','02', '11000003','00','Request by Mr. Omair Ali 25-Sep-2024 allocation no 24Sep240082 ');</v>
      </c>
      <c r="H294" s="84" t="str">
        <f t="shared" si="18"/>
        <v>insert into ins_premium_det (premium_rcv_code,assorted_code, rec_amount,premium_rcv_detail_code,remaining_amt, payrec, mode_code,coinsurance_code,class_cd,it_remarks) values('24Sep240082','040000178569','12320',(select max(to_number(i.premium_rcv_detail_code))+1
from ins_premium_det i),'12320','12320','02', '11000003','00','Request by Mr. Omair Ali 25-Sep-2024 allocation no 24Sep240082 ');</v>
      </c>
    </row>
    <row r="295" spans="1:8" ht="105" x14ac:dyDescent="0.25">
      <c r="A295" t="s">
        <v>407</v>
      </c>
      <c r="B295" s="80" t="str">
        <f>VLOOKUP(A295,[1]Sheet1!$B:$C,2,0)</f>
        <v>040000178570</v>
      </c>
      <c r="C295" s="46">
        <v>12320</v>
      </c>
      <c r="D295" s="81">
        <f t="shared" si="19"/>
        <v>12320</v>
      </c>
      <c r="E295" s="79" t="s">
        <v>2492</v>
      </c>
      <c r="F295" s="82" t="str">
        <f t="shared" si="16"/>
        <v>insert into ins_premium_det (premium_rcv_code,assorted_code, rec_amount,premium_rcv_detail_code,remaining_amt, payrec, mode_code,coinsurance_code,class_cd,it_remarks) values</v>
      </c>
      <c r="G295" s="83" t="str">
        <f t="shared" si="17"/>
        <v>('24Sep240082','040000178570','12320',(select max(to_number(i.premium_rcv_detail_code))+1
from ins_premium_det i),'12320','12320','02', '11000003','00','Request by Mr. Omair Ali 25-Sep-2024 allocation no 24Sep240082 ');</v>
      </c>
      <c r="H295" s="84" t="str">
        <f t="shared" si="18"/>
        <v>insert into ins_premium_det (premium_rcv_code,assorted_code, rec_amount,premium_rcv_detail_code,remaining_amt, payrec, mode_code,coinsurance_code,class_cd,it_remarks) values('24Sep240082','040000178570','12320',(select max(to_number(i.premium_rcv_detail_code))+1
from ins_premium_det i),'12320','12320','02', '11000003','00','Request by Mr. Omair Ali 25-Sep-2024 allocation no 24Sep240082 ');</v>
      </c>
    </row>
    <row r="296" spans="1:8" ht="105" x14ac:dyDescent="0.25">
      <c r="A296" t="s">
        <v>408</v>
      </c>
      <c r="B296" s="80" t="str">
        <f>VLOOKUP(A296,[1]Sheet1!$B:$C,2,0)</f>
        <v>040000178571</v>
      </c>
      <c r="C296" s="46">
        <v>13370</v>
      </c>
      <c r="D296" s="81">
        <f t="shared" si="19"/>
        <v>13370</v>
      </c>
      <c r="E296" s="79" t="s">
        <v>2492</v>
      </c>
      <c r="F296" s="82" t="str">
        <f t="shared" si="16"/>
        <v>insert into ins_premium_det (premium_rcv_code,assorted_code, rec_amount,premium_rcv_detail_code,remaining_amt, payrec, mode_code,coinsurance_code,class_cd,it_remarks) values</v>
      </c>
      <c r="G296" s="83" t="str">
        <f t="shared" si="17"/>
        <v>('24Sep240082','040000178571','13370',(select max(to_number(i.premium_rcv_detail_code))+1
from ins_premium_det i),'13370','13370','02', '11000003','00','Request by Mr. Omair Ali 25-Sep-2024 allocation no 24Sep240082 ');</v>
      </c>
      <c r="H296" s="84" t="str">
        <f t="shared" si="18"/>
        <v>insert into ins_premium_det (premium_rcv_code,assorted_code, rec_amount,premium_rcv_detail_code,remaining_amt, payrec, mode_code,coinsurance_code,class_cd,it_remarks) values('24Sep240082','040000178571','13370',(select max(to_number(i.premium_rcv_detail_code))+1
from ins_premium_det i),'13370','13370','02', '11000003','00','Request by Mr. Omair Ali 25-Sep-2024 allocation no 24Sep240082 ');</v>
      </c>
    </row>
    <row r="297" spans="1:8" ht="105" x14ac:dyDescent="0.25">
      <c r="A297" t="s">
        <v>409</v>
      </c>
      <c r="B297" s="80" t="str">
        <f>VLOOKUP(A297,[1]Sheet1!$B:$C,2,0)</f>
        <v>040000178581</v>
      </c>
      <c r="C297" s="46">
        <v>13370</v>
      </c>
      <c r="D297" s="81">
        <f t="shared" si="19"/>
        <v>13370</v>
      </c>
      <c r="E297" s="79" t="s">
        <v>2492</v>
      </c>
      <c r="F297" s="82" t="str">
        <f t="shared" si="16"/>
        <v>insert into ins_premium_det (premium_rcv_code,assorted_code, rec_amount,premium_rcv_detail_code,remaining_amt, payrec, mode_code,coinsurance_code,class_cd,it_remarks) values</v>
      </c>
      <c r="G297" s="83" t="str">
        <f t="shared" si="17"/>
        <v>('24Sep240082','040000178581','13370',(select max(to_number(i.premium_rcv_detail_code))+1
from ins_premium_det i),'13370','13370','02', '11000003','00','Request by Mr. Omair Ali 25-Sep-2024 allocation no 24Sep240082 ');</v>
      </c>
      <c r="H297" s="84" t="str">
        <f t="shared" si="18"/>
        <v>insert into ins_premium_det (premium_rcv_code,assorted_code, rec_amount,premium_rcv_detail_code,remaining_amt, payrec, mode_code,coinsurance_code,class_cd,it_remarks) values('24Sep240082','040000178581','13370',(select max(to_number(i.premium_rcv_detail_code))+1
from ins_premium_det i),'13370','13370','02', '11000003','00','Request by Mr. Omair Ali 25-Sep-2024 allocation no 24Sep240082 ');</v>
      </c>
    </row>
    <row r="298" spans="1:8" ht="105" x14ac:dyDescent="0.25">
      <c r="A298" t="s">
        <v>410</v>
      </c>
      <c r="B298" s="80" t="str">
        <f>VLOOKUP(A298,[1]Sheet1!$B:$C,2,0)</f>
        <v>040000178583</v>
      </c>
      <c r="C298" s="46">
        <v>12475</v>
      </c>
      <c r="D298" s="81">
        <f t="shared" si="19"/>
        <v>12475</v>
      </c>
      <c r="E298" s="79" t="s">
        <v>2492</v>
      </c>
      <c r="F298" s="82" t="str">
        <f t="shared" si="16"/>
        <v>insert into ins_premium_det (premium_rcv_code,assorted_code, rec_amount,premium_rcv_detail_code,remaining_amt, payrec, mode_code,coinsurance_code,class_cd,it_remarks) values</v>
      </c>
      <c r="G298" s="83" t="str">
        <f t="shared" si="17"/>
        <v>('24Sep240082','040000178583','12475',(select max(to_number(i.premium_rcv_detail_code))+1
from ins_premium_det i),'12475','12475','02', '11000003','00','Request by Mr. Omair Ali 25-Sep-2024 allocation no 24Sep240082 ');</v>
      </c>
      <c r="H298" s="84" t="str">
        <f t="shared" si="18"/>
        <v>insert into ins_premium_det (premium_rcv_code,assorted_code, rec_amount,premium_rcv_detail_code,remaining_amt, payrec, mode_code,coinsurance_code,class_cd,it_remarks) values('24Sep240082','040000178583','12475',(select max(to_number(i.premium_rcv_detail_code))+1
from ins_premium_det i),'12475','12475','02', '11000003','00','Request by Mr. Omair Ali 25-Sep-2024 allocation no 24Sep240082 ');</v>
      </c>
    </row>
    <row r="299" spans="1:8" ht="105" x14ac:dyDescent="0.25">
      <c r="A299" t="s">
        <v>411</v>
      </c>
      <c r="B299" s="80" t="str">
        <f>VLOOKUP(A299,[1]Sheet1!$B:$C,2,0)</f>
        <v>040000178585</v>
      </c>
      <c r="C299" s="46">
        <v>9550</v>
      </c>
      <c r="D299" s="81">
        <f t="shared" si="19"/>
        <v>9550</v>
      </c>
      <c r="E299" s="79" t="s">
        <v>2492</v>
      </c>
      <c r="F299" s="82" t="str">
        <f t="shared" si="16"/>
        <v>insert into ins_premium_det (premium_rcv_code,assorted_code, rec_amount,premium_rcv_detail_code,remaining_amt, payrec, mode_code,coinsurance_code,class_cd,it_remarks) values</v>
      </c>
      <c r="G299" s="83" t="str">
        <f t="shared" si="17"/>
        <v>('24Sep240082','040000178585','9550',(select max(to_number(i.premium_rcv_detail_code))+1
from ins_premium_det i),'9550','9550','02', '11000003','00','Request by Mr. Omair Ali 25-Sep-2024 allocation no 24Sep240082 ');</v>
      </c>
      <c r="H299" s="84" t="str">
        <f t="shared" si="18"/>
        <v>insert into ins_premium_det (premium_rcv_code,assorted_code, rec_amount,premium_rcv_detail_code,remaining_amt, payrec, mode_code,coinsurance_code,class_cd,it_remarks) values('24Sep240082','040000178585','9550',(select max(to_number(i.premium_rcv_detail_code))+1
from ins_premium_det i),'9550','9550','02', '11000003','00','Request by Mr. Omair Ali 25-Sep-2024 allocation no 24Sep240082 ');</v>
      </c>
    </row>
    <row r="300" spans="1:8" ht="105" x14ac:dyDescent="0.25">
      <c r="A300" t="s">
        <v>412</v>
      </c>
      <c r="B300" s="80" t="str">
        <f>VLOOKUP(A300,[1]Sheet1!$B:$C,2,0)</f>
        <v>040000178589</v>
      </c>
      <c r="C300" s="46">
        <v>9550</v>
      </c>
      <c r="D300" s="81">
        <f t="shared" si="19"/>
        <v>9550</v>
      </c>
      <c r="E300" s="79" t="s">
        <v>2492</v>
      </c>
      <c r="F300" s="82" t="str">
        <f t="shared" si="16"/>
        <v>insert into ins_premium_det (premium_rcv_code,assorted_code, rec_amount,premium_rcv_detail_code,remaining_amt, payrec, mode_code,coinsurance_code,class_cd,it_remarks) values</v>
      </c>
      <c r="G300" s="83" t="str">
        <f t="shared" si="17"/>
        <v>('24Sep240082','040000178589','9550',(select max(to_number(i.premium_rcv_detail_code))+1
from ins_premium_det i),'9550','9550','02', '11000003','00','Request by Mr. Omair Ali 25-Sep-2024 allocation no 24Sep240082 ');</v>
      </c>
      <c r="H300" s="84" t="str">
        <f t="shared" si="18"/>
        <v>insert into ins_premium_det (premium_rcv_code,assorted_code, rec_amount,premium_rcv_detail_code,remaining_amt, payrec, mode_code,coinsurance_code,class_cd,it_remarks) values('24Sep240082','040000178589','9550',(select max(to_number(i.premium_rcv_detail_code))+1
from ins_premium_det i),'9550','9550','02', '11000003','00','Request by Mr. Omair Ali 25-Sep-2024 allocation no 24Sep240082 ');</v>
      </c>
    </row>
    <row r="301" spans="1:8" ht="105" x14ac:dyDescent="0.25">
      <c r="A301" t="s">
        <v>413</v>
      </c>
      <c r="B301" s="80" t="str">
        <f>VLOOKUP(A301,[1]Sheet1!$B:$C,2,0)</f>
        <v>040000178591</v>
      </c>
      <c r="C301" s="46">
        <v>13615</v>
      </c>
      <c r="D301" s="81">
        <f t="shared" si="19"/>
        <v>13615</v>
      </c>
      <c r="E301" s="79" t="s">
        <v>2492</v>
      </c>
      <c r="F301" s="82" t="str">
        <f t="shared" si="16"/>
        <v>insert into ins_premium_det (premium_rcv_code,assorted_code, rec_amount,premium_rcv_detail_code,remaining_amt, payrec, mode_code,coinsurance_code,class_cd,it_remarks) values</v>
      </c>
      <c r="G301" s="83" t="str">
        <f t="shared" si="17"/>
        <v>('24Sep240082','040000178591','13615',(select max(to_number(i.premium_rcv_detail_code))+1
from ins_premium_det i),'13615','13615','02', '11000003','00','Request by Mr. Omair Ali 25-Sep-2024 allocation no 24Sep240082 ');</v>
      </c>
      <c r="H301" s="84" t="str">
        <f t="shared" si="18"/>
        <v>insert into ins_premium_det (premium_rcv_code,assorted_code, rec_amount,premium_rcv_detail_code,remaining_amt, payrec, mode_code,coinsurance_code,class_cd,it_remarks) values('24Sep240082','040000178591','13615',(select max(to_number(i.premium_rcv_detail_code))+1
from ins_premium_det i),'13615','13615','02', '11000003','00','Request by Mr. Omair Ali 25-Sep-2024 allocation no 24Sep240082 ');</v>
      </c>
    </row>
    <row r="302" spans="1:8" ht="105" x14ac:dyDescent="0.25">
      <c r="A302" t="s">
        <v>414</v>
      </c>
      <c r="B302" s="80" t="str">
        <f>VLOOKUP(A302,[1]Sheet1!$B:$C,2,0)</f>
        <v>040000178593</v>
      </c>
      <c r="C302" s="46">
        <v>9550</v>
      </c>
      <c r="D302" s="81">
        <f t="shared" si="19"/>
        <v>9550</v>
      </c>
      <c r="E302" s="79" t="s">
        <v>2492</v>
      </c>
      <c r="F302" s="82" t="str">
        <f t="shared" si="16"/>
        <v>insert into ins_premium_det (premium_rcv_code,assorted_code, rec_amount,premium_rcv_detail_code,remaining_amt, payrec, mode_code,coinsurance_code,class_cd,it_remarks) values</v>
      </c>
      <c r="G302" s="83" t="str">
        <f t="shared" si="17"/>
        <v>('24Sep240082','040000178593','9550',(select max(to_number(i.premium_rcv_detail_code))+1
from ins_premium_det i),'9550','9550','02', '11000003','00','Request by Mr. Omair Ali 25-Sep-2024 allocation no 24Sep240082 ');</v>
      </c>
      <c r="H302" s="84" t="str">
        <f t="shared" si="18"/>
        <v>insert into ins_premium_det (premium_rcv_code,assorted_code, rec_amount,premium_rcv_detail_code,remaining_amt, payrec, mode_code,coinsurance_code,class_cd,it_remarks) values('24Sep240082','040000178593','9550',(select max(to_number(i.premium_rcv_detail_code))+1
from ins_premium_det i),'9550','9550','02', '11000003','00','Request by Mr. Omair Ali 25-Sep-2024 allocation no 24Sep240082 ');</v>
      </c>
    </row>
    <row r="303" spans="1:8" ht="105" x14ac:dyDescent="0.25">
      <c r="A303" t="s">
        <v>415</v>
      </c>
      <c r="B303" s="80" t="str">
        <f>VLOOKUP(A303,[1]Sheet1!$B:$C,2,0)</f>
        <v>040000178605</v>
      </c>
      <c r="C303" s="46">
        <v>12320</v>
      </c>
      <c r="D303" s="81">
        <f t="shared" si="19"/>
        <v>12320</v>
      </c>
      <c r="E303" s="79" t="s">
        <v>2492</v>
      </c>
      <c r="F303" s="82" t="str">
        <f t="shared" si="16"/>
        <v>insert into ins_premium_det (premium_rcv_code,assorted_code, rec_amount,premium_rcv_detail_code,remaining_amt, payrec, mode_code,coinsurance_code,class_cd,it_remarks) values</v>
      </c>
      <c r="G303" s="83" t="str">
        <f t="shared" si="17"/>
        <v>('24Sep240082','040000178605','12320',(select max(to_number(i.premium_rcv_detail_code))+1
from ins_premium_det i),'12320','12320','02', '11000003','00','Request by Mr. Omair Ali 25-Sep-2024 allocation no 24Sep240082 ');</v>
      </c>
      <c r="H303" s="84" t="str">
        <f t="shared" si="18"/>
        <v>insert into ins_premium_det (premium_rcv_code,assorted_code, rec_amount,premium_rcv_detail_code,remaining_amt, payrec, mode_code,coinsurance_code,class_cd,it_remarks) values('24Sep240082','040000178605','12320',(select max(to_number(i.premium_rcv_detail_code))+1
from ins_premium_det i),'12320','12320','02', '11000003','00','Request by Mr. Omair Ali 25-Sep-2024 allocation no 24Sep240082 ');</v>
      </c>
    </row>
    <row r="304" spans="1:8" ht="105" x14ac:dyDescent="0.25">
      <c r="A304" t="s">
        <v>416</v>
      </c>
      <c r="B304" s="80" t="str">
        <f>VLOOKUP(A304,[1]Sheet1!$B:$C,2,0)</f>
        <v>040000178606</v>
      </c>
      <c r="C304" s="46">
        <v>13370</v>
      </c>
      <c r="D304" s="81">
        <f t="shared" si="19"/>
        <v>13370</v>
      </c>
      <c r="E304" s="79" t="s">
        <v>2492</v>
      </c>
      <c r="F304" s="82" t="str">
        <f t="shared" si="16"/>
        <v>insert into ins_premium_det (premium_rcv_code,assorted_code, rec_amount,premium_rcv_detail_code,remaining_amt, payrec, mode_code,coinsurance_code,class_cd,it_remarks) values</v>
      </c>
      <c r="G304" s="83" t="str">
        <f t="shared" si="17"/>
        <v>('24Sep240082','040000178606','13370',(select max(to_number(i.premium_rcv_detail_code))+1
from ins_premium_det i),'13370','13370','02', '11000003','00','Request by Mr. Omair Ali 25-Sep-2024 allocation no 24Sep240082 ');</v>
      </c>
      <c r="H304" s="84" t="str">
        <f t="shared" si="18"/>
        <v>insert into ins_premium_det (premium_rcv_code,assorted_code, rec_amount,premium_rcv_detail_code,remaining_amt, payrec, mode_code,coinsurance_code,class_cd,it_remarks) values('24Sep240082','040000178606','13370',(select max(to_number(i.premium_rcv_detail_code))+1
from ins_premium_det i),'13370','13370','02', '11000003','00','Request by Mr. Omair Ali 25-Sep-2024 allocation no 24Sep240082 ');</v>
      </c>
    </row>
    <row r="305" spans="1:8" ht="105" x14ac:dyDescent="0.25">
      <c r="A305" t="s">
        <v>417</v>
      </c>
      <c r="B305" s="80" t="str">
        <f>VLOOKUP(A305,[1]Sheet1!$B:$C,2,0)</f>
        <v>040000178607</v>
      </c>
      <c r="C305" s="46">
        <v>12320</v>
      </c>
      <c r="D305" s="81">
        <f t="shared" si="19"/>
        <v>12320</v>
      </c>
      <c r="E305" s="79" t="s">
        <v>2492</v>
      </c>
      <c r="F305" s="82" t="str">
        <f t="shared" si="16"/>
        <v>insert into ins_premium_det (premium_rcv_code,assorted_code, rec_amount,premium_rcv_detail_code,remaining_amt, payrec, mode_code,coinsurance_code,class_cd,it_remarks) values</v>
      </c>
      <c r="G305" s="83" t="str">
        <f t="shared" si="17"/>
        <v>('24Sep240082','040000178607','12320',(select max(to_number(i.premium_rcv_detail_code))+1
from ins_premium_det i),'12320','12320','02', '11000003','00','Request by Mr. Omair Ali 25-Sep-2024 allocation no 24Sep240082 ');</v>
      </c>
      <c r="H305" s="84" t="str">
        <f t="shared" si="18"/>
        <v>insert into ins_premium_det (premium_rcv_code,assorted_code, rec_amount,premium_rcv_detail_code,remaining_amt, payrec, mode_code,coinsurance_code,class_cd,it_remarks) values('24Sep240082','040000178607','12320',(select max(to_number(i.premium_rcv_detail_code))+1
from ins_premium_det i),'12320','12320','02', '11000003','00','Request by Mr. Omair Ali 25-Sep-2024 allocation no 24Sep240082 ');</v>
      </c>
    </row>
    <row r="306" spans="1:8" ht="105" x14ac:dyDescent="0.25">
      <c r="A306" t="s">
        <v>418</v>
      </c>
      <c r="B306" s="80" t="str">
        <f>VLOOKUP(A306,[1]Sheet1!$B:$C,2,0)</f>
        <v>040000178608</v>
      </c>
      <c r="C306" s="46">
        <v>12320</v>
      </c>
      <c r="D306" s="81">
        <f t="shared" si="19"/>
        <v>12320</v>
      </c>
      <c r="E306" s="79" t="s">
        <v>2492</v>
      </c>
      <c r="F306" s="82" t="str">
        <f t="shared" si="16"/>
        <v>insert into ins_premium_det (premium_rcv_code,assorted_code, rec_amount,premium_rcv_detail_code,remaining_amt, payrec, mode_code,coinsurance_code,class_cd,it_remarks) values</v>
      </c>
      <c r="G306" s="83" t="str">
        <f t="shared" si="17"/>
        <v>('24Sep240082','040000178608','12320',(select max(to_number(i.premium_rcv_detail_code))+1
from ins_premium_det i),'12320','12320','02', '11000003','00','Request by Mr. Omair Ali 25-Sep-2024 allocation no 24Sep240082 ');</v>
      </c>
      <c r="H306" s="84" t="str">
        <f t="shared" si="18"/>
        <v>insert into ins_premium_det (premium_rcv_code,assorted_code, rec_amount,premium_rcv_detail_code,remaining_amt, payrec, mode_code,coinsurance_code,class_cd,it_remarks) values('24Sep240082','040000178608','12320',(select max(to_number(i.premium_rcv_detail_code))+1
from ins_premium_det i),'12320','12320','02', '11000003','00','Request by Mr. Omair Ali 25-Sep-2024 allocation no 24Sep240082 ');</v>
      </c>
    </row>
    <row r="307" spans="1:8" ht="105" x14ac:dyDescent="0.25">
      <c r="A307" t="s">
        <v>419</v>
      </c>
      <c r="B307" s="80" t="str">
        <f>VLOOKUP(A307,[1]Sheet1!$B:$C,2,0)</f>
        <v>040000178609</v>
      </c>
      <c r="C307" s="46">
        <v>12320</v>
      </c>
      <c r="D307" s="81">
        <f t="shared" si="19"/>
        <v>12320</v>
      </c>
      <c r="E307" s="79" t="s">
        <v>2492</v>
      </c>
      <c r="F307" s="82" t="str">
        <f t="shared" si="16"/>
        <v>insert into ins_premium_det (premium_rcv_code,assorted_code, rec_amount,premium_rcv_detail_code,remaining_amt, payrec, mode_code,coinsurance_code,class_cd,it_remarks) values</v>
      </c>
      <c r="G307" s="83" t="str">
        <f t="shared" si="17"/>
        <v>('24Sep240082','040000178609','12320',(select max(to_number(i.premium_rcv_detail_code))+1
from ins_premium_det i),'12320','12320','02', '11000003','00','Request by Mr. Omair Ali 25-Sep-2024 allocation no 24Sep240082 ');</v>
      </c>
      <c r="H307" s="84" t="str">
        <f t="shared" si="18"/>
        <v>insert into ins_premium_det (premium_rcv_code,assorted_code, rec_amount,premium_rcv_detail_code,remaining_amt, payrec, mode_code,coinsurance_code,class_cd,it_remarks) values('24Sep240082','040000178609','12320',(select max(to_number(i.premium_rcv_detail_code))+1
from ins_premium_det i),'12320','12320','02', '11000003','00','Request by Mr. Omair Ali 25-Sep-2024 allocation no 24Sep240082 ');</v>
      </c>
    </row>
    <row r="308" spans="1:8" ht="105" x14ac:dyDescent="0.25">
      <c r="A308" t="s">
        <v>420</v>
      </c>
      <c r="B308" s="80" t="str">
        <f>VLOOKUP(A308,[1]Sheet1!$B:$C,2,0)</f>
        <v>040000178611</v>
      </c>
      <c r="C308" s="46">
        <v>12320</v>
      </c>
      <c r="D308" s="81">
        <f t="shared" si="19"/>
        <v>12320</v>
      </c>
      <c r="E308" s="79" t="s">
        <v>2492</v>
      </c>
      <c r="F308" s="82" t="str">
        <f t="shared" si="16"/>
        <v>insert into ins_premium_det (premium_rcv_code,assorted_code, rec_amount,premium_rcv_detail_code,remaining_amt, payrec, mode_code,coinsurance_code,class_cd,it_remarks) values</v>
      </c>
      <c r="G308" s="83" t="str">
        <f t="shared" si="17"/>
        <v>('24Sep240082','040000178611','12320',(select max(to_number(i.premium_rcv_detail_code))+1
from ins_premium_det i),'12320','12320','02', '11000003','00','Request by Mr. Omair Ali 25-Sep-2024 allocation no 24Sep240082 ');</v>
      </c>
      <c r="H308" s="84" t="str">
        <f t="shared" si="18"/>
        <v>insert into ins_premium_det (premium_rcv_code,assorted_code, rec_amount,premium_rcv_detail_code,remaining_amt, payrec, mode_code,coinsurance_code,class_cd,it_remarks) values('24Sep240082','040000178611','12320',(select max(to_number(i.premium_rcv_detail_code))+1
from ins_premium_det i),'12320','12320','02', '11000003','00','Request by Mr. Omair Ali 25-Sep-2024 allocation no 24Sep240082 ');</v>
      </c>
    </row>
    <row r="309" spans="1:8" ht="105" x14ac:dyDescent="0.25">
      <c r="A309" t="s">
        <v>421</v>
      </c>
      <c r="B309" s="80" t="str">
        <f>VLOOKUP(A309,[1]Sheet1!$B:$C,2,0)</f>
        <v>040000178612</v>
      </c>
      <c r="C309" s="46">
        <v>12320</v>
      </c>
      <c r="D309" s="81">
        <f t="shared" si="19"/>
        <v>12320</v>
      </c>
      <c r="E309" s="79" t="s">
        <v>2492</v>
      </c>
      <c r="F309" s="82" t="str">
        <f t="shared" si="16"/>
        <v>insert into ins_premium_det (premium_rcv_code,assorted_code, rec_amount,premium_rcv_detail_code,remaining_amt, payrec, mode_code,coinsurance_code,class_cd,it_remarks) values</v>
      </c>
      <c r="G309" s="83" t="str">
        <f t="shared" si="17"/>
        <v>('24Sep240082','040000178612','12320',(select max(to_number(i.premium_rcv_detail_code))+1
from ins_premium_det i),'12320','12320','02', '11000003','00','Request by Mr. Omair Ali 25-Sep-2024 allocation no 24Sep240082 ');</v>
      </c>
      <c r="H309" s="84" t="str">
        <f t="shared" si="18"/>
        <v>insert into ins_premium_det (premium_rcv_code,assorted_code, rec_amount,premium_rcv_detail_code,remaining_amt, payrec, mode_code,coinsurance_code,class_cd,it_remarks) values('24Sep240082','040000178612','12320',(select max(to_number(i.premium_rcv_detail_code))+1
from ins_premium_det i),'12320','12320','02', '11000003','00','Request by Mr. Omair Ali 25-Sep-2024 allocation no 24Sep240082 ');</v>
      </c>
    </row>
    <row r="310" spans="1:8" ht="105" x14ac:dyDescent="0.25">
      <c r="A310" t="s">
        <v>422</v>
      </c>
      <c r="B310" s="80" t="str">
        <f>VLOOKUP(A310,[1]Sheet1!$B:$C,2,0)</f>
        <v>040000178617</v>
      </c>
      <c r="C310" s="46">
        <v>12320</v>
      </c>
      <c r="D310" s="81">
        <f t="shared" si="19"/>
        <v>12320</v>
      </c>
      <c r="E310" s="79" t="s">
        <v>2492</v>
      </c>
      <c r="F310" s="82" t="str">
        <f t="shared" si="16"/>
        <v>insert into ins_premium_det (premium_rcv_code,assorted_code, rec_amount,premium_rcv_detail_code,remaining_amt, payrec, mode_code,coinsurance_code,class_cd,it_remarks) values</v>
      </c>
      <c r="G310" s="83" t="str">
        <f t="shared" si="17"/>
        <v>('24Sep240082','040000178617','12320',(select max(to_number(i.premium_rcv_detail_code))+1
from ins_premium_det i),'12320','12320','02', '11000003','00','Request by Mr. Omair Ali 25-Sep-2024 allocation no 24Sep240082 ');</v>
      </c>
      <c r="H310" s="84" t="str">
        <f t="shared" si="18"/>
        <v>insert into ins_premium_det (premium_rcv_code,assorted_code, rec_amount,premium_rcv_detail_code,remaining_amt, payrec, mode_code,coinsurance_code,class_cd,it_remarks) values('24Sep240082','040000178617','12320',(select max(to_number(i.premium_rcv_detail_code))+1
from ins_premium_det i),'12320','12320','02', '11000003','00','Request by Mr. Omair Ali 25-Sep-2024 allocation no 24Sep240082 ');</v>
      </c>
    </row>
    <row r="311" spans="1:8" ht="105" x14ac:dyDescent="0.25">
      <c r="A311" t="s">
        <v>423</v>
      </c>
      <c r="B311" s="80" t="str">
        <f>VLOOKUP(A311,[1]Sheet1!$B:$C,2,0)</f>
        <v>040000178618</v>
      </c>
      <c r="C311" s="46">
        <v>12320</v>
      </c>
      <c r="D311" s="81">
        <f t="shared" si="19"/>
        <v>12320</v>
      </c>
      <c r="E311" s="79" t="s">
        <v>2492</v>
      </c>
      <c r="F311" s="82" t="str">
        <f t="shared" si="16"/>
        <v>insert into ins_premium_det (premium_rcv_code,assorted_code, rec_amount,premium_rcv_detail_code,remaining_amt, payrec, mode_code,coinsurance_code,class_cd,it_remarks) values</v>
      </c>
      <c r="G311" s="83" t="str">
        <f t="shared" si="17"/>
        <v>('24Sep240082','040000178618','12320',(select max(to_number(i.premium_rcv_detail_code))+1
from ins_premium_det i),'12320','12320','02', '11000003','00','Request by Mr. Omair Ali 25-Sep-2024 allocation no 24Sep240082 ');</v>
      </c>
      <c r="H311" s="84" t="str">
        <f t="shared" si="18"/>
        <v>insert into ins_premium_det (premium_rcv_code,assorted_code, rec_amount,premium_rcv_detail_code,remaining_amt, payrec, mode_code,coinsurance_code,class_cd,it_remarks) values('24Sep240082','040000178618','12320',(select max(to_number(i.premium_rcv_detail_code))+1
from ins_premium_det i),'12320','12320','02', '11000003','00','Request by Mr. Omair Ali 25-Sep-2024 allocation no 24Sep240082 ');</v>
      </c>
    </row>
    <row r="312" spans="1:8" ht="105" x14ac:dyDescent="0.25">
      <c r="A312" t="s">
        <v>424</v>
      </c>
      <c r="B312" s="80" t="str">
        <f>VLOOKUP(A312,[1]Sheet1!$B:$C,2,0)</f>
        <v>040000178619</v>
      </c>
      <c r="C312" s="46">
        <v>12320</v>
      </c>
      <c r="D312" s="81">
        <f t="shared" si="19"/>
        <v>12320</v>
      </c>
      <c r="E312" s="79" t="s">
        <v>2492</v>
      </c>
      <c r="F312" s="82" t="str">
        <f t="shared" si="16"/>
        <v>insert into ins_premium_det (premium_rcv_code,assorted_code, rec_amount,premium_rcv_detail_code,remaining_amt, payrec, mode_code,coinsurance_code,class_cd,it_remarks) values</v>
      </c>
      <c r="G312" s="83" t="str">
        <f t="shared" si="17"/>
        <v>('24Sep240082','040000178619','12320',(select max(to_number(i.premium_rcv_detail_code))+1
from ins_premium_det i),'12320','12320','02', '11000003','00','Request by Mr. Omair Ali 25-Sep-2024 allocation no 24Sep240082 ');</v>
      </c>
      <c r="H312" s="84" t="str">
        <f t="shared" si="18"/>
        <v>insert into ins_premium_det (premium_rcv_code,assorted_code, rec_amount,premium_rcv_detail_code,remaining_amt, payrec, mode_code,coinsurance_code,class_cd,it_remarks) values('24Sep240082','040000178619','12320',(select max(to_number(i.premium_rcv_detail_code))+1
from ins_premium_det i),'12320','12320','02', '11000003','00','Request by Mr. Omair Ali 25-Sep-2024 allocation no 24Sep240082 ');</v>
      </c>
    </row>
    <row r="313" spans="1:8" ht="105" x14ac:dyDescent="0.25">
      <c r="A313" t="s">
        <v>425</v>
      </c>
      <c r="B313" s="80" t="str">
        <f>VLOOKUP(A313,[1]Sheet1!$B:$C,2,0)</f>
        <v>040000178620</v>
      </c>
      <c r="C313" s="46">
        <v>12320</v>
      </c>
      <c r="D313" s="81">
        <f t="shared" si="19"/>
        <v>12320</v>
      </c>
      <c r="E313" s="79" t="s">
        <v>2492</v>
      </c>
      <c r="F313" s="82" t="str">
        <f t="shared" si="16"/>
        <v>insert into ins_premium_det (premium_rcv_code,assorted_code, rec_amount,premium_rcv_detail_code,remaining_amt, payrec, mode_code,coinsurance_code,class_cd,it_remarks) values</v>
      </c>
      <c r="G313" s="83" t="str">
        <f t="shared" si="17"/>
        <v>('24Sep240082','040000178620','12320',(select max(to_number(i.premium_rcv_detail_code))+1
from ins_premium_det i),'12320','12320','02', '11000003','00','Request by Mr. Omair Ali 25-Sep-2024 allocation no 24Sep240082 ');</v>
      </c>
      <c r="H313" s="84" t="str">
        <f t="shared" si="18"/>
        <v>insert into ins_premium_det (premium_rcv_code,assorted_code, rec_amount,premium_rcv_detail_code,remaining_amt, payrec, mode_code,coinsurance_code,class_cd,it_remarks) values('24Sep240082','040000178620','12320',(select max(to_number(i.premium_rcv_detail_code))+1
from ins_premium_det i),'12320','12320','02', '11000003','00','Request by Mr. Omair Ali 25-Sep-2024 allocation no 24Sep240082 ');</v>
      </c>
    </row>
    <row r="314" spans="1:8" ht="105" x14ac:dyDescent="0.25">
      <c r="A314" t="s">
        <v>426</v>
      </c>
      <c r="B314" s="80" t="str">
        <f>VLOOKUP(A314,[1]Sheet1!$B:$C,2,0)</f>
        <v>040000178621</v>
      </c>
      <c r="C314" s="46">
        <v>19145</v>
      </c>
      <c r="D314" s="81">
        <f t="shared" si="19"/>
        <v>19145</v>
      </c>
      <c r="E314" s="79" t="s">
        <v>2492</v>
      </c>
      <c r="F314" s="82" t="str">
        <f t="shared" si="16"/>
        <v>insert into ins_premium_det (premium_rcv_code,assorted_code, rec_amount,premium_rcv_detail_code,remaining_amt, payrec, mode_code,coinsurance_code,class_cd,it_remarks) values</v>
      </c>
      <c r="G314" s="83" t="str">
        <f t="shared" si="17"/>
        <v>('24Sep240082','040000178621','19145',(select max(to_number(i.premium_rcv_detail_code))+1
from ins_premium_det i),'19145','19145','02', '11000003','00','Request by Mr. Omair Ali 25-Sep-2024 allocation no 24Sep240082 ');</v>
      </c>
      <c r="H314" s="84" t="str">
        <f t="shared" si="18"/>
        <v>insert into ins_premium_det (premium_rcv_code,assorted_code, rec_amount,premium_rcv_detail_code,remaining_amt, payrec, mode_code,coinsurance_code,class_cd,it_remarks) values('24Sep240082','040000178621','19145',(select max(to_number(i.premium_rcv_detail_code))+1
from ins_premium_det i),'19145','19145','02', '11000003','00','Request by Mr. Omair Ali 25-Sep-2024 allocation no 24Sep240082 ');</v>
      </c>
    </row>
    <row r="315" spans="1:8" ht="105" x14ac:dyDescent="0.25">
      <c r="A315" t="s">
        <v>427</v>
      </c>
      <c r="B315" s="80" t="str">
        <f>VLOOKUP(A315,[1]Sheet1!$B:$C,2,0)</f>
        <v>040000178622</v>
      </c>
      <c r="C315" s="46">
        <v>19145</v>
      </c>
      <c r="D315" s="81">
        <f t="shared" si="19"/>
        <v>19145</v>
      </c>
      <c r="E315" s="79" t="s">
        <v>2492</v>
      </c>
      <c r="F315" s="82" t="str">
        <f t="shared" si="16"/>
        <v>insert into ins_premium_det (premium_rcv_code,assorted_code, rec_amount,premium_rcv_detail_code,remaining_amt, payrec, mode_code,coinsurance_code,class_cd,it_remarks) values</v>
      </c>
      <c r="G315" s="83" t="str">
        <f t="shared" si="17"/>
        <v>('24Sep240082','040000178622','19145',(select max(to_number(i.premium_rcv_detail_code))+1
from ins_premium_det i),'19145','19145','02', '11000003','00','Request by Mr. Omair Ali 25-Sep-2024 allocation no 24Sep240082 ');</v>
      </c>
      <c r="H315" s="84" t="str">
        <f t="shared" si="18"/>
        <v>insert into ins_premium_det (premium_rcv_code,assorted_code, rec_amount,premium_rcv_detail_code,remaining_amt, payrec, mode_code,coinsurance_code,class_cd,it_remarks) values('24Sep240082','040000178622','19145',(select max(to_number(i.premium_rcv_detail_code))+1
from ins_premium_det i),'19145','19145','02', '11000003','00','Request by Mr. Omair Ali 25-Sep-2024 allocation no 24Sep240082 ');</v>
      </c>
    </row>
    <row r="316" spans="1:8" ht="105" x14ac:dyDescent="0.25">
      <c r="A316" t="s">
        <v>428</v>
      </c>
      <c r="B316" s="80" t="str">
        <f>VLOOKUP(A316,[1]Sheet1!$B:$C,2,0)</f>
        <v>040000178623</v>
      </c>
      <c r="C316" s="46">
        <v>12320</v>
      </c>
      <c r="D316" s="81">
        <f t="shared" si="19"/>
        <v>12320</v>
      </c>
      <c r="E316" s="79" t="s">
        <v>2492</v>
      </c>
      <c r="F316" s="82" t="str">
        <f t="shared" si="16"/>
        <v>insert into ins_premium_det (premium_rcv_code,assorted_code, rec_amount,premium_rcv_detail_code,remaining_amt, payrec, mode_code,coinsurance_code,class_cd,it_remarks) values</v>
      </c>
      <c r="G316" s="83" t="str">
        <f t="shared" si="17"/>
        <v>('24Sep240082','040000178623','12320',(select max(to_number(i.premium_rcv_detail_code))+1
from ins_premium_det i),'12320','12320','02', '11000003','00','Request by Mr. Omair Ali 25-Sep-2024 allocation no 24Sep240082 ');</v>
      </c>
      <c r="H316" s="84" t="str">
        <f t="shared" si="18"/>
        <v>insert into ins_premium_det (premium_rcv_code,assorted_code, rec_amount,premium_rcv_detail_code,remaining_amt, payrec, mode_code,coinsurance_code,class_cd,it_remarks) values('24Sep240082','040000178623','12320',(select max(to_number(i.premium_rcv_detail_code))+1
from ins_premium_det i),'12320','12320','02', '11000003','00','Request by Mr. Omair Ali 25-Sep-2024 allocation no 24Sep240082 ');</v>
      </c>
    </row>
    <row r="317" spans="1:8" ht="105" x14ac:dyDescent="0.25">
      <c r="A317" t="s">
        <v>429</v>
      </c>
      <c r="B317" s="80" t="str">
        <f>VLOOKUP(A317,[1]Sheet1!$B:$C,2,0)</f>
        <v>040000178624</v>
      </c>
      <c r="C317" s="46">
        <v>13370</v>
      </c>
      <c r="D317" s="81">
        <f t="shared" si="19"/>
        <v>13370</v>
      </c>
      <c r="E317" s="79" t="s">
        <v>2492</v>
      </c>
      <c r="F317" s="82" t="str">
        <f t="shared" si="16"/>
        <v>insert into ins_premium_det (premium_rcv_code,assorted_code, rec_amount,premium_rcv_detail_code,remaining_amt, payrec, mode_code,coinsurance_code,class_cd,it_remarks) values</v>
      </c>
      <c r="G317" s="83" t="str">
        <f t="shared" si="17"/>
        <v>('24Sep240082','040000178624','13370',(select max(to_number(i.premium_rcv_detail_code))+1
from ins_premium_det i),'13370','13370','02', '11000003','00','Request by Mr. Omair Ali 25-Sep-2024 allocation no 24Sep240082 ');</v>
      </c>
      <c r="H317" s="84" t="str">
        <f t="shared" si="18"/>
        <v>insert into ins_premium_det (premium_rcv_code,assorted_code, rec_amount,premium_rcv_detail_code,remaining_amt, payrec, mode_code,coinsurance_code,class_cd,it_remarks) values('24Sep240082','040000178624','13370',(select max(to_number(i.premium_rcv_detail_code))+1
from ins_premium_det i),'13370','13370','02', '11000003','00','Request by Mr. Omair Ali 25-Sep-2024 allocation no 24Sep240082 ');</v>
      </c>
    </row>
    <row r="318" spans="1:8" ht="105" x14ac:dyDescent="0.25">
      <c r="A318" t="s">
        <v>430</v>
      </c>
      <c r="B318" s="80" t="str">
        <f>VLOOKUP(A318,[1]Sheet1!$B:$C,2,0)</f>
        <v>040000178625</v>
      </c>
      <c r="C318" s="46">
        <v>13370</v>
      </c>
      <c r="D318" s="81">
        <f t="shared" si="19"/>
        <v>13370</v>
      </c>
      <c r="E318" s="79" t="s">
        <v>2492</v>
      </c>
      <c r="F318" s="82" t="str">
        <f t="shared" si="16"/>
        <v>insert into ins_premium_det (premium_rcv_code,assorted_code, rec_amount,premium_rcv_detail_code,remaining_amt, payrec, mode_code,coinsurance_code,class_cd,it_remarks) values</v>
      </c>
      <c r="G318" s="83" t="str">
        <f t="shared" si="17"/>
        <v>('24Sep240082','040000178625','13370',(select max(to_number(i.premium_rcv_detail_code))+1
from ins_premium_det i),'13370','13370','02', '11000003','00','Request by Mr. Omair Ali 25-Sep-2024 allocation no 24Sep240082 ');</v>
      </c>
      <c r="H318" s="84" t="str">
        <f t="shared" si="18"/>
        <v>insert into ins_premium_det (premium_rcv_code,assorted_code, rec_amount,premium_rcv_detail_code,remaining_amt, payrec, mode_code,coinsurance_code,class_cd,it_remarks) values('24Sep240082','040000178625','13370',(select max(to_number(i.premium_rcv_detail_code))+1
from ins_premium_det i),'13370','13370','02', '11000003','00','Request by Mr. Omair Ali 25-Sep-2024 allocation no 24Sep240082 ');</v>
      </c>
    </row>
    <row r="319" spans="1:8" ht="105" x14ac:dyDescent="0.25">
      <c r="A319" t="s">
        <v>431</v>
      </c>
      <c r="B319" s="80" t="str">
        <f>VLOOKUP(A319,[1]Sheet1!$B:$C,2,0)</f>
        <v>040000178626</v>
      </c>
      <c r="C319" s="46">
        <v>12320</v>
      </c>
      <c r="D319" s="81">
        <f t="shared" si="19"/>
        <v>12320</v>
      </c>
      <c r="E319" s="79" t="s">
        <v>2492</v>
      </c>
      <c r="F319" s="82" t="str">
        <f t="shared" si="16"/>
        <v>insert into ins_premium_det (premium_rcv_code,assorted_code, rec_amount,premium_rcv_detail_code,remaining_amt, payrec, mode_code,coinsurance_code,class_cd,it_remarks) values</v>
      </c>
      <c r="G319" s="83" t="str">
        <f t="shared" si="17"/>
        <v>('24Sep240082','040000178626','12320',(select max(to_number(i.premium_rcv_detail_code))+1
from ins_premium_det i),'12320','12320','02', '11000003','00','Request by Mr. Omair Ali 25-Sep-2024 allocation no 24Sep240082 ');</v>
      </c>
      <c r="H319" s="84" t="str">
        <f t="shared" si="18"/>
        <v>insert into ins_premium_det (premium_rcv_code,assorted_code, rec_amount,premium_rcv_detail_code,remaining_amt, payrec, mode_code,coinsurance_code,class_cd,it_remarks) values('24Sep240082','040000178626','12320',(select max(to_number(i.premium_rcv_detail_code))+1
from ins_premium_det i),'12320','12320','02', '11000003','00','Request by Mr. Omair Ali 25-Sep-2024 allocation no 24Sep240082 ');</v>
      </c>
    </row>
    <row r="320" spans="1:8" ht="105" x14ac:dyDescent="0.25">
      <c r="A320" t="s">
        <v>432</v>
      </c>
      <c r="B320" s="80" t="str">
        <f>VLOOKUP(A320,[1]Sheet1!$B:$C,2,0)</f>
        <v>040000178627</v>
      </c>
      <c r="C320" s="46">
        <v>12320</v>
      </c>
      <c r="D320" s="81">
        <f t="shared" si="19"/>
        <v>12320</v>
      </c>
      <c r="E320" s="79" t="s">
        <v>2492</v>
      </c>
      <c r="F320" s="82" t="str">
        <f t="shared" si="16"/>
        <v>insert into ins_premium_det (premium_rcv_code,assorted_code, rec_amount,premium_rcv_detail_code,remaining_amt, payrec, mode_code,coinsurance_code,class_cd,it_remarks) values</v>
      </c>
      <c r="G320" s="83" t="str">
        <f t="shared" si="17"/>
        <v>('24Sep240082','040000178627','12320',(select max(to_number(i.premium_rcv_detail_code))+1
from ins_premium_det i),'12320','12320','02', '11000003','00','Request by Mr. Omair Ali 25-Sep-2024 allocation no 24Sep240082 ');</v>
      </c>
      <c r="H320" s="84" t="str">
        <f t="shared" si="18"/>
        <v>insert into ins_premium_det (premium_rcv_code,assorted_code, rec_amount,premium_rcv_detail_code,remaining_amt, payrec, mode_code,coinsurance_code,class_cd,it_remarks) values('24Sep240082','040000178627','12320',(select max(to_number(i.premium_rcv_detail_code))+1
from ins_premium_det i),'12320','12320','02', '11000003','00','Request by Mr. Omair Ali 25-Sep-2024 allocation no 24Sep240082 ');</v>
      </c>
    </row>
    <row r="321" spans="1:8" ht="105" x14ac:dyDescent="0.25">
      <c r="A321" t="s">
        <v>433</v>
      </c>
      <c r="B321" s="80" t="str">
        <f>VLOOKUP(A321,[1]Sheet1!$B:$C,2,0)</f>
        <v>040000178628</v>
      </c>
      <c r="C321" s="46">
        <v>19145</v>
      </c>
      <c r="D321" s="81">
        <f t="shared" si="19"/>
        <v>19145</v>
      </c>
      <c r="E321" s="79" t="s">
        <v>2492</v>
      </c>
      <c r="F321" s="82" t="str">
        <f t="shared" si="16"/>
        <v>insert into ins_premium_det (premium_rcv_code,assorted_code, rec_amount,premium_rcv_detail_code,remaining_amt, payrec, mode_code,coinsurance_code,class_cd,it_remarks) values</v>
      </c>
      <c r="G321" s="83" t="str">
        <f t="shared" si="17"/>
        <v>('24Sep240082','040000178628','19145',(select max(to_number(i.premium_rcv_detail_code))+1
from ins_premium_det i),'19145','19145','02', '11000003','00','Request by Mr. Omair Ali 25-Sep-2024 allocation no 24Sep240082 ');</v>
      </c>
      <c r="H321" s="84" t="str">
        <f t="shared" si="18"/>
        <v>insert into ins_premium_det (premium_rcv_code,assorted_code, rec_amount,premium_rcv_detail_code,remaining_amt, payrec, mode_code,coinsurance_code,class_cd,it_remarks) values('24Sep240082','040000178628','19145',(select max(to_number(i.premium_rcv_detail_code))+1
from ins_premium_det i),'19145','19145','02', '11000003','00','Request by Mr. Omair Ali 25-Sep-2024 allocation no 24Sep240082 ');</v>
      </c>
    </row>
    <row r="322" spans="1:8" ht="105" x14ac:dyDescent="0.25">
      <c r="A322" t="s">
        <v>434</v>
      </c>
      <c r="B322" s="80" t="str">
        <f>VLOOKUP(A322,[1]Sheet1!$B:$C,2,0)</f>
        <v>040000178629</v>
      </c>
      <c r="C322" s="46">
        <v>19145</v>
      </c>
      <c r="D322" s="81">
        <f t="shared" si="19"/>
        <v>19145</v>
      </c>
      <c r="E322" s="79" t="s">
        <v>2492</v>
      </c>
      <c r="F322" s="82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83" t="str">
        <f t="shared" si="17"/>
        <v>('24Sep240082','040000178629','19145',(select max(to_number(i.premium_rcv_detail_code))+1
from ins_premium_det i),'19145','19145','02', '11000003','00','Request by Mr. Omair Ali 25-Sep-2024 allocation no 24Sep240082 ');</v>
      </c>
      <c r="H322" s="84" t="str">
        <f t="shared" si="18"/>
        <v>insert into ins_premium_det (premium_rcv_code,assorted_code, rec_amount,premium_rcv_detail_code,remaining_amt, payrec, mode_code,coinsurance_code,class_cd,it_remarks) values('24Sep240082','040000178629','19145',(select max(to_number(i.premium_rcv_detail_code))+1
from ins_premium_det i),'19145','19145','02', '11000003','00','Request by Mr. Omair Ali 25-Sep-2024 allocation no 24Sep240082 ');</v>
      </c>
    </row>
    <row r="323" spans="1:8" ht="105" x14ac:dyDescent="0.25">
      <c r="A323" t="s">
        <v>435</v>
      </c>
      <c r="B323" s="80" t="str">
        <f>VLOOKUP(A323,[1]Sheet1!$B:$C,2,0)</f>
        <v>040000178630</v>
      </c>
      <c r="C323" s="46">
        <v>13370</v>
      </c>
      <c r="D323" s="81">
        <f t="shared" si="19"/>
        <v>13370</v>
      </c>
      <c r="E323" s="79" t="s">
        <v>2492</v>
      </c>
      <c r="F323" s="82" t="str">
        <f t="shared" si="20"/>
        <v>insert into ins_premium_det (premium_rcv_code,assorted_code, rec_amount,premium_rcv_detail_code,remaining_amt, payrec, mode_code,coinsurance_code,class_cd,it_remarks) values</v>
      </c>
      <c r="G323" s="83" t="str">
        <f t="shared" ref="G323:G386" si="21">"('"&amp;E323&amp;"','"&amp;B323&amp;"','"&amp;D323&amp;"',(select max(to_number(i.premium_rcv_detail_code))+1
from ins_premium_det i),'"&amp;D323&amp;"','"&amp;D323&amp;"','02', '11000003','00','Request by Mr. Omair Ali 25-Sep-2024 allocation no 24Sep240082 ');"</f>
        <v>('24Sep240082','040000178630','13370',(select max(to_number(i.premium_rcv_detail_code))+1
from ins_premium_det i),'13370','13370','02', '11000003','00','Request by Mr. Omair Ali 25-Sep-2024 allocation no 24Sep240082 ');</v>
      </c>
      <c r="H323" s="84" t="str">
        <f t="shared" ref="H323:H386" si="22">F323&amp;G323</f>
        <v>insert into ins_premium_det (premium_rcv_code,assorted_code, rec_amount,premium_rcv_detail_code,remaining_amt, payrec, mode_code,coinsurance_code,class_cd,it_remarks) values('24Sep240082','040000178630','13370',(select max(to_number(i.premium_rcv_detail_code))+1
from ins_premium_det i),'13370','13370','02', '11000003','00','Request by Mr. Omair Ali 25-Sep-2024 allocation no 24Sep240082 ');</v>
      </c>
    </row>
    <row r="324" spans="1:8" ht="105" x14ac:dyDescent="0.25">
      <c r="A324" t="s">
        <v>436</v>
      </c>
      <c r="B324" s="80" t="str">
        <f>VLOOKUP(A324,[1]Sheet1!$B:$C,2,0)</f>
        <v>040000178631</v>
      </c>
      <c r="C324" s="46">
        <v>13370</v>
      </c>
      <c r="D324" s="81">
        <f t="shared" ref="D324:D387" si="23">ROUND(C324,0)</f>
        <v>13370</v>
      </c>
      <c r="E324" s="79" t="s">
        <v>2492</v>
      </c>
      <c r="F324" s="82" t="str">
        <f t="shared" si="20"/>
        <v>insert into ins_premium_det (premium_rcv_code,assorted_code, rec_amount,premium_rcv_detail_code,remaining_amt, payrec, mode_code,coinsurance_code,class_cd,it_remarks) values</v>
      </c>
      <c r="G324" s="83" t="str">
        <f t="shared" si="21"/>
        <v>('24Sep240082','040000178631','13370',(select max(to_number(i.premium_rcv_detail_code))+1
from ins_premium_det i),'13370','13370','02', '11000003','00','Request by Mr. Omair Ali 25-Sep-2024 allocation no 24Sep240082 ');</v>
      </c>
      <c r="H324" s="84" t="str">
        <f t="shared" si="22"/>
        <v>insert into ins_premium_det (premium_rcv_code,assorted_code, rec_amount,premium_rcv_detail_code,remaining_amt, payrec, mode_code,coinsurance_code,class_cd,it_remarks) values('24Sep240082','040000178631','13370',(select max(to_number(i.premium_rcv_detail_code))+1
from ins_premium_det i),'13370','13370','02', '11000003','00','Request by Mr. Omair Ali 25-Sep-2024 allocation no 24Sep240082 ');</v>
      </c>
    </row>
    <row r="325" spans="1:8" ht="105" x14ac:dyDescent="0.25">
      <c r="A325" t="s">
        <v>437</v>
      </c>
      <c r="B325" s="80" t="str">
        <f>VLOOKUP(A325,[1]Sheet1!$B:$C,2,0)</f>
        <v>040000178635</v>
      </c>
      <c r="C325" s="46">
        <v>13675</v>
      </c>
      <c r="D325" s="81">
        <f t="shared" si="23"/>
        <v>13675</v>
      </c>
      <c r="E325" s="79" t="s">
        <v>2492</v>
      </c>
      <c r="F325" s="82" t="str">
        <f t="shared" si="20"/>
        <v>insert into ins_premium_det (premium_rcv_code,assorted_code, rec_amount,premium_rcv_detail_code,remaining_amt, payrec, mode_code,coinsurance_code,class_cd,it_remarks) values</v>
      </c>
      <c r="G325" s="83" t="str">
        <f t="shared" si="21"/>
        <v>('24Sep240082','040000178635','13675',(select max(to_number(i.premium_rcv_detail_code))+1
from ins_premium_det i),'13675','13675','02', '11000003','00','Request by Mr. Omair Ali 25-Sep-2024 allocation no 24Sep240082 ');</v>
      </c>
      <c r="H325" s="84" t="str">
        <f t="shared" si="22"/>
        <v>insert into ins_premium_det (premium_rcv_code,assorted_code, rec_amount,premium_rcv_detail_code,remaining_amt, payrec, mode_code,coinsurance_code,class_cd,it_remarks) values('24Sep240082','040000178635','13675',(select max(to_number(i.premium_rcv_detail_code))+1
from ins_premium_det i),'13675','13675','02', '11000003','00','Request by Mr. Omair Ali 25-Sep-2024 allocation no 24Sep240082 ');</v>
      </c>
    </row>
    <row r="326" spans="1:8" ht="105" x14ac:dyDescent="0.25">
      <c r="A326" t="s">
        <v>438</v>
      </c>
      <c r="B326" s="80" t="str">
        <f>VLOOKUP(A326,[1]Sheet1!$B:$C,2,0)</f>
        <v>040000178637</v>
      </c>
      <c r="C326" s="46">
        <v>9550</v>
      </c>
      <c r="D326" s="81">
        <f t="shared" si="23"/>
        <v>9550</v>
      </c>
      <c r="E326" s="79" t="s">
        <v>2492</v>
      </c>
      <c r="F326" s="82" t="str">
        <f t="shared" si="20"/>
        <v>insert into ins_premium_det (premium_rcv_code,assorted_code, rec_amount,premium_rcv_detail_code,remaining_amt, payrec, mode_code,coinsurance_code,class_cd,it_remarks) values</v>
      </c>
      <c r="G326" s="83" t="str">
        <f t="shared" si="21"/>
        <v>('24Sep240082','040000178637','9550',(select max(to_number(i.premium_rcv_detail_code))+1
from ins_premium_det i),'9550','9550','02', '11000003','00','Request by Mr. Omair Ali 25-Sep-2024 allocation no 24Sep240082 ');</v>
      </c>
      <c r="H326" s="84" t="str">
        <f t="shared" si="22"/>
        <v>insert into ins_premium_det (premium_rcv_code,assorted_code, rec_amount,premium_rcv_detail_code,remaining_amt, payrec, mode_code,coinsurance_code,class_cd,it_remarks) values('24Sep240082','040000178637','9550',(select max(to_number(i.premium_rcv_detail_code))+1
from ins_premium_det i),'9550','9550','02', '11000003','00','Request by Mr. Omair Ali 25-Sep-2024 allocation no 24Sep240082 ');</v>
      </c>
    </row>
    <row r="327" spans="1:8" ht="105" x14ac:dyDescent="0.25">
      <c r="A327" t="s">
        <v>439</v>
      </c>
      <c r="B327" s="80" t="str">
        <f>VLOOKUP(A327,[1]Sheet1!$B:$C,2,0)</f>
        <v>040000178640</v>
      </c>
      <c r="C327" s="46">
        <v>19145</v>
      </c>
      <c r="D327" s="81">
        <f t="shared" si="23"/>
        <v>19145</v>
      </c>
      <c r="E327" s="79" t="s">
        <v>2492</v>
      </c>
      <c r="F327" s="82" t="str">
        <f t="shared" si="20"/>
        <v>insert into ins_premium_det (premium_rcv_code,assorted_code, rec_amount,premium_rcv_detail_code,remaining_amt, payrec, mode_code,coinsurance_code,class_cd,it_remarks) values</v>
      </c>
      <c r="G327" s="83" t="str">
        <f t="shared" si="21"/>
        <v>('24Sep240082','040000178640','19145',(select max(to_number(i.premium_rcv_detail_code))+1
from ins_premium_det i),'19145','19145','02', '11000003','00','Request by Mr. Omair Ali 25-Sep-2024 allocation no 24Sep240082 ');</v>
      </c>
      <c r="H327" s="84" t="str">
        <f t="shared" si="22"/>
        <v>insert into ins_premium_det (premium_rcv_code,assorted_code, rec_amount,premium_rcv_detail_code,remaining_amt, payrec, mode_code,coinsurance_code,class_cd,it_remarks) values('24Sep240082','040000178640','19145',(select max(to_number(i.premium_rcv_detail_code))+1
from ins_premium_det i),'19145','19145','02', '11000003','00','Request by Mr. Omair Ali 25-Sep-2024 allocation no 24Sep240082 ');</v>
      </c>
    </row>
    <row r="328" spans="1:8" ht="105" x14ac:dyDescent="0.25">
      <c r="A328" t="s">
        <v>440</v>
      </c>
      <c r="B328" s="80" t="str">
        <f>VLOOKUP(A328,[1]Sheet1!$B:$C,2,0)</f>
        <v>040000178641</v>
      </c>
      <c r="C328" s="46">
        <v>19145</v>
      </c>
      <c r="D328" s="81">
        <f t="shared" si="23"/>
        <v>19145</v>
      </c>
      <c r="E328" s="79" t="s">
        <v>2492</v>
      </c>
      <c r="F328" s="82" t="str">
        <f t="shared" si="20"/>
        <v>insert into ins_premium_det (premium_rcv_code,assorted_code, rec_amount,premium_rcv_detail_code,remaining_amt, payrec, mode_code,coinsurance_code,class_cd,it_remarks) values</v>
      </c>
      <c r="G328" s="83" t="str">
        <f t="shared" si="21"/>
        <v>('24Sep240082','040000178641','19145',(select max(to_number(i.premium_rcv_detail_code))+1
from ins_premium_det i),'19145','19145','02', '11000003','00','Request by Mr. Omair Ali 25-Sep-2024 allocation no 24Sep240082 ');</v>
      </c>
      <c r="H328" s="84" t="str">
        <f t="shared" si="22"/>
        <v>insert into ins_premium_det (premium_rcv_code,assorted_code, rec_amount,premium_rcv_detail_code,remaining_amt, payrec, mode_code,coinsurance_code,class_cd,it_remarks) values('24Sep240082','040000178641','19145',(select max(to_number(i.premium_rcv_detail_code))+1
from ins_premium_det i),'19145','19145','02', '11000003','00','Request by Mr. Omair Ali 25-Sep-2024 allocation no 24Sep240082 ');</v>
      </c>
    </row>
    <row r="329" spans="1:8" ht="105" x14ac:dyDescent="0.25">
      <c r="A329" t="s">
        <v>441</v>
      </c>
      <c r="B329" s="80" t="str">
        <f>VLOOKUP(A329,[1]Sheet1!$B:$C,2,0)</f>
        <v>040000178644</v>
      </c>
      <c r="C329" s="46">
        <v>19145</v>
      </c>
      <c r="D329" s="81">
        <f t="shared" si="23"/>
        <v>19145</v>
      </c>
      <c r="E329" s="79" t="s">
        <v>2492</v>
      </c>
      <c r="F329" s="82" t="str">
        <f t="shared" si="20"/>
        <v>insert into ins_premium_det (premium_rcv_code,assorted_code, rec_amount,premium_rcv_detail_code,remaining_amt, payrec, mode_code,coinsurance_code,class_cd,it_remarks) values</v>
      </c>
      <c r="G329" s="83" t="str">
        <f t="shared" si="21"/>
        <v>('24Sep240082','040000178644','19145',(select max(to_number(i.premium_rcv_detail_code))+1
from ins_premium_det i),'19145','19145','02', '11000003','00','Request by Mr. Omair Ali 25-Sep-2024 allocation no 24Sep240082 ');</v>
      </c>
      <c r="H329" s="84" t="str">
        <f t="shared" si="22"/>
        <v>insert into ins_premium_det (premium_rcv_code,assorted_code, rec_amount,premium_rcv_detail_code,remaining_amt, payrec, mode_code,coinsurance_code,class_cd,it_remarks) values('24Sep240082','040000178644','19145',(select max(to_number(i.premium_rcv_detail_code))+1
from ins_premium_det i),'19145','19145','02', '11000003','00','Request by Mr. Omair Ali 25-Sep-2024 allocation no 24Sep240082 ');</v>
      </c>
    </row>
    <row r="330" spans="1:8" ht="105" x14ac:dyDescent="0.25">
      <c r="A330" t="s">
        <v>442</v>
      </c>
      <c r="B330" s="80" t="str">
        <f>VLOOKUP(A330,[1]Sheet1!$B:$C,2,0)</f>
        <v>040000178645</v>
      </c>
      <c r="C330" s="46">
        <v>19145</v>
      </c>
      <c r="D330" s="81">
        <f t="shared" si="23"/>
        <v>19145</v>
      </c>
      <c r="E330" s="79" t="s">
        <v>2492</v>
      </c>
      <c r="F330" s="82" t="str">
        <f t="shared" si="20"/>
        <v>insert into ins_premium_det (premium_rcv_code,assorted_code, rec_amount,premium_rcv_detail_code,remaining_amt, payrec, mode_code,coinsurance_code,class_cd,it_remarks) values</v>
      </c>
      <c r="G330" s="83" t="str">
        <f t="shared" si="21"/>
        <v>('24Sep240082','040000178645','19145',(select max(to_number(i.premium_rcv_detail_code))+1
from ins_premium_det i),'19145','19145','02', '11000003','00','Request by Mr. Omair Ali 25-Sep-2024 allocation no 24Sep240082 ');</v>
      </c>
      <c r="H330" s="84" t="str">
        <f t="shared" si="22"/>
        <v>insert into ins_premium_det (premium_rcv_code,assorted_code, rec_amount,premium_rcv_detail_code,remaining_amt, payrec, mode_code,coinsurance_code,class_cd,it_remarks) values('24Sep240082','040000178645','19145',(select max(to_number(i.premium_rcv_detail_code))+1
from ins_premium_det i),'19145','19145','02', '11000003','00','Request by Mr. Omair Ali 25-Sep-2024 allocation no 24Sep240082 ');</v>
      </c>
    </row>
    <row r="331" spans="1:8" ht="105" x14ac:dyDescent="0.25">
      <c r="A331" t="s">
        <v>443</v>
      </c>
      <c r="B331" s="80" t="str">
        <f>VLOOKUP(A331,[1]Sheet1!$B:$C,2,0)</f>
        <v>040000178649</v>
      </c>
      <c r="C331" s="46">
        <v>12475</v>
      </c>
      <c r="D331" s="81">
        <f t="shared" si="23"/>
        <v>12475</v>
      </c>
      <c r="E331" s="79" t="s">
        <v>2492</v>
      </c>
      <c r="F331" s="82" t="str">
        <f t="shared" si="20"/>
        <v>insert into ins_premium_det (premium_rcv_code,assorted_code, rec_amount,premium_rcv_detail_code,remaining_amt, payrec, mode_code,coinsurance_code,class_cd,it_remarks) values</v>
      </c>
      <c r="G331" s="83" t="str">
        <f t="shared" si="21"/>
        <v>('24Sep240082','040000178649','12475',(select max(to_number(i.premium_rcv_detail_code))+1
from ins_premium_det i),'12475','12475','02', '11000003','00','Request by Mr. Omair Ali 25-Sep-2024 allocation no 24Sep240082 ');</v>
      </c>
      <c r="H331" s="84" t="str">
        <f t="shared" si="22"/>
        <v>insert into ins_premium_det (premium_rcv_code,assorted_code, rec_amount,premium_rcv_detail_code,remaining_amt, payrec, mode_code,coinsurance_code,class_cd,it_remarks) values('24Sep240082','040000178649','12475',(select max(to_number(i.premium_rcv_detail_code))+1
from ins_premium_det i),'12475','12475','02', '11000003','00','Request by Mr. Omair Ali 25-Sep-2024 allocation no 24Sep240082 ');</v>
      </c>
    </row>
    <row r="332" spans="1:8" ht="105" x14ac:dyDescent="0.25">
      <c r="A332" t="s">
        <v>444</v>
      </c>
      <c r="B332" s="80" t="str">
        <f>VLOOKUP(A332,[1]Sheet1!$B:$C,2,0)</f>
        <v>040000178650</v>
      </c>
      <c r="C332" s="46">
        <v>13370</v>
      </c>
      <c r="D332" s="81">
        <f t="shared" si="23"/>
        <v>13370</v>
      </c>
      <c r="E332" s="79" t="s">
        <v>2492</v>
      </c>
      <c r="F332" s="82" t="str">
        <f t="shared" si="20"/>
        <v>insert into ins_premium_det (premium_rcv_code,assorted_code, rec_amount,premium_rcv_detail_code,remaining_amt, payrec, mode_code,coinsurance_code,class_cd,it_remarks) values</v>
      </c>
      <c r="G332" s="83" t="str">
        <f t="shared" si="21"/>
        <v>('24Sep240082','040000178650','13370',(select max(to_number(i.premium_rcv_detail_code))+1
from ins_premium_det i),'13370','13370','02', '11000003','00','Request by Mr. Omair Ali 25-Sep-2024 allocation no 24Sep240082 ');</v>
      </c>
      <c r="H332" s="84" t="str">
        <f t="shared" si="22"/>
        <v>insert into ins_premium_det (premium_rcv_code,assorted_code, rec_amount,premium_rcv_detail_code,remaining_amt, payrec, mode_code,coinsurance_code,class_cd,it_remarks) values('24Sep240082','040000178650','13370',(select max(to_number(i.premium_rcv_detail_code))+1
from ins_premium_det i),'13370','13370','02', '11000003','00','Request by Mr. Omair Ali 25-Sep-2024 allocation no 24Sep240082 ');</v>
      </c>
    </row>
    <row r="333" spans="1:8" ht="105" x14ac:dyDescent="0.25">
      <c r="A333" t="s">
        <v>445</v>
      </c>
      <c r="B333" s="80" t="str">
        <f>VLOOKUP(A333,[1]Sheet1!$B:$C,2,0)</f>
        <v>040000178652</v>
      </c>
      <c r="C333" s="46">
        <v>8800</v>
      </c>
      <c r="D333" s="81">
        <f t="shared" si="23"/>
        <v>8800</v>
      </c>
      <c r="E333" s="79" t="s">
        <v>2492</v>
      </c>
      <c r="F333" s="82" t="str">
        <f t="shared" si="20"/>
        <v>insert into ins_premium_det (premium_rcv_code,assorted_code, rec_amount,premium_rcv_detail_code,remaining_amt, payrec, mode_code,coinsurance_code,class_cd,it_remarks) values</v>
      </c>
      <c r="G333" s="83" t="str">
        <f t="shared" si="21"/>
        <v>('24Sep240082','040000178652','8800',(select max(to_number(i.premium_rcv_detail_code))+1
from ins_premium_det i),'8800','8800','02', '11000003','00','Request by Mr. Omair Ali 25-Sep-2024 allocation no 24Sep240082 ');</v>
      </c>
      <c r="H333" s="84" t="str">
        <f t="shared" si="22"/>
        <v>insert into ins_premium_det (premium_rcv_code,assorted_code, rec_amount,premium_rcv_detail_code,remaining_amt, payrec, mode_code,coinsurance_code,class_cd,it_remarks) values('24Sep240082','040000178652','8800',(select max(to_number(i.premium_rcv_detail_code))+1
from ins_premium_det i),'8800','8800','02', '11000003','00','Request by Mr. Omair Ali 25-Sep-2024 allocation no 24Sep240082 ');</v>
      </c>
    </row>
    <row r="334" spans="1:8" ht="105" x14ac:dyDescent="0.25">
      <c r="A334" t="s">
        <v>446</v>
      </c>
      <c r="B334" s="80" t="str">
        <f>VLOOKUP(A334,[1]Sheet1!$B:$C,2,0)</f>
        <v>040000178653</v>
      </c>
      <c r="C334" s="46">
        <v>8800</v>
      </c>
      <c r="D334" s="81">
        <f t="shared" si="23"/>
        <v>8800</v>
      </c>
      <c r="E334" s="79" t="s">
        <v>2492</v>
      </c>
      <c r="F334" s="82" t="str">
        <f t="shared" si="20"/>
        <v>insert into ins_premium_det (premium_rcv_code,assorted_code, rec_amount,premium_rcv_detail_code,remaining_amt, payrec, mode_code,coinsurance_code,class_cd,it_remarks) values</v>
      </c>
      <c r="G334" s="83" t="str">
        <f t="shared" si="21"/>
        <v>('24Sep240082','040000178653','8800',(select max(to_number(i.premium_rcv_detail_code))+1
from ins_premium_det i),'8800','8800','02', '11000003','00','Request by Mr. Omair Ali 25-Sep-2024 allocation no 24Sep240082 ');</v>
      </c>
      <c r="H334" s="84" t="str">
        <f t="shared" si="22"/>
        <v>insert into ins_premium_det (premium_rcv_code,assorted_code, rec_amount,premium_rcv_detail_code,remaining_amt, payrec, mode_code,coinsurance_code,class_cd,it_remarks) values('24Sep240082','040000178653','8800',(select max(to_number(i.premium_rcv_detail_code))+1
from ins_premium_det i),'8800','8800','02', '11000003','00','Request by Mr. Omair Ali 25-Sep-2024 allocation no 24Sep240082 ');</v>
      </c>
    </row>
    <row r="335" spans="1:8" ht="105" x14ac:dyDescent="0.25">
      <c r="A335" t="s">
        <v>447</v>
      </c>
      <c r="B335" s="80" t="str">
        <f>VLOOKUP(A335,[1]Sheet1!$B:$C,2,0)</f>
        <v>040000178654</v>
      </c>
      <c r="C335" s="46">
        <v>13370</v>
      </c>
      <c r="D335" s="81">
        <f t="shared" si="23"/>
        <v>13370</v>
      </c>
      <c r="E335" s="79" t="s">
        <v>2492</v>
      </c>
      <c r="F335" s="82" t="str">
        <f t="shared" si="20"/>
        <v>insert into ins_premium_det (premium_rcv_code,assorted_code, rec_amount,premium_rcv_detail_code,remaining_amt, payrec, mode_code,coinsurance_code,class_cd,it_remarks) values</v>
      </c>
      <c r="G335" s="83" t="str">
        <f t="shared" si="21"/>
        <v>('24Sep240082','040000178654','13370',(select max(to_number(i.premium_rcv_detail_code))+1
from ins_premium_det i),'13370','13370','02', '11000003','00','Request by Mr. Omair Ali 25-Sep-2024 allocation no 24Sep240082 ');</v>
      </c>
      <c r="H335" s="84" t="str">
        <f t="shared" si="22"/>
        <v>insert into ins_premium_det (premium_rcv_code,assorted_code, rec_amount,premium_rcv_detail_code,remaining_amt, payrec, mode_code,coinsurance_code,class_cd,it_remarks) values('24Sep240082','040000178654','13370',(select max(to_number(i.premium_rcv_detail_code))+1
from ins_premium_det i),'13370','13370','02', '11000003','00','Request by Mr. Omair Ali 25-Sep-2024 allocation no 24Sep240082 ');</v>
      </c>
    </row>
    <row r="336" spans="1:8" ht="105" x14ac:dyDescent="0.25">
      <c r="A336" t="s">
        <v>448</v>
      </c>
      <c r="B336" s="80" t="str">
        <f>VLOOKUP(A336,[1]Sheet1!$B:$C,2,0)</f>
        <v>040000178655</v>
      </c>
      <c r="C336" s="46">
        <v>13370</v>
      </c>
      <c r="D336" s="81">
        <f t="shared" si="23"/>
        <v>13370</v>
      </c>
      <c r="E336" s="79" t="s">
        <v>2492</v>
      </c>
      <c r="F336" s="82" t="str">
        <f t="shared" si="20"/>
        <v>insert into ins_premium_det (premium_rcv_code,assorted_code, rec_amount,premium_rcv_detail_code,remaining_amt, payrec, mode_code,coinsurance_code,class_cd,it_remarks) values</v>
      </c>
      <c r="G336" s="83" t="str">
        <f t="shared" si="21"/>
        <v>('24Sep240082','040000178655','13370',(select max(to_number(i.premium_rcv_detail_code))+1
from ins_premium_det i),'13370','13370','02', '11000003','00','Request by Mr. Omair Ali 25-Sep-2024 allocation no 24Sep240082 ');</v>
      </c>
      <c r="H336" s="84" t="str">
        <f t="shared" si="22"/>
        <v>insert into ins_premium_det (premium_rcv_code,assorted_code, rec_amount,premium_rcv_detail_code,remaining_amt, payrec, mode_code,coinsurance_code,class_cd,it_remarks) values('24Sep240082','040000178655','13370',(select max(to_number(i.premium_rcv_detail_code))+1
from ins_premium_det i),'13370','13370','02', '11000003','00','Request by Mr. Omair Ali 25-Sep-2024 allocation no 24Sep240082 ');</v>
      </c>
    </row>
    <row r="337" spans="1:8" ht="105" x14ac:dyDescent="0.25">
      <c r="A337" t="s">
        <v>449</v>
      </c>
      <c r="B337" s="80" t="str">
        <f>VLOOKUP(A337,[1]Sheet1!$B:$C,2,0)</f>
        <v>040000178657</v>
      </c>
      <c r="C337" s="46">
        <v>12475</v>
      </c>
      <c r="D337" s="81">
        <f t="shared" si="23"/>
        <v>12475</v>
      </c>
      <c r="E337" s="79" t="s">
        <v>2492</v>
      </c>
      <c r="F337" s="82" t="str">
        <f t="shared" si="20"/>
        <v>insert into ins_premium_det (premium_rcv_code,assorted_code, rec_amount,premium_rcv_detail_code,remaining_amt, payrec, mode_code,coinsurance_code,class_cd,it_remarks) values</v>
      </c>
      <c r="G337" s="83" t="str">
        <f t="shared" si="21"/>
        <v>('24Sep240082','040000178657','12475',(select max(to_number(i.premium_rcv_detail_code))+1
from ins_premium_det i),'12475','12475','02', '11000003','00','Request by Mr. Omair Ali 25-Sep-2024 allocation no 24Sep240082 ');</v>
      </c>
      <c r="H337" s="84" t="str">
        <f t="shared" si="22"/>
        <v>insert into ins_premium_det (premium_rcv_code,assorted_code, rec_amount,premium_rcv_detail_code,remaining_amt, payrec, mode_code,coinsurance_code,class_cd,it_remarks) values('24Sep240082','040000178657','12475',(select max(to_number(i.premium_rcv_detail_code))+1
from ins_premium_det i),'12475','12475','02', '11000003','00','Request by Mr. Omair Ali 25-Sep-2024 allocation no 24Sep240082 ');</v>
      </c>
    </row>
    <row r="338" spans="1:8" ht="105" x14ac:dyDescent="0.25">
      <c r="A338" t="s">
        <v>450</v>
      </c>
      <c r="B338" s="80" t="str">
        <f>VLOOKUP(A338,[1]Sheet1!$B:$C,2,0)</f>
        <v>040000178659</v>
      </c>
      <c r="C338" s="46">
        <v>12320</v>
      </c>
      <c r="D338" s="81">
        <f t="shared" si="23"/>
        <v>12320</v>
      </c>
      <c r="E338" s="79" t="s">
        <v>2492</v>
      </c>
      <c r="F338" s="82" t="str">
        <f t="shared" si="20"/>
        <v>insert into ins_premium_det (premium_rcv_code,assorted_code, rec_amount,premium_rcv_detail_code,remaining_amt, payrec, mode_code,coinsurance_code,class_cd,it_remarks) values</v>
      </c>
      <c r="G338" s="83" t="str">
        <f t="shared" si="21"/>
        <v>('24Sep240082','040000178659','12320',(select max(to_number(i.premium_rcv_detail_code))+1
from ins_premium_det i),'12320','12320','02', '11000003','00','Request by Mr. Omair Ali 25-Sep-2024 allocation no 24Sep240082 ');</v>
      </c>
      <c r="H338" s="84" t="str">
        <f t="shared" si="22"/>
        <v>insert into ins_premium_det (premium_rcv_code,assorted_code, rec_amount,premium_rcv_detail_code,remaining_amt, payrec, mode_code,coinsurance_code,class_cd,it_remarks) values('24Sep240082','040000178659','12320',(select max(to_number(i.premium_rcv_detail_code))+1
from ins_premium_det i),'12320','12320','02', '11000003','00','Request by Mr. Omair Ali 25-Sep-2024 allocation no 24Sep240082 ');</v>
      </c>
    </row>
    <row r="339" spans="1:8" ht="105" x14ac:dyDescent="0.25">
      <c r="A339" t="s">
        <v>451</v>
      </c>
      <c r="B339" s="80" t="str">
        <f>VLOOKUP(A339,[1]Sheet1!$B:$C,2,0)</f>
        <v>040000178660</v>
      </c>
      <c r="C339" s="46">
        <v>12320</v>
      </c>
      <c r="D339" s="81">
        <f t="shared" si="23"/>
        <v>12320</v>
      </c>
      <c r="E339" s="79" t="s">
        <v>2492</v>
      </c>
      <c r="F339" s="82" t="str">
        <f t="shared" si="20"/>
        <v>insert into ins_premium_det (premium_rcv_code,assorted_code, rec_amount,premium_rcv_detail_code,remaining_amt, payrec, mode_code,coinsurance_code,class_cd,it_remarks) values</v>
      </c>
      <c r="G339" s="83" t="str">
        <f t="shared" si="21"/>
        <v>('24Sep240082','040000178660','12320',(select max(to_number(i.premium_rcv_detail_code))+1
from ins_premium_det i),'12320','12320','02', '11000003','00','Request by Mr. Omair Ali 25-Sep-2024 allocation no 24Sep240082 ');</v>
      </c>
      <c r="H339" s="84" t="str">
        <f t="shared" si="22"/>
        <v>insert into ins_premium_det (premium_rcv_code,assorted_code, rec_amount,premium_rcv_detail_code,remaining_amt, payrec, mode_code,coinsurance_code,class_cd,it_remarks) values('24Sep240082','040000178660','12320',(select max(to_number(i.premium_rcv_detail_code))+1
from ins_premium_det i),'12320','12320','02', '11000003','00','Request by Mr. Omair Ali 25-Sep-2024 allocation no 24Sep240082 ');</v>
      </c>
    </row>
    <row r="340" spans="1:8" ht="105" x14ac:dyDescent="0.25">
      <c r="A340" t="s">
        <v>452</v>
      </c>
      <c r="B340" s="80" t="str">
        <f>VLOOKUP(A340,[1]Sheet1!$B:$C,2,0)</f>
        <v>040000178664</v>
      </c>
      <c r="C340" s="46">
        <v>8800</v>
      </c>
      <c r="D340" s="81">
        <f t="shared" si="23"/>
        <v>8800</v>
      </c>
      <c r="E340" s="79" t="s">
        <v>2492</v>
      </c>
      <c r="F340" s="82" t="str">
        <f t="shared" si="20"/>
        <v>insert into ins_premium_det (premium_rcv_code,assorted_code, rec_amount,premium_rcv_detail_code,remaining_amt, payrec, mode_code,coinsurance_code,class_cd,it_remarks) values</v>
      </c>
      <c r="G340" s="83" t="str">
        <f t="shared" si="21"/>
        <v>('24Sep240082','040000178664','8800',(select max(to_number(i.premium_rcv_detail_code))+1
from ins_premium_det i),'8800','8800','02', '11000003','00','Request by Mr. Omair Ali 25-Sep-2024 allocation no 24Sep240082 ');</v>
      </c>
      <c r="H340" s="84" t="str">
        <f t="shared" si="22"/>
        <v>insert into ins_premium_det (premium_rcv_code,assorted_code, rec_amount,premium_rcv_detail_code,remaining_amt, payrec, mode_code,coinsurance_code,class_cd,it_remarks) values('24Sep240082','040000178664','8800',(select max(to_number(i.premium_rcv_detail_code))+1
from ins_premium_det i),'8800','8800','02', '11000003','00','Request by Mr. Omair Ali 25-Sep-2024 allocation no 24Sep240082 ');</v>
      </c>
    </row>
    <row r="341" spans="1:8" ht="105" x14ac:dyDescent="0.25">
      <c r="A341" t="s">
        <v>453</v>
      </c>
      <c r="B341" s="80" t="str">
        <f>VLOOKUP(A341,[1]Sheet1!$B:$C,2,0)</f>
        <v>040000178665</v>
      </c>
      <c r="C341" s="46">
        <v>13370</v>
      </c>
      <c r="D341" s="81">
        <f t="shared" si="23"/>
        <v>13370</v>
      </c>
      <c r="E341" s="79" t="s">
        <v>2492</v>
      </c>
      <c r="F341" s="82" t="str">
        <f t="shared" si="20"/>
        <v>insert into ins_premium_det (premium_rcv_code,assorted_code, rec_amount,premium_rcv_detail_code,remaining_amt, payrec, mode_code,coinsurance_code,class_cd,it_remarks) values</v>
      </c>
      <c r="G341" s="83" t="str">
        <f t="shared" si="21"/>
        <v>('24Sep240082','040000178665','13370',(select max(to_number(i.premium_rcv_detail_code))+1
from ins_premium_det i),'13370','13370','02', '11000003','00','Request by Mr. Omair Ali 25-Sep-2024 allocation no 24Sep240082 ');</v>
      </c>
      <c r="H341" s="84" t="str">
        <f t="shared" si="22"/>
        <v>insert into ins_premium_det (premium_rcv_code,assorted_code, rec_amount,premium_rcv_detail_code,remaining_amt, payrec, mode_code,coinsurance_code,class_cd,it_remarks) values('24Sep240082','040000178665','13370',(select max(to_number(i.premium_rcv_detail_code))+1
from ins_premium_det i),'13370','13370','02', '11000003','00','Request by Mr. Omair Ali 25-Sep-2024 allocation no 24Sep240082 ');</v>
      </c>
    </row>
    <row r="342" spans="1:8" ht="105" x14ac:dyDescent="0.25">
      <c r="A342" t="s">
        <v>454</v>
      </c>
      <c r="B342" s="80" t="str">
        <f>VLOOKUP(A342,[1]Sheet1!$B:$C,2,0)</f>
        <v>040000178666</v>
      </c>
      <c r="C342" s="46">
        <v>13370</v>
      </c>
      <c r="D342" s="81">
        <f t="shared" si="23"/>
        <v>13370</v>
      </c>
      <c r="E342" s="79" t="s">
        <v>2492</v>
      </c>
      <c r="F342" s="82" t="str">
        <f t="shared" si="20"/>
        <v>insert into ins_premium_det (premium_rcv_code,assorted_code, rec_amount,premium_rcv_detail_code,remaining_amt, payrec, mode_code,coinsurance_code,class_cd,it_remarks) values</v>
      </c>
      <c r="G342" s="83" t="str">
        <f t="shared" si="21"/>
        <v>('24Sep240082','040000178666','13370',(select max(to_number(i.premium_rcv_detail_code))+1
from ins_premium_det i),'13370','13370','02', '11000003','00','Request by Mr. Omair Ali 25-Sep-2024 allocation no 24Sep240082 ');</v>
      </c>
      <c r="H342" s="84" t="str">
        <f t="shared" si="22"/>
        <v>insert into ins_premium_det (premium_rcv_code,assorted_code, rec_amount,premium_rcv_detail_code,remaining_amt, payrec, mode_code,coinsurance_code,class_cd,it_remarks) values('24Sep240082','040000178666','13370',(select max(to_number(i.premium_rcv_detail_code))+1
from ins_premium_det i),'13370','13370','02', '11000003','00','Request by Mr. Omair Ali 25-Sep-2024 allocation no 24Sep240082 ');</v>
      </c>
    </row>
    <row r="343" spans="1:8" ht="105" x14ac:dyDescent="0.25">
      <c r="A343" t="s">
        <v>455</v>
      </c>
      <c r="B343" s="80" t="str">
        <f>VLOOKUP(A343,[1]Sheet1!$B:$C,2,0)</f>
        <v>040000178667</v>
      </c>
      <c r="C343" s="46">
        <v>12320</v>
      </c>
      <c r="D343" s="81">
        <f t="shared" si="23"/>
        <v>12320</v>
      </c>
      <c r="E343" s="79" t="s">
        <v>2492</v>
      </c>
      <c r="F343" s="82" t="str">
        <f t="shared" si="20"/>
        <v>insert into ins_premium_det (premium_rcv_code,assorted_code, rec_amount,premium_rcv_detail_code,remaining_amt, payrec, mode_code,coinsurance_code,class_cd,it_remarks) values</v>
      </c>
      <c r="G343" s="83" t="str">
        <f t="shared" si="21"/>
        <v>('24Sep240082','040000178667','12320',(select max(to_number(i.premium_rcv_detail_code))+1
from ins_premium_det i),'12320','12320','02', '11000003','00','Request by Mr. Omair Ali 25-Sep-2024 allocation no 24Sep240082 ');</v>
      </c>
      <c r="H343" s="84" t="str">
        <f t="shared" si="22"/>
        <v>insert into ins_premium_det (premium_rcv_code,assorted_code, rec_amount,premium_rcv_detail_code,remaining_amt, payrec, mode_code,coinsurance_code,class_cd,it_remarks) values('24Sep240082','040000178667','12320',(select max(to_number(i.premium_rcv_detail_code))+1
from ins_premium_det i),'12320','12320','02', '11000003','00','Request by Mr. Omair Ali 25-Sep-2024 allocation no 24Sep240082 ');</v>
      </c>
    </row>
    <row r="344" spans="1:8" ht="105" x14ac:dyDescent="0.25">
      <c r="A344" t="s">
        <v>456</v>
      </c>
      <c r="B344" s="80" t="str">
        <f>VLOOKUP(A344,[1]Sheet1!$B:$C,2,0)</f>
        <v>040000178668</v>
      </c>
      <c r="C344" s="46">
        <v>12320</v>
      </c>
      <c r="D344" s="81">
        <f t="shared" si="23"/>
        <v>12320</v>
      </c>
      <c r="E344" s="79" t="s">
        <v>2492</v>
      </c>
      <c r="F344" s="82" t="str">
        <f t="shared" si="20"/>
        <v>insert into ins_premium_det (premium_rcv_code,assorted_code, rec_amount,premium_rcv_detail_code,remaining_amt, payrec, mode_code,coinsurance_code,class_cd,it_remarks) values</v>
      </c>
      <c r="G344" s="83" t="str">
        <f t="shared" si="21"/>
        <v>('24Sep240082','040000178668','12320',(select max(to_number(i.premium_rcv_detail_code))+1
from ins_premium_det i),'12320','12320','02', '11000003','00','Request by Mr. Omair Ali 25-Sep-2024 allocation no 24Sep240082 ');</v>
      </c>
      <c r="H344" s="84" t="str">
        <f t="shared" si="22"/>
        <v>insert into ins_premium_det (premium_rcv_code,assorted_code, rec_amount,premium_rcv_detail_code,remaining_amt, payrec, mode_code,coinsurance_code,class_cd,it_remarks) values('24Sep240082','040000178668','12320',(select max(to_number(i.premium_rcv_detail_code))+1
from ins_premium_det i),'12320','12320','02', '11000003','00','Request by Mr. Omair Ali 25-Sep-2024 allocation no 24Sep240082 ');</v>
      </c>
    </row>
    <row r="345" spans="1:8" ht="105" x14ac:dyDescent="0.25">
      <c r="A345" t="s">
        <v>457</v>
      </c>
      <c r="B345" s="80" t="str">
        <f>VLOOKUP(A345,[1]Sheet1!$B:$C,2,0)</f>
        <v>040000178669</v>
      </c>
      <c r="C345" s="46">
        <v>19145</v>
      </c>
      <c r="D345" s="81">
        <f t="shared" si="23"/>
        <v>19145</v>
      </c>
      <c r="E345" s="79" t="s">
        <v>2492</v>
      </c>
      <c r="F345" s="82" t="str">
        <f t="shared" si="20"/>
        <v>insert into ins_premium_det (premium_rcv_code,assorted_code, rec_amount,premium_rcv_detail_code,remaining_amt, payrec, mode_code,coinsurance_code,class_cd,it_remarks) values</v>
      </c>
      <c r="G345" s="83" t="str">
        <f t="shared" si="21"/>
        <v>('24Sep240082','040000178669','19145',(select max(to_number(i.premium_rcv_detail_code))+1
from ins_premium_det i),'19145','19145','02', '11000003','00','Request by Mr. Omair Ali 25-Sep-2024 allocation no 24Sep240082 ');</v>
      </c>
      <c r="H345" s="84" t="str">
        <f t="shared" si="22"/>
        <v>insert into ins_premium_det (premium_rcv_code,assorted_code, rec_amount,premium_rcv_detail_code,remaining_amt, payrec, mode_code,coinsurance_code,class_cd,it_remarks) values('24Sep240082','040000178669','19145',(select max(to_number(i.premium_rcv_detail_code))+1
from ins_premium_det i),'19145','19145','02', '11000003','00','Request by Mr. Omair Ali 25-Sep-2024 allocation no 24Sep240082 ');</v>
      </c>
    </row>
    <row r="346" spans="1:8" ht="105" x14ac:dyDescent="0.25">
      <c r="A346" t="s">
        <v>458</v>
      </c>
      <c r="B346" s="80" t="str">
        <f>VLOOKUP(A346,[1]Sheet1!$B:$C,2,0)</f>
        <v>040000178670</v>
      </c>
      <c r="C346" s="46">
        <v>19145</v>
      </c>
      <c r="D346" s="81">
        <f t="shared" si="23"/>
        <v>19145</v>
      </c>
      <c r="E346" s="79" t="s">
        <v>2492</v>
      </c>
      <c r="F346" s="82" t="str">
        <f t="shared" si="20"/>
        <v>insert into ins_premium_det (premium_rcv_code,assorted_code, rec_amount,premium_rcv_detail_code,remaining_amt, payrec, mode_code,coinsurance_code,class_cd,it_remarks) values</v>
      </c>
      <c r="G346" s="83" t="str">
        <f t="shared" si="21"/>
        <v>('24Sep240082','040000178670','19145',(select max(to_number(i.premium_rcv_detail_code))+1
from ins_premium_det i),'19145','19145','02', '11000003','00','Request by Mr. Omair Ali 25-Sep-2024 allocation no 24Sep240082 ');</v>
      </c>
      <c r="H346" s="84" t="str">
        <f t="shared" si="22"/>
        <v>insert into ins_premium_det (premium_rcv_code,assorted_code, rec_amount,premium_rcv_detail_code,remaining_amt, payrec, mode_code,coinsurance_code,class_cd,it_remarks) values('24Sep240082','040000178670','19145',(select max(to_number(i.premium_rcv_detail_code))+1
from ins_premium_det i),'19145','19145','02', '11000003','00','Request by Mr. Omair Ali 25-Sep-2024 allocation no 24Sep240082 ');</v>
      </c>
    </row>
    <row r="347" spans="1:8" ht="105" x14ac:dyDescent="0.25">
      <c r="A347" t="s">
        <v>459</v>
      </c>
      <c r="B347" s="80" t="str">
        <f>VLOOKUP(A347,[1]Sheet1!$B:$C,2,0)</f>
        <v>040000178671</v>
      </c>
      <c r="C347" s="46">
        <v>8800</v>
      </c>
      <c r="D347" s="81">
        <f t="shared" si="23"/>
        <v>8800</v>
      </c>
      <c r="E347" s="79" t="s">
        <v>2492</v>
      </c>
      <c r="F347" s="82" t="str">
        <f t="shared" si="20"/>
        <v>insert into ins_premium_det (premium_rcv_code,assorted_code, rec_amount,premium_rcv_detail_code,remaining_amt, payrec, mode_code,coinsurance_code,class_cd,it_remarks) values</v>
      </c>
      <c r="G347" s="83" t="str">
        <f t="shared" si="21"/>
        <v>('24Sep240082','040000178671','8800',(select max(to_number(i.premium_rcv_detail_code))+1
from ins_premium_det i),'8800','8800','02', '11000003','00','Request by Mr. Omair Ali 25-Sep-2024 allocation no 24Sep240082 ');</v>
      </c>
      <c r="H347" s="84" t="str">
        <f t="shared" si="22"/>
        <v>insert into ins_premium_det (premium_rcv_code,assorted_code, rec_amount,premium_rcv_detail_code,remaining_amt, payrec, mode_code,coinsurance_code,class_cd,it_remarks) values('24Sep240082','040000178671','8800',(select max(to_number(i.premium_rcv_detail_code))+1
from ins_premium_det i),'8800','8800','02', '11000003','00','Request by Mr. Omair Ali 25-Sep-2024 allocation no 24Sep240082 ');</v>
      </c>
    </row>
    <row r="348" spans="1:8" ht="105" x14ac:dyDescent="0.25">
      <c r="A348" t="s">
        <v>460</v>
      </c>
      <c r="B348" s="80" t="str">
        <f>VLOOKUP(A348,[1]Sheet1!$B:$C,2,0)</f>
        <v>040000178672</v>
      </c>
      <c r="C348" s="46">
        <v>12320</v>
      </c>
      <c r="D348" s="81">
        <f t="shared" si="23"/>
        <v>12320</v>
      </c>
      <c r="E348" s="79" t="s">
        <v>2492</v>
      </c>
      <c r="F348" s="82" t="str">
        <f t="shared" si="20"/>
        <v>insert into ins_premium_det (premium_rcv_code,assorted_code, rec_amount,premium_rcv_detail_code,remaining_amt, payrec, mode_code,coinsurance_code,class_cd,it_remarks) values</v>
      </c>
      <c r="G348" s="83" t="str">
        <f t="shared" si="21"/>
        <v>('24Sep240082','040000178672','12320',(select max(to_number(i.premium_rcv_detail_code))+1
from ins_premium_det i),'12320','12320','02', '11000003','00','Request by Mr. Omair Ali 25-Sep-2024 allocation no 24Sep240082 ');</v>
      </c>
      <c r="H348" s="84" t="str">
        <f t="shared" si="22"/>
        <v>insert into ins_premium_det (premium_rcv_code,assorted_code, rec_amount,premium_rcv_detail_code,remaining_amt, payrec, mode_code,coinsurance_code,class_cd,it_remarks) values('24Sep240082','040000178672','12320',(select max(to_number(i.premium_rcv_detail_code))+1
from ins_premium_det i),'12320','12320','02', '11000003','00','Request by Mr. Omair Ali 25-Sep-2024 allocation no 24Sep240082 ');</v>
      </c>
    </row>
    <row r="349" spans="1:8" ht="105" x14ac:dyDescent="0.25">
      <c r="A349" t="s">
        <v>461</v>
      </c>
      <c r="B349" s="80" t="str">
        <f>VLOOKUP(A349,[1]Sheet1!$B:$C,2,0)</f>
        <v>040000178673</v>
      </c>
      <c r="C349" s="46">
        <v>12320</v>
      </c>
      <c r="D349" s="81">
        <f t="shared" si="23"/>
        <v>12320</v>
      </c>
      <c r="E349" s="79" t="s">
        <v>2492</v>
      </c>
      <c r="F349" s="82" t="str">
        <f t="shared" si="20"/>
        <v>insert into ins_premium_det (premium_rcv_code,assorted_code, rec_amount,premium_rcv_detail_code,remaining_amt, payrec, mode_code,coinsurance_code,class_cd,it_remarks) values</v>
      </c>
      <c r="G349" s="83" t="str">
        <f t="shared" si="21"/>
        <v>('24Sep240082','040000178673','12320',(select max(to_number(i.premium_rcv_detail_code))+1
from ins_premium_det i),'12320','12320','02', '11000003','00','Request by Mr. Omair Ali 25-Sep-2024 allocation no 24Sep240082 ');</v>
      </c>
      <c r="H349" s="84" t="str">
        <f t="shared" si="22"/>
        <v>insert into ins_premium_det (premium_rcv_code,assorted_code, rec_amount,premium_rcv_detail_code,remaining_amt, payrec, mode_code,coinsurance_code,class_cd,it_remarks) values('24Sep240082','040000178673','12320',(select max(to_number(i.premium_rcv_detail_code))+1
from ins_premium_det i),'12320','12320','02', '11000003','00','Request by Mr. Omair Ali 25-Sep-2024 allocation no 24Sep240082 ');</v>
      </c>
    </row>
    <row r="350" spans="1:8" ht="105" x14ac:dyDescent="0.25">
      <c r="A350" t="s">
        <v>462</v>
      </c>
      <c r="B350" s="80" t="str">
        <f>VLOOKUP(A350,[1]Sheet1!$B:$C,2,0)</f>
        <v>040000178674</v>
      </c>
      <c r="C350" s="46">
        <v>12320</v>
      </c>
      <c r="D350" s="81">
        <f t="shared" si="23"/>
        <v>12320</v>
      </c>
      <c r="E350" s="79" t="s">
        <v>2492</v>
      </c>
      <c r="F350" s="82" t="str">
        <f t="shared" si="20"/>
        <v>insert into ins_premium_det (premium_rcv_code,assorted_code, rec_amount,premium_rcv_detail_code,remaining_amt, payrec, mode_code,coinsurance_code,class_cd,it_remarks) values</v>
      </c>
      <c r="G350" s="83" t="str">
        <f t="shared" si="21"/>
        <v>('24Sep240082','040000178674','12320',(select max(to_number(i.premium_rcv_detail_code))+1
from ins_premium_det i),'12320','12320','02', '11000003','00','Request by Mr. Omair Ali 25-Sep-2024 allocation no 24Sep240082 ');</v>
      </c>
      <c r="H350" s="84" t="str">
        <f t="shared" si="22"/>
        <v>insert into ins_premium_det (premium_rcv_code,assorted_code, rec_amount,premium_rcv_detail_code,remaining_amt, payrec, mode_code,coinsurance_code,class_cd,it_remarks) values('24Sep240082','040000178674','12320',(select max(to_number(i.premium_rcv_detail_code))+1
from ins_premium_det i),'12320','12320','02', '11000003','00','Request by Mr. Omair Ali 25-Sep-2024 allocation no 24Sep240082 ');</v>
      </c>
    </row>
    <row r="351" spans="1:8" ht="105" x14ac:dyDescent="0.25">
      <c r="A351" t="s">
        <v>463</v>
      </c>
      <c r="B351" s="80" t="str">
        <f>VLOOKUP(A351,[1]Sheet1!$B:$C,2,0)</f>
        <v>040000178675</v>
      </c>
      <c r="C351" s="46">
        <v>17465</v>
      </c>
      <c r="D351" s="81">
        <f t="shared" si="23"/>
        <v>17465</v>
      </c>
      <c r="E351" s="79" t="s">
        <v>2492</v>
      </c>
      <c r="F351" s="82" t="str">
        <f t="shared" si="20"/>
        <v>insert into ins_premium_det (premium_rcv_code,assorted_code, rec_amount,premium_rcv_detail_code,remaining_amt, payrec, mode_code,coinsurance_code,class_cd,it_remarks) values</v>
      </c>
      <c r="G351" s="83" t="str">
        <f t="shared" si="21"/>
        <v>('24Sep240082','040000178675','17465',(select max(to_number(i.premium_rcv_detail_code))+1
from ins_premium_det i),'17465','17465','02', '11000003','00','Request by Mr. Omair Ali 25-Sep-2024 allocation no 24Sep240082 ');</v>
      </c>
      <c r="H351" s="84" t="str">
        <f t="shared" si="22"/>
        <v>insert into ins_premium_det (premium_rcv_code,assorted_code, rec_amount,premium_rcv_detail_code,remaining_amt, payrec, mode_code,coinsurance_code,class_cd,it_remarks) values('24Sep240082','040000178675','17465',(select max(to_number(i.premium_rcv_detail_code))+1
from ins_premium_det i),'17465','17465','02', '11000003','00','Request by Mr. Omair Ali 25-Sep-2024 allocation no 24Sep240082 ');</v>
      </c>
    </row>
    <row r="352" spans="1:8" ht="105" x14ac:dyDescent="0.25">
      <c r="A352" t="s">
        <v>464</v>
      </c>
      <c r="B352" s="80" t="str">
        <f>VLOOKUP(A352,[1]Sheet1!$B:$C,2,0)</f>
        <v>040000178676</v>
      </c>
      <c r="C352" s="46">
        <v>17465</v>
      </c>
      <c r="D352" s="81">
        <f t="shared" si="23"/>
        <v>17465</v>
      </c>
      <c r="E352" s="79" t="s">
        <v>2492</v>
      </c>
      <c r="F352" s="82" t="str">
        <f t="shared" si="20"/>
        <v>insert into ins_premium_det (premium_rcv_code,assorted_code, rec_amount,premium_rcv_detail_code,remaining_amt, payrec, mode_code,coinsurance_code,class_cd,it_remarks) values</v>
      </c>
      <c r="G352" s="83" t="str">
        <f t="shared" si="21"/>
        <v>('24Sep240082','040000178676','17465',(select max(to_number(i.premium_rcv_detail_code))+1
from ins_premium_det i),'17465','17465','02', '11000003','00','Request by Mr. Omair Ali 25-Sep-2024 allocation no 24Sep240082 ');</v>
      </c>
      <c r="H352" s="84" t="str">
        <f t="shared" si="22"/>
        <v>insert into ins_premium_det (premium_rcv_code,assorted_code, rec_amount,premium_rcv_detail_code,remaining_amt, payrec, mode_code,coinsurance_code,class_cd,it_remarks) values('24Sep240082','040000178676','17465',(select max(to_number(i.premium_rcv_detail_code))+1
from ins_premium_det i),'17465','17465','02', '11000003','00','Request by Mr. Omair Ali 25-Sep-2024 allocation no 24Sep240082 ');</v>
      </c>
    </row>
    <row r="353" spans="1:8" ht="105" x14ac:dyDescent="0.25">
      <c r="A353" t="s">
        <v>465</v>
      </c>
      <c r="B353" s="80" t="str">
        <f>VLOOKUP(A353,[1]Sheet1!$B:$C,2,0)</f>
        <v>040000178677</v>
      </c>
      <c r="C353" s="46">
        <v>12475</v>
      </c>
      <c r="D353" s="81">
        <f t="shared" si="23"/>
        <v>12475</v>
      </c>
      <c r="E353" s="79" t="s">
        <v>2492</v>
      </c>
      <c r="F353" s="82" t="str">
        <f t="shared" si="20"/>
        <v>insert into ins_premium_det (premium_rcv_code,assorted_code, rec_amount,premium_rcv_detail_code,remaining_amt, payrec, mode_code,coinsurance_code,class_cd,it_remarks) values</v>
      </c>
      <c r="G353" s="83" t="str">
        <f t="shared" si="21"/>
        <v>('24Sep240082','040000178677','12475',(select max(to_number(i.premium_rcv_detail_code))+1
from ins_premium_det i),'12475','12475','02', '11000003','00','Request by Mr. Omair Ali 25-Sep-2024 allocation no 24Sep240082 ');</v>
      </c>
      <c r="H353" s="84" t="str">
        <f t="shared" si="22"/>
        <v>insert into ins_premium_det (premium_rcv_code,assorted_code, rec_amount,premium_rcv_detail_code,remaining_amt, payrec, mode_code,coinsurance_code,class_cd,it_remarks) values('24Sep240082','040000178677','12475',(select max(to_number(i.premium_rcv_detail_code))+1
from ins_premium_det i),'12475','12475','02', '11000003','00','Request by Mr. Omair Ali 25-Sep-2024 allocation no 24Sep240082 ');</v>
      </c>
    </row>
    <row r="354" spans="1:8" ht="105" x14ac:dyDescent="0.25">
      <c r="A354" t="s">
        <v>466</v>
      </c>
      <c r="B354" s="80" t="str">
        <f>VLOOKUP(A354,[1]Sheet1!$B:$C,2,0)</f>
        <v>040000178678</v>
      </c>
      <c r="C354" s="46">
        <v>13370</v>
      </c>
      <c r="D354" s="81">
        <f t="shared" si="23"/>
        <v>13370</v>
      </c>
      <c r="E354" s="79" t="s">
        <v>2492</v>
      </c>
      <c r="F354" s="82" t="str">
        <f t="shared" si="20"/>
        <v>insert into ins_premium_det (premium_rcv_code,assorted_code, rec_amount,premium_rcv_detail_code,remaining_amt, payrec, mode_code,coinsurance_code,class_cd,it_remarks) values</v>
      </c>
      <c r="G354" s="83" t="str">
        <f t="shared" si="21"/>
        <v>('24Sep240082','040000178678','13370',(select max(to_number(i.premium_rcv_detail_code))+1
from ins_premium_det i),'13370','13370','02', '11000003','00','Request by Mr. Omair Ali 25-Sep-2024 allocation no 24Sep240082 ');</v>
      </c>
      <c r="H354" s="84" t="str">
        <f t="shared" si="22"/>
        <v>insert into ins_premium_det (premium_rcv_code,assorted_code, rec_amount,premium_rcv_detail_code,remaining_amt, payrec, mode_code,coinsurance_code,class_cd,it_remarks) values('24Sep240082','040000178678','13370',(select max(to_number(i.premium_rcv_detail_code))+1
from ins_premium_det i),'13370','13370','02', '11000003','00','Request by Mr. Omair Ali 25-Sep-2024 allocation no 24Sep240082 ');</v>
      </c>
    </row>
    <row r="355" spans="1:8" ht="105" x14ac:dyDescent="0.25">
      <c r="A355" t="s">
        <v>467</v>
      </c>
      <c r="B355" s="80" t="str">
        <f>VLOOKUP(A355,[1]Sheet1!$B:$C,2,0)</f>
        <v>040000178679</v>
      </c>
      <c r="C355" s="46">
        <v>13370</v>
      </c>
      <c r="D355" s="81">
        <f t="shared" si="23"/>
        <v>13370</v>
      </c>
      <c r="E355" s="79" t="s">
        <v>2492</v>
      </c>
      <c r="F355" s="82" t="str">
        <f t="shared" si="20"/>
        <v>insert into ins_premium_det (premium_rcv_code,assorted_code, rec_amount,premium_rcv_detail_code,remaining_amt, payrec, mode_code,coinsurance_code,class_cd,it_remarks) values</v>
      </c>
      <c r="G355" s="83" t="str">
        <f t="shared" si="21"/>
        <v>('24Sep240082','040000178679','13370',(select max(to_number(i.premium_rcv_detail_code))+1
from ins_premium_det i),'13370','13370','02', '11000003','00','Request by Mr. Omair Ali 25-Sep-2024 allocation no 24Sep240082 ');</v>
      </c>
      <c r="H355" s="84" t="str">
        <f t="shared" si="22"/>
        <v>insert into ins_premium_det (premium_rcv_code,assorted_code, rec_amount,premium_rcv_detail_code,remaining_amt, payrec, mode_code,coinsurance_code,class_cd,it_remarks) values('24Sep240082','040000178679','13370',(select max(to_number(i.premium_rcv_detail_code))+1
from ins_premium_det i),'13370','13370','02', '11000003','00','Request by Mr. Omair Ali 25-Sep-2024 allocation no 24Sep240082 ');</v>
      </c>
    </row>
    <row r="356" spans="1:8" ht="105" x14ac:dyDescent="0.25">
      <c r="A356" t="s">
        <v>468</v>
      </c>
      <c r="B356" s="80" t="str">
        <f>VLOOKUP(A356,[1]Sheet1!$B:$C,2,0)</f>
        <v>040000178681</v>
      </c>
      <c r="C356" s="46">
        <v>8800</v>
      </c>
      <c r="D356" s="81">
        <f t="shared" si="23"/>
        <v>8800</v>
      </c>
      <c r="E356" s="79" t="s">
        <v>2492</v>
      </c>
      <c r="F356" s="82" t="str">
        <f t="shared" si="20"/>
        <v>insert into ins_premium_det (premium_rcv_code,assorted_code, rec_amount,premium_rcv_detail_code,remaining_amt, payrec, mode_code,coinsurance_code,class_cd,it_remarks) values</v>
      </c>
      <c r="G356" s="83" t="str">
        <f t="shared" si="21"/>
        <v>('24Sep240082','040000178681','8800',(select max(to_number(i.premium_rcv_detail_code))+1
from ins_premium_det i),'8800','8800','02', '11000003','00','Request by Mr. Omair Ali 25-Sep-2024 allocation no 24Sep240082 ');</v>
      </c>
      <c r="H356" s="84" t="str">
        <f t="shared" si="22"/>
        <v>insert into ins_premium_det (premium_rcv_code,assorted_code, rec_amount,premium_rcv_detail_code,remaining_amt, payrec, mode_code,coinsurance_code,class_cd,it_remarks) values('24Sep240082','040000178681','8800',(select max(to_number(i.premium_rcv_detail_code))+1
from ins_premium_det i),'8800','8800','02', '11000003','00','Request by Mr. Omair Ali 25-Sep-2024 allocation no 24Sep240082 ');</v>
      </c>
    </row>
    <row r="357" spans="1:8" ht="105" x14ac:dyDescent="0.25">
      <c r="A357" t="s">
        <v>469</v>
      </c>
      <c r="B357" s="80" t="str">
        <f>VLOOKUP(A357,[1]Sheet1!$B:$C,2,0)</f>
        <v>040000178685</v>
      </c>
      <c r="C357" s="46">
        <v>12320</v>
      </c>
      <c r="D357" s="81">
        <f t="shared" si="23"/>
        <v>12320</v>
      </c>
      <c r="E357" s="79" t="s">
        <v>2492</v>
      </c>
      <c r="F357" s="82" t="str">
        <f t="shared" si="20"/>
        <v>insert into ins_premium_det (premium_rcv_code,assorted_code, rec_amount,premium_rcv_detail_code,remaining_amt, payrec, mode_code,coinsurance_code,class_cd,it_remarks) values</v>
      </c>
      <c r="G357" s="83" t="str">
        <f t="shared" si="21"/>
        <v>('24Sep240082','040000178685','12320',(select max(to_number(i.premium_rcv_detail_code))+1
from ins_premium_det i),'12320','12320','02', '11000003','00','Request by Mr. Omair Ali 25-Sep-2024 allocation no 24Sep240082 ');</v>
      </c>
      <c r="H357" s="84" t="str">
        <f t="shared" si="22"/>
        <v>insert into ins_premium_det (premium_rcv_code,assorted_code, rec_amount,premium_rcv_detail_code,remaining_amt, payrec, mode_code,coinsurance_code,class_cd,it_remarks) values('24Sep240082','040000178685','12320',(select max(to_number(i.premium_rcv_detail_code))+1
from ins_premium_det i),'12320','12320','02', '11000003','00','Request by Mr. Omair Ali 25-Sep-2024 allocation no 24Sep240082 ');</v>
      </c>
    </row>
    <row r="358" spans="1:8" ht="105" x14ac:dyDescent="0.25">
      <c r="A358" t="s">
        <v>470</v>
      </c>
      <c r="B358" s="80" t="str">
        <f>VLOOKUP(A358,[1]Sheet1!$B:$C,2,0)</f>
        <v>040000178686</v>
      </c>
      <c r="C358" s="46">
        <v>12320</v>
      </c>
      <c r="D358" s="81">
        <f t="shared" si="23"/>
        <v>12320</v>
      </c>
      <c r="E358" s="79" t="s">
        <v>2492</v>
      </c>
      <c r="F358" s="82" t="str">
        <f t="shared" si="20"/>
        <v>insert into ins_premium_det (premium_rcv_code,assorted_code, rec_amount,premium_rcv_detail_code,remaining_amt, payrec, mode_code,coinsurance_code,class_cd,it_remarks) values</v>
      </c>
      <c r="G358" s="83" t="str">
        <f t="shared" si="21"/>
        <v>('24Sep240082','040000178686','12320',(select max(to_number(i.premium_rcv_detail_code))+1
from ins_premium_det i),'12320','12320','02', '11000003','00','Request by Mr. Omair Ali 25-Sep-2024 allocation no 24Sep240082 ');</v>
      </c>
      <c r="H358" s="84" t="str">
        <f t="shared" si="22"/>
        <v>insert into ins_premium_det (premium_rcv_code,assorted_code, rec_amount,premium_rcv_detail_code,remaining_amt, payrec, mode_code,coinsurance_code,class_cd,it_remarks) values('24Sep240082','040000178686','12320',(select max(to_number(i.premium_rcv_detail_code))+1
from ins_premium_det i),'12320','12320','02', '11000003','00','Request by Mr. Omair Ali 25-Sep-2024 allocation no 24Sep240082 ');</v>
      </c>
    </row>
    <row r="359" spans="1:8" ht="105" x14ac:dyDescent="0.25">
      <c r="A359" t="s">
        <v>471</v>
      </c>
      <c r="B359" s="80" t="str">
        <f>VLOOKUP(A359,[1]Sheet1!$B:$C,2,0)</f>
        <v>040000178689</v>
      </c>
      <c r="C359" s="46">
        <v>12320</v>
      </c>
      <c r="D359" s="81">
        <f t="shared" si="23"/>
        <v>12320</v>
      </c>
      <c r="E359" s="79" t="s">
        <v>2492</v>
      </c>
      <c r="F359" s="82" t="str">
        <f t="shared" si="20"/>
        <v>insert into ins_premium_det (premium_rcv_code,assorted_code, rec_amount,premium_rcv_detail_code,remaining_amt, payrec, mode_code,coinsurance_code,class_cd,it_remarks) values</v>
      </c>
      <c r="G359" s="83" t="str">
        <f t="shared" si="21"/>
        <v>('24Sep240082','040000178689','12320',(select max(to_number(i.premium_rcv_detail_code))+1
from ins_premium_det i),'12320','12320','02', '11000003','00','Request by Mr. Omair Ali 25-Sep-2024 allocation no 24Sep240082 ');</v>
      </c>
      <c r="H359" s="84" t="str">
        <f t="shared" si="22"/>
        <v>insert into ins_premium_det (premium_rcv_code,assorted_code, rec_amount,premium_rcv_detail_code,remaining_amt, payrec, mode_code,coinsurance_code,class_cd,it_remarks) values('24Sep240082','040000178689','12320',(select max(to_number(i.premium_rcv_detail_code))+1
from ins_premium_det i),'12320','12320','02', '11000003','00','Request by Mr. Omair Ali 25-Sep-2024 allocation no 24Sep240082 ');</v>
      </c>
    </row>
    <row r="360" spans="1:8" ht="105" x14ac:dyDescent="0.25">
      <c r="A360" t="s">
        <v>472</v>
      </c>
      <c r="B360" s="80" t="str">
        <f>VLOOKUP(A360,[1]Sheet1!$B:$C,2,0)</f>
        <v>040000178690</v>
      </c>
      <c r="C360" s="46">
        <v>12320</v>
      </c>
      <c r="D360" s="81">
        <f t="shared" si="23"/>
        <v>12320</v>
      </c>
      <c r="E360" s="79" t="s">
        <v>2492</v>
      </c>
      <c r="F360" s="82" t="str">
        <f t="shared" si="20"/>
        <v>insert into ins_premium_det (premium_rcv_code,assorted_code, rec_amount,premium_rcv_detail_code,remaining_amt, payrec, mode_code,coinsurance_code,class_cd,it_remarks) values</v>
      </c>
      <c r="G360" s="83" t="str">
        <f t="shared" si="21"/>
        <v>('24Sep240082','040000178690','12320',(select max(to_number(i.premium_rcv_detail_code))+1
from ins_premium_det i),'12320','12320','02', '11000003','00','Request by Mr. Omair Ali 25-Sep-2024 allocation no 24Sep240082 ');</v>
      </c>
      <c r="H360" s="84" t="str">
        <f t="shared" si="22"/>
        <v>insert into ins_premium_det (premium_rcv_code,assorted_code, rec_amount,premium_rcv_detail_code,remaining_amt, payrec, mode_code,coinsurance_code,class_cd,it_remarks) values('24Sep240082','040000178690','12320',(select max(to_number(i.premium_rcv_detail_code))+1
from ins_premium_det i),'12320','12320','02', '11000003','00','Request by Mr. Omair Ali 25-Sep-2024 allocation no 24Sep240082 ');</v>
      </c>
    </row>
    <row r="361" spans="1:8" ht="105" x14ac:dyDescent="0.25">
      <c r="A361" t="s">
        <v>473</v>
      </c>
      <c r="B361" s="80" t="str">
        <f>VLOOKUP(A361,[1]Sheet1!$B:$C,2,0)</f>
        <v>040000178693</v>
      </c>
      <c r="C361" s="46">
        <v>13370</v>
      </c>
      <c r="D361" s="81">
        <f t="shared" si="23"/>
        <v>13370</v>
      </c>
      <c r="E361" s="79" t="s">
        <v>2492</v>
      </c>
      <c r="F361" s="82" t="str">
        <f t="shared" si="20"/>
        <v>insert into ins_premium_det (premium_rcv_code,assorted_code, rec_amount,premium_rcv_detail_code,remaining_amt, payrec, mode_code,coinsurance_code,class_cd,it_remarks) values</v>
      </c>
      <c r="G361" s="83" t="str">
        <f t="shared" si="21"/>
        <v>('24Sep240082','040000178693','13370',(select max(to_number(i.premium_rcv_detail_code))+1
from ins_premium_det i),'13370','13370','02', '11000003','00','Request by Mr. Omair Ali 25-Sep-2024 allocation no 24Sep240082 ');</v>
      </c>
      <c r="H361" s="84" t="str">
        <f t="shared" si="22"/>
        <v>insert into ins_premium_det (premium_rcv_code,assorted_code, rec_amount,premium_rcv_detail_code,remaining_amt, payrec, mode_code,coinsurance_code,class_cd,it_remarks) values('24Sep240082','040000178693','13370',(select max(to_number(i.premium_rcv_detail_code))+1
from ins_premium_det i),'13370','13370','02', '11000003','00','Request by Mr. Omair Ali 25-Sep-2024 allocation no 24Sep240082 ');</v>
      </c>
    </row>
    <row r="362" spans="1:8" ht="105" x14ac:dyDescent="0.25">
      <c r="A362" t="s">
        <v>474</v>
      </c>
      <c r="B362" s="80" t="str">
        <f>VLOOKUP(A362,[1]Sheet1!$B:$C,2,0)</f>
        <v>040000178694</v>
      </c>
      <c r="C362" s="46">
        <v>13370</v>
      </c>
      <c r="D362" s="81">
        <f t="shared" si="23"/>
        <v>13370</v>
      </c>
      <c r="E362" s="79" t="s">
        <v>2492</v>
      </c>
      <c r="F362" s="82" t="str">
        <f t="shared" si="20"/>
        <v>insert into ins_premium_det (premium_rcv_code,assorted_code, rec_amount,premium_rcv_detail_code,remaining_amt, payrec, mode_code,coinsurance_code,class_cd,it_remarks) values</v>
      </c>
      <c r="G362" s="83" t="str">
        <f t="shared" si="21"/>
        <v>('24Sep240082','040000178694','13370',(select max(to_number(i.premium_rcv_detail_code))+1
from ins_premium_det i),'13370','13370','02', '11000003','00','Request by Mr. Omair Ali 25-Sep-2024 allocation no 24Sep240082 ');</v>
      </c>
      <c r="H362" s="84" t="str">
        <f t="shared" si="22"/>
        <v>insert into ins_premium_det (premium_rcv_code,assorted_code, rec_amount,premium_rcv_detail_code,remaining_amt, payrec, mode_code,coinsurance_code,class_cd,it_remarks) values('24Sep240082','040000178694','13370',(select max(to_number(i.premium_rcv_detail_code))+1
from ins_premium_det i),'13370','13370','02', '11000003','00','Request by Mr. Omair Ali 25-Sep-2024 allocation no 24Sep240082 ');</v>
      </c>
    </row>
    <row r="363" spans="1:8" ht="105" x14ac:dyDescent="0.25">
      <c r="A363" t="s">
        <v>475</v>
      </c>
      <c r="B363" s="80" t="str">
        <f>VLOOKUP(A363,[1]Sheet1!$B:$C,2,0)</f>
        <v>040000178697</v>
      </c>
      <c r="C363" s="46">
        <v>13370</v>
      </c>
      <c r="D363" s="81">
        <f t="shared" si="23"/>
        <v>13370</v>
      </c>
      <c r="E363" s="79" t="s">
        <v>2492</v>
      </c>
      <c r="F363" s="82" t="str">
        <f t="shared" si="20"/>
        <v>insert into ins_premium_det (premium_rcv_code,assorted_code, rec_amount,premium_rcv_detail_code,remaining_amt, payrec, mode_code,coinsurance_code,class_cd,it_remarks) values</v>
      </c>
      <c r="G363" s="83" t="str">
        <f t="shared" si="21"/>
        <v>('24Sep240082','040000178697','13370',(select max(to_number(i.premium_rcv_detail_code))+1
from ins_premium_det i),'13370','13370','02', '11000003','00','Request by Mr. Omair Ali 25-Sep-2024 allocation no 24Sep240082 ');</v>
      </c>
      <c r="H363" s="84" t="str">
        <f t="shared" si="22"/>
        <v>insert into ins_premium_det (premium_rcv_code,assorted_code, rec_amount,premium_rcv_detail_code,remaining_amt, payrec, mode_code,coinsurance_code,class_cd,it_remarks) values('24Sep240082','040000178697','13370',(select max(to_number(i.premium_rcv_detail_code))+1
from ins_premium_det i),'13370','13370','02', '11000003','00','Request by Mr. Omair Ali 25-Sep-2024 allocation no 24Sep240082 ');</v>
      </c>
    </row>
    <row r="364" spans="1:8" ht="105" x14ac:dyDescent="0.25">
      <c r="A364" t="s">
        <v>476</v>
      </c>
      <c r="B364" s="80" t="str">
        <f>VLOOKUP(A364,[1]Sheet1!$B:$C,2,0)</f>
        <v>040000178698</v>
      </c>
      <c r="C364" s="46">
        <v>12320</v>
      </c>
      <c r="D364" s="81">
        <f t="shared" si="23"/>
        <v>12320</v>
      </c>
      <c r="E364" s="79" t="s">
        <v>2492</v>
      </c>
      <c r="F364" s="82" t="str">
        <f t="shared" si="20"/>
        <v>insert into ins_premium_det (premium_rcv_code,assorted_code, rec_amount,premium_rcv_detail_code,remaining_amt, payrec, mode_code,coinsurance_code,class_cd,it_remarks) values</v>
      </c>
      <c r="G364" s="83" t="str">
        <f t="shared" si="21"/>
        <v>('24Sep240082','040000178698','12320',(select max(to_number(i.premium_rcv_detail_code))+1
from ins_premium_det i),'12320','12320','02', '11000003','00','Request by Mr. Omair Ali 25-Sep-2024 allocation no 24Sep240082 ');</v>
      </c>
      <c r="H364" s="84" t="str">
        <f t="shared" si="22"/>
        <v>insert into ins_premium_det (premium_rcv_code,assorted_code, rec_amount,premium_rcv_detail_code,remaining_amt, payrec, mode_code,coinsurance_code,class_cd,it_remarks) values('24Sep240082','040000178698','12320',(select max(to_number(i.premium_rcv_detail_code))+1
from ins_premium_det i),'12320','12320','02', '11000003','00','Request by Mr. Omair Ali 25-Sep-2024 allocation no 24Sep240082 ');</v>
      </c>
    </row>
    <row r="365" spans="1:8" ht="105" x14ac:dyDescent="0.25">
      <c r="A365" t="s">
        <v>477</v>
      </c>
      <c r="B365" s="80" t="str">
        <f>VLOOKUP(A365,[1]Sheet1!$B:$C,2,0)</f>
        <v>040000178701</v>
      </c>
      <c r="C365" s="46">
        <v>8800</v>
      </c>
      <c r="D365" s="81">
        <f t="shared" si="23"/>
        <v>8800</v>
      </c>
      <c r="E365" s="79" t="s">
        <v>2492</v>
      </c>
      <c r="F365" s="82" t="str">
        <f t="shared" si="20"/>
        <v>insert into ins_premium_det (premium_rcv_code,assorted_code, rec_amount,premium_rcv_detail_code,remaining_amt, payrec, mode_code,coinsurance_code,class_cd,it_remarks) values</v>
      </c>
      <c r="G365" s="83" t="str">
        <f t="shared" si="21"/>
        <v>('24Sep240082','040000178701','8800',(select max(to_number(i.premium_rcv_detail_code))+1
from ins_premium_det i),'8800','8800','02', '11000003','00','Request by Mr. Omair Ali 25-Sep-2024 allocation no 24Sep240082 ');</v>
      </c>
      <c r="H365" s="84" t="str">
        <f t="shared" si="22"/>
        <v>insert into ins_premium_det (premium_rcv_code,assorted_code, rec_amount,premium_rcv_detail_code,remaining_amt, payrec, mode_code,coinsurance_code,class_cd,it_remarks) values('24Sep240082','040000178701','8800',(select max(to_number(i.premium_rcv_detail_code))+1
from ins_premium_det i),'8800','8800','02', '11000003','00','Request by Mr. Omair Ali 25-Sep-2024 allocation no 24Sep240082 ');</v>
      </c>
    </row>
    <row r="366" spans="1:8" ht="105" x14ac:dyDescent="0.25">
      <c r="A366" t="s">
        <v>478</v>
      </c>
      <c r="B366" s="80" t="str">
        <f>VLOOKUP(A366,[1]Sheet1!$B:$C,2,0)</f>
        <v>040000178707</v>
      </c>
      <c r="C366" s="46">
        <v>9550</v>
      </c>
      <c r="D366" s="81">
        <f t="shared" si="23"/>
        <v>9550</v>
      </c>
      <c r="E366" s="79" t="s">
        <v>2492</v>
      </c>
      <c r="F366" s="82" t="str">
        <f t="shared" si="20"/>
        <v>insert into ins_premium_det (premium_rcv_code,assorted_code, rec_amount,premium_rcv_detail_code,remaining_amt, payrec, mode_code,coinsurance_code,class_cd,it_remarks) values</v>
      </c>
      <c r="G366" s="83" t="str">
        <f t="shared" si="21"/>
        <v>('24Sep240082','040000178707','9550',(select max(to_number(i.premium_rcv_detail_code))+1
from ins_premium_det i),'9550','9550','02', '11000003','00','Request by Mr. Omair Ali 25-Sep-2024 allocation no 24Sep240082 ');</v>
      </c>
      <c r="H366" s="84" t="str">
        <f t="shared" si="22"/>
        <v>insert into ins_premium_det (premium_rcv_code,assorted_code, rec_amount,premium_rcv_detail_code,remaining_amt, payrec, mode_code,coinsurance_code,class_cd,it_remarks) values('24Sep240082','040000178707','9550',(select max(to_number(i.premium_rcv_detail_code))+1
from ins_premium_det i),'9550','9550','02', '11000003','00','Request by Mr. Omair Ali 25-Sep-2024 allocation no 24Sep240082 ');</v>
      </c>
    </row>
    <row r="367" spans="1:8" ht="105" x14ac:dyDescent="0.25">
      <c r="A367" t="s">
        <v>479</v>
      </c>
      <c r="B367" s="80" t="str">
        <f>VLOOKUP(A367,[1]Sheet1!$B:$C,2,0)</f>
        <v>040000178709</v>
      </c>
      <c r="C367" s="46">
        <v>13370</v>
      </c>
      <c r="D367" s="81">
        <f t="shared" si="23"/>
        <v>13370</v>
      </c>
      <c r="E367" s="79" t="s">
        <v>2492</v>
      </c>
      <c r="F367" s="82" t="str">
        <f t="shared" si="20"/>
        <v>insert into ins_premium_det (premium_rcv_code,assorted_code, rec_amount,premium_rcv_detail_code,remaining_amt, payrec, mode_code,coinsurance_code,class_cd,it_remarks) values</v>
      </c>
      <c r="G367" s="83" t="str">
        <f t="shared" si="21"/>
        <v>('24Sep240082','040000178709','13370',(select max(to_number(i.premium_rcv_detail_code))+1
from ins_premium_det i),'13370','13370','02', '11000003','00','Request by Mr. Omair Ali 25-Sep-2024 allocation no 24Sep240082 ');</v>
      </c>
      <c r="H367" s="84" t="str">
        <f t="shared" si="22"/>
        <v>insert into ins_premium_det (premium_rcv_code,assorted_code, rec_amount,premium_rcv_detail_code,remaining_amt, payrec, mode_code,coinsurance_code,class_cd,it_remarks) values('24Sep240082','040000178709','13370',(select max(to_number(i.premium_rcv_detail_code))+1
from ins_premium_det i),'13370','13370','02', '11000003','00','Request by Mr. Omair Ali 25-Sep-2024 allocation no 24Sep240082 ');</v>
      </c>
    </row>
    <row r="368" spans="1:8" ht="105" x14ac:dyDescent="0.25">
      <c r="A368" t="s">
        <v>480</v>
      </c>
      <c r="B368" s="80" t="str">
        <f>VLOOKUP(A368,[1]Sheet1!$B:$C,2,0)</f>
        <v>040000178710</v>
      </c>
      <c r="C368" s="46">
        <v>13370</v>
      </c>
      <c r="D368" s="81">
        <f t="shared" si="23"/>
        <v>13370</v>
      </c>
      <c r="E368" s="79" t="s">
        <v>2492</v>
      </c>
      <c r="F368" s="82" t="str">
        <f t="shared" si="20"/>
        <v>insert into ins_premium_det (premium_rcv_code,assorted_code, rec_amount,premium_rcv_detail_code,remaining_amt, payrec, mode_code,coinsurance_code,class_cd,it_remarks) values</v>
      </c>
      <c r="G368" s="83" t="str">
        <f t="shared" si="21"/>
        <v>('24Sep240082','040000178710','13370',(select max(to_number(i.premium_rcv_detail_code))+1
from ins_premium_det i),'13370','13370','02', '11000003','00','Request by Mr. Omair Ali 25-Sep-2024 allocation no 24Sep240082 ');</v>
      </c>
      <c r="H368" s="84" t="str">
        <f t="shared" si="22"/>
        <v>insert into ins_premium_det (premium_rcv_code,assorted_code, rec_amount,premium_rcv_detail_code,remaining_amt, payrec, mode_code,coinsurance_code,class_cd,it_remarks) values('24Sep240082','040000178710','13370',(select max(to_number(i.premium_rcv_detail_code))+1
from ins_premium_det i),'13370','13370','02', '11000003','00','Request by Mr. Omair Ali 25-Sep-2024 allocation no 24Sep240082 ');</v>
      </c>
    </row>
    <row r="369" spans="1:8" ht="105" x14ac:dyDescent="0.25">
      <c r="A369" t="s">
        <v>481</v>
      </c>
      <c r="B369" s="80" t="str">
        <f>VLOOKUP(A369,[1]Sheet1!$B:$C,2,0)</f>
        <v>040000178711</v>
      </c>
      <c r="C369" s="46">
        <v>8800</v>
      </c>
      <c r="D369" s="81">
        <f t="shared" si="23"/>
        <v>8800</v>
      </c>
      <c r="E369" s="79" t="s">
        <v>2492</v>
      </c>
      <c r="F369" s="82" t="str">
        <f t="shared" si="20"/>
        <v>insert into ins_premium_det (premium_rcv_code,assorted_code, rec_amount,premium_rcv_detail_code,remaining_amt, payrec, mode_code,coinsurance_code,class_cd,it_remarks) values</v>
      </c>
      <c r="G369" s="83" t="str">
        <f t="shared" si="21"/>
        <v>('24Sep240082','040000178711','8800',(select max(to_number(i.premium_rcv_detail_code))+1
from ins_premium_det i),'8800','8800','02', '11000003','00','Request by Mr. Omair Ali 25-Sep-2024 allocation no 24Sep240082 ');</v>
      </c>
      <c r="H369" s="84" t="str">
        <f t="shared" si="22"/>
        <v>insert into ins_premium_det (premium_rcv_code,assorted_code, rec_amount,premium_rcv_detail_code,remaining_amt, payrec, mode_code,coinsurance_code,class_cd,it_remarks) values('24Sep240082','040000178711','8800',(select max(to_number(i.premium_rcv_detail_code))+1
from ins_premium_det i),'8800','8800','02', '11000003','00','Request by Mr. Omair Ali 25-Sep-2024 allocation no 24Sep240082 ');</v>
      </c>
    </row>
    <row r="370" spans="1:8" ht="105" x14ac:dyDescent="0.25">
      <c r="A370" t="s">
        <v>482</v>
      </c>
      <c r="B370" s="80" t="str">
        <f>VLOOKUP(A370,[1]Sheet1!$B:$C,2,0)</f>
        <v>040000178714</v>
      </c>
      <c r="C370" s="46">
        <v>9550</v>
      </c>
      <c r="D370" s="81">
        <f t="shared" si="23"/>
        <v>9550</v>
      </c>
      <c r="E370" s="79" t="s">
        <v>2492</v>
      </c>
      <c r="F370" s="82" t="str">
        <f t="shared" si="20"/>
        <v>insert into ins_premium_det (premium_rcv_code,assorted_code, rec_amount,premium_rcv_detail_code,remaining_amt, payrec, mode_code,coinsurance_code,class_cd,it_remarks) values</v>
      </c>
      <c r="G370" s="83" t="str">
        <f t="shared" si="21"/>
        <v>('24Sep240082','040000178714','9550',(select max(to_number(i.premium_rcv_detail_code))+1
from ins_premium_det i),'9550','9550','02', '11000003','00','Request by Mr. Omair Ali 25-Sep-2024 allocation no 24Sep240082 ');</v>
      </c>
      <c r="H370" s="84" t="str">
        <f t="shared" si="22"/>
        <v>insert into ins_premium_det (premium_rcv_code,assorted_code, rec_amount,premium_rcv_detail_code,remaining_amt, payrec, mode_code,coinsurance_code,class_cd,it_remarks) values('24Sep240082','040000178714','9550',(select max(to_number(i.premium_rcv_detail_code))+1
from ins_premium_det i),'9550','9550','02', '11000003','00','Request by Mr. Omair Ali 25-Sep-2024 allocation no 24Sep240082 ');</v>
      </c>
    </row>
    <row r="371" spans="1:8" ht="105" x14ac:dyDescent="0.25">
      <c r="A371" t="s">
        <v>483</v>
      </c>
      <c r="B371" s="80" t="str">
        <f>VLOOKUP(A371,[1]Sheet1!$B:$C,2,0)</f>
        <v>040000178716</v>
      </c>
      <c r="C371" s="46">
        <v>9550</v>
      </c>
      <c r="D371" s="81">
        <f t="shared" si="23"/>
        <v>9550</v>
      </c>
      <c r="E371" s="79" t="s">
        <v>2492</v>
      </c>
      <c r="F371" s="82" t="str">
        <f t="shared" si="20"/>
        <v>insert into ins_premium_det (premium_rcv_code,assorted_code, rec_amount,premium_rcv_detail_code,remaining_amt, payrec, mode_code,coinsurance_code,class_cd,it_remarks) values</v>
      </c>
      <c r="G371" s="83" t="str">
        <f t="shared" si="21"/>
        <v>('24Sep240082','040000178716','9550',(select max(to_number(i.premium_rcv_detail_code))+1
from ins_premium_det i),'9550','9550','02', '11000003','00','Request by Mr. Omair Ali 25-Sep-2024 allocation no 24Sep240082 ');</v>
      </c>
      <c r="H371" s="84" t="str">
        <f t="shared" si="22"/>
        <v>insert into ins_premium_det (premium_rcv_code,assorted_code, rec_amount,premium_rcv_detail_code,remaining_amt, payrec, mode_code,coinsurance_code,class_cd,it_remarks) values('24Sep240082','040000178716','9550',(select max(to_number(i.premium_rcv_detail_code))+1
from ins_premium_det i),'9550','9550','02', '11000003','00','Request by Mr. Omair Ali 25-Sep-2024 allocation no 24Sep240082 ');</v>
      </c>
    </row>
    <row r="372" spans="1:8" ht="105" x14ac:dyDescent="0.25">
      <c r="A372" t="s">
        <v>484</v>
      </c>
      <c r="B372" s="80" t="str">
        <f>VLOOKUP(A372,[1]Sheet1!$B:$C,2,0)</f>
        <v>040000178717</v>
      </c>
      <c r="C372" s="46">
        <v>19145</v>
      </c>
      <c r="D372" s="81">
        <f t="shared" si="23"/>
        <v>19145</v>
      </c>
      <c r="E372" s="79" t="s">
        <v>2492</v>
      </c>
      <c r="F372" s="82" t="str">
        <f t="shared" si="20"/>
        <v>insert into ins_premium_det (premium_rcv_code,assorted_code, rec_amount,premium_rcv_detail_code,remaining_amt, payrec, mode_code,coinsurance_code,class_cd,it_remarks) values</v>
      </c>
      <c r="G372" s="83" t="str">
        <f t="shared" si="21"/>
        <v>('24Sep240082','040000178717','19145',(select max(to_number(i.premium_rcv_detail_code))+1
from ins_premium_det i),'19145','19145','02', '11000003','00','Request by Mr. Omair Ali 25-Sep-2024 allocation no 24Sep240082 ');</v>
      </c>
      <c r="H372" s="84" t="str">
        <f t="shared" si="22"/>
        <v>insert into ins_premium_det (premium_rcv_code,assorted_code, rec_amount,premium_rcv_detail_code,remaining_amt, payrec, mode_code,coinsurance_code,class_cd,it_remarks) values('24Sep240082','040000178717','19145',(select max(to_number(i.premium_rcv_detail_code))+1
from ins_premium_det i),'19145','19145','02', '11000003','00','Request by Mr. Omair Ali 25-Sep-2024 allocation no 24Sep240082 ');</v>
      </c>
    </row>
    <row r="373" spans="1:8" ht="105" x14ac:dyDescent="0.25">
      <c r="A373" t="s">
        <v>485</v>
      </c>
      <c r="B373" s="80" t="str">
        <f>VLOOKUP(A373,[1]Sheet1!$B:$C,2,0)</f>
        <v>040000178718</v>
      </c>
      <c r="C373" s="46">
        <v>19145</v>
      </c>
      <c r="D373" s="81">
        <f t="shared" si="23"/>
        <v>19145</v>
      </c>
      <c r="E373" s="79" t="s">
        <v>2492</v>
      </c>
      <c r="F373" s="82" t="str">
        <f t="shared" si="20"/>
        <v>insert into ins_premium_det (premium_rcv_code,assorted_code, rec_amount,premium_rcv_detail_code,remaining_amt, payrec, mode_code,coinsurance_code,class_cd,it_remarks) values</v>
      </c>
      <c r="G373" s="83" t="str">
        <f t="shared" si="21"/>
        <v>('24Sep240082','040000178718','19145',(select max(to_number(i.premium_rcv_detail_code))+1
from ins_premium_det i),'19145','19145','02', '11000003','00','Request by Mr. Omair Ali 25-Sep-2024 allocation no 24Sep240082 ');</v>
      </c>
      <c r="H373" s="84" t="str">
        <f t="shared" si="22"/>
        <v>insert into ins_premium_det (premium_rcv_code,assorted_code, rec_amount,premium_rcv_detail_code,remaining_amt, payrec, mode_code,coinsurance_code,class_cd,it_remarks) values('24Sep240082','040000178718','19145',(select max(to_number(i.premium_rcv_detail_code))+1
from ins_premium_det i),'19145','19145','02', '11000003','00','Request by Mr. Omair Ali 25-Sep-2024 allocation no 24Sep240082 ');</v>
      </c>
    </row>
    <row r="374" spans="1:8" ht="105" x14ac:dyDescent="0.25">
      <c r="A374" t="s">
        <v>486</v>
      </c>
      <c r="B374" s="80" t="str">
        <f>VLOOKUP(A374,[1]Sheet1!$B:$C,2,0)</f>
        <v>040000178723</v>
      </c>
      <c r="C374" s="46">
        <v>13370</v>
      </c>
      <c r="D374" s="81">
        <f t="shared" si="23"/>
        <v>13370</v>
      </c>
      <c r="E374" s="79" t="s">
        <v>2492</v>
      </c>
      <c r="F374" s="82" t="str">
        <f t="shared" si="20"/>
        <v>insert into ins_premium_det (premium_rcv_code,assorted_code, rec_amount,premium_rcv_detail_code,remaining_amt, payrec, mode_code,coinsurance_code,class_cd,it_remarks) values</v>
      </c>
      <c r="G374" s="83" t="str">
        <f t="shared" si="21"/>
        <v>('24Sep240082','040000178723','13370',(select max(to_number(i.premium_rcv_detail_code))+1
from ins_premium_det i),'13370','13370','02', '11000003','00','Request by Mr. Omair Ali 25-Sep-2024 allocation no 24Sep240082 ');</v>
      </c>
      <c r="H374" s="84" t="str">
        <f t="shared" si="22"/>
        <v>insert into ins_premium_det (premium_rcv_code,assorted_code, rec_amount,premium_rcv_detail_code,remaining_amt, payrec, mode_code,coinsurance_code,class_cd,it_remarks) values('24Sep240082','040000178723','13370',(select max(to_number(i.premium_rcv_detail_code))+1
from ins_premium_det i),'13370','13370','02', '11000003','00','Request by Mr. Omair Ali 25-Sep-2024 allocation no 24Sep240082 ');</v>
      </c>
    </row>
    <row r="375" spans="1:8" ht="105" x14ac:dyDescent="0.25">
      <c r="A375" t="s">
        <v>487</v>
      </c>
      <c r="B375" s="80" t="str">
        <f>VLOOKUP(A375,[1]Sheet1!$B:$C,2,0)</f>
        <v>040000178724</v>
      </c>
      <c r="C375" s="46">
        <v>8800</v>
      </c>
      <c r="D375" s="81">
        <f t="shared" si="23"/>
        <v>8800</v>
      </c>
      <c r="E375" s="79" t="s">
        <v>2492</v>
      </c>
      <c r="F375" s="82" t="str">
        <f t="shared" si="20"/>
        <v>insert into ins_premium_det (premium_rcv_code,assorted_code, rec_amount,premium_rcv_detail_code,remaining_amt, payrec, mode_code,coinsurance_code,class_cd,it_remarks) values</v>
      </c>
      <c r="G375" s="83" t="str">
        <f t="shared" si="21"/>
        <v>('24Sep240082','040000178724','8800',(select max(to_number(i.premium_rcv_detail_code))+1
from ins_premium_det i),'8800','8800','02', '11000003','00','Request by Mr. Omair Ali 25-Sep-2024 allocation no 24Sep240082 ');</v>
      </c>
      <c r="H375" s="84" t="str">
        <f t="shared" si="22"/>
        <v>insert into ins_premium_det (premium_rcv_code,assorted_code, rec_amount,premium_rcv_detail_code,remaining_amt, payrec, mode_code,coinsurance_code,class_cd,it_remarks) values('24Sep240082','040000178724','8800',(select max(to_number(i.premium_rcv_detail_code))+1
from ins_premium_det i),'8800','8800','02', '11000003','00','Request by Mr. Omair Ali 25-Sep-2024 allocation no 24Sep240082 ');</v>
      </c>
    </row>
    <row r="376" spans="1:8" ht="105" x14ac:dyDescent="0.25">
      <c r="A376" t="s">
        <v>488</v>
      </c>
      <c r="B376" s="80" t="str">
        <f>VLOOKUP(A376,[1]Sheet1!$B:$C,2,0)</f>
        <v>040000178726</v>
      </c>
      <c r="C376" s="46">
        <v>8800</v>
      </c>
      <c r="D376" s="81">
        <f t="shared" si="23"/>
        <v>8800</v>
      </c>
      <c r="E376" s="79" t="s">
        <v>2492</v>
      </c>
      <c r="F376" s="82" t="str">
        <f t="shared" si="20"/>
        <v>insert into ins_premium_det (premium_rcv_code,assorted_code, rec_amount,premium_rcv_detail_code,remaining_amt, payrec, mode_code,coinsurance_code,class_cd,it_remarks) values</v>
      </c>
      <c r="G376" s="83" t="str">
        <f t="shared" si="21"/>
        <v>('24Sep240082','040000178726','8800',(select max(to_number(i.premium_rcv_detail_code))+1
from ins_premium_det i),'8800','8800','02', '11000003','00','Request by Mr. Omair Ali 25-Sep-2024 allocation no 24Sep240082 ');</v>
      </c>
      <c r="H376" s="84" t="str">
        <f t="shared" si="22"/>
        <v>insert into ins_premium_det (premium_rcv_code,assorted_code, rec_amount,premium_rcv_detail_code,remaining_amt, payrec, mode_code,coinsurance_code,class_cd,it_remarks) values('24Sep240082','040000178726','8800',(select max(to_number(i.premium_rcv_detail_code))+1
from ins_premium_det i),'8800','8800','02', '11000003','00','Request by Mr. Omair Ali 25-Sep-2024 allocation no 24Sep240082 ');</v>
      </c>
    </row>
    <row r="377" spans="1:8" ht="105" x14ac:dyDescent="0.25">
      <c r="A377" t="s">
        <v>489</v>
      </c>
      <c r="B377" s="80" t="str">
        <f>VLOOKUP(A377,[1]Sheet1!$B:$C,2,0)</f>
        <v>040000178728</v>
      </c>
      <c r="C377" s="46">
        <v>19145</v>
      </c>
      <c r="D377" s="81">
        <f t="shared" si="23"/>
        <v>19145</v>
      </c>
      <c r="E377" s="79" t="s">
        <v>2492</v>
      </c>
      <c r="F377" s="82" t="str">
        <f t="shared" si="20"/>
        <v>insert into ins_premium_det (premium_rcv_code,assorted_code, rec_amount,premium_rcv_detail_code,remaining_amt, payrec, mode_code,coinsurance_code,class_cd,it_remarks) values</v>
      </c>
      <c r="G377" s="83" t="str">
        <f t="shared" si="21"/>
        <v>('24Sep240082','040000178728','19145',(select max(to_number(i.premium_rcv_detail_code))+1
from ins_premium_det i),'19145','19145','02', '11000003','00','Request by Mr. Omair Ali 25-Sep-2024 allocation no 24Sep240082 ');</v>
      </c>
      <c r="H377" s="84" t="str">
        <f t="shared" si="22"/>
        <v>insert into ins_premium_det (premium_rcv_code,assorted_code, rec_amount,premium_rcv_detail_code,remaining_amt, payrec, mode_code,coinsurance_code,class_cd,it_remarks) values('24Sep240082','040000178728','19145',(select max(to_number(i.premium_rcv_detail_code))+1
from ins_premium_det i),'19145','19145','02', '11000003','00','Request by Mr. Omair Ali 25-Sep-2024 allocation no 24Sep240082 ');</v>
      </c>
    </row>
    <row r="378" spans="1:8" ht="105" x14ac:dyDescent="0.25">
      <c r="A378" t="s">
        <v>490</v>
      </c>
      <c r="B378" s="80" t="str">
        <f>VLOOKUP(A378,[1]Sheet1!$B:$C,2,0)</f>
        <v>040000178729</v>
      </c>
      <c r="C378" s="46">
        <v>8800</v>
      </c>
      <c r="D378" s="81">
        <f t="shared" si="23"/>
        <v>8800</v>
      </c>
      <c r="E378" s="79" t="s">
        <v>2492</v>
      </c>
      <c r="F378" s="82" t="str">
        <f t="shared" si="20"/>
        <v>insert into ins_premium_det (premium_rcv_code,assorted_code, rec_amount,premium_rcv_detail_code,remaining_amt, payrec, mode_code,coinsurance_code,class_cd,it_remarks) values</v>
      </c>
      <c r="G378" s="83" t="str">
        <f t="shared" si="21"/>
        <v>('24Sep240082','040000178729','8800',(select max(to_number(i.premium_rcv_detail_code))+1
from ins_premium_det i),'8800','8800','02', '11000003','00','Request by Mr. Omair Ali 25-Sep-2024 allocation no 24Sep240082 ');</v>
      </c>
      <c r="H378" s="84" t="str">
        <f t="shared" si="22"/>
        <v>insert into ins_premium_det (premium_rcv_code,assorted_code, rec_amount,premium_rcv_detail_code,remaining_amt, payrec, mode_code,coinsurance_code,class_cd,it_remarks) values('24Sep240082','040000178729','8800',(select max(to_number(i.premium_rcv_detail_code))+1
from ins_premium_det i),'8800','8800','02', '11000003','00','Request by Mr. Omair Ali 25-Sep-2024 allocation no 24Sep240082 ');</v>
      </c>
    </row>
    <row r="379" spans="1:8" ht="105" x14ac:dyDescent="0.25">
      <c r="A379" t="s">
        <v>491</v>
      </c>
      <c r="B379" s="80" t="str">
        <f>VLOOKUP(A379,[1]Sheet1!$B:$C,2,0)</f>
        <v>040000178730</v>
      </c>
      <c r="C379" s="46">
        <v>9550</v>
      </c>
      <c r="D379" s="81">
        <f t="shared" si="23"/>
        <v>9550</v>
      </c>
      <c r="E379" s="79" t="s">
        <v>2492</v>
      </c>
      <c r="F379" s="82" t="str">
        <f t="shared" si="20"/>
        <v>insert into ins_premium_det (premium_rcv_code,assorted_code, rec_amount,premium_rcv_detail_code,remaining_amt, payrec, mode_code,coinsurance_code,class_cd,it_remarks) values</v>
      </c>
      <c r="G379" s="83" t="str">
        <f t="shared" si="21"/>
        <v>('24Sep240082','040000178730','9550',(select max(to_number(i.premium_rcv_detail_code))+1
from ins_premium_det i),'9550','9550','02', '11000003','00','Request by Mr. Omair Ali 25-Sep-2024 allocation no 24Sep240082 ');</v>
      </c>
      <c r="H379" s="84" t="str">
        <f t="shared" si="22"/>
        <v>insert into ins_premium_det (premium_rcv_code,assorted_code, rec_amount,premium_rcv_detail_code,remaining_amt, payrec, mode_code,coinsurance_code,class_cd,it_remarks) values('24Sep240082','040000178730','9550',(select max(to_number(i.premium_rcv_detail_code))+1
from ins_premium_det i),'9550','9550','02', '11000003','00','Request by Mr. Omair Ali 25-Sep-2024 allocation no 24Sep240082 ');</v>
      </c>
    </row>
    <row r="380" spans="1:8" ht="105" x14ac:dyDescent="0.25">
      <c r="A380" t="s">
        <v>492</v>
      </c>
      <c r="B380" s="80" t="str">
        <f>VLOOKUP(A380,[1]Sheet1!$B:$C,2,0)</f>
        <v>040000178731</v>
      </c>
      <c r="C380" s="46">
        <v>12475</v>
      </c>
      <c r="D380" s="81">
        <f t="shared" si="23"/>
        <v>12475</v>
      </c>
      <c r="E380" s="79" t="s">
        <v>2492</v>
      </c>
      <c r="F380" s="82" t="str">
        <f t="shared" si="20"/>
        <v>insert into ins_premium_det (premium_rcv_code,assorted_code, rec_amount,premium_rcv_detail_code,remaining_amt, payrec, mode_code,coinsurance_code,class_cd,it_remarks) values</v>
      </c>
      <c r="G380" s="83" t="str">
        <f t="shared" si="21"/>
        <v>('24Sep240082','040000178731','12475',(select max(to_number(i.premium_rcv_detail_code))+1
from ins_premium_det i),'12475','12475','02', '11000003','00','Request by Mr. Omair Ali 25-Sep-2024 allocation no 24Sep240082 ');</v>
      </c>
      <c r="H380" s="84" t="str">
        <f t="shared" si="22"/>
        <v>insert into ins_premium_det (premium_rcv_code,assorted_code, rec_amount,premium_rcv_detail_code,remaining_amt, payrec, mode_code,coinsurance_code,class_cd,it_remarks) values('24Sep240082','040000178731','12475',(select max(to_number(i.premium_rcv_detail_code))+1
from ins_premium_det i),'12475','12475','02', '11000003','00','Request by Mr. Omair Ali 25-Sep-2024 allocation no 24Sep240082 ');</v>
      </c>
    </row>
    <row r="381" spans="1:8" ht="105" x14ac:dyDescent="0.25">
      <c r="A381" t="s">
        <v>493</v>
      </c>
      <c r="B381" s="80" t="str">
        <f>VLOOKUP(A381,[1]Sheet1!$B:$C,2,0)</f>
        <v>040000178732</v>
      </c>
      <c r="C381" s="46">
        <v>9550</v>
      </c>
      <c r="D381" s="81">
        <f t="shared" si="23"/>
        <v>9550</v>
      </c>
      <c r="E381" s="79" t="s">
        <v>2492</v>
      </c>
      <c r="F381" s="82" t="str">
        <f t="shared" si="20"/>
        <v>insert into ins_premium_det (premium_rcv_code,assorted_code, rec_amount,premium_rcv_detail_code,remaining_amt, payrec, mode_code,coinsurance_code,class_cd,it_remarks) values</v>
      </c>
      <c r="G381" s="83" t="str">
        <f t="shared" si="21"/>
        <v>('24Sep240082','040000178732','9550',(select max(to_number(i.premium_rcv_detail_code))+1
from ins_premium_det i),'9550','9550','02', '11000003','00','Request by Mr. Omair Ali 25-Sep-2024 allocation no 24Sep240082 ');</v>
      </c>
      <c r="H381" s="84" t="str">
        <f t="shared" si="22"/>
        <v>insert into ins_premium_det (premium_rcv_code,assorted_code, rec_amount,premium_rcv_detail_code,remaining_amt, payrec, mode_code,coinsurance_code,class_cd,it_remarks) values('24Sep240082','040000178732','9550',(select max(to_number(i.premium_rcv_detail_code))+1
from ins_premium_det i),'9550','9550','02', '11000003','00','Request by Mr. Omair Ali 25-Sep-2024 allocation no 24Sep240082 ');</v>
      </c>
    </row>
    <row r="382" spans="1:8" ht="105" x14ac:dyDescent="0.25">
      <c r="A382" t="s">
        <v>494</v>
      </c>
      <c r="B382" s="80" t="str">
        <f>VLOOKUP(A382,[1]Sheet1!$B:$C,2,0)</f>
        <v>040000178733</v>
      </c>
      <c r="C382" s="46">
        <v>8800</v>
      </c>
      <c r="D382" s="81">
        <f t="shared" si="23"/>
        <v>8800</v>
      </c>
      <c r="E382" s="79" t="s">
        <v>2492</v>
      </c>
      <c r="F382" s="82" t="str">
        <f t="shared" si="20"/>
        <v>insert into ins_premium_det (premium_rcv_code,assorted_code, rec_amount,premium_rcv_detail_code,remaining_amt, payrec, mode_code,coinsurance_code,class_cd,it_remarks) values</v>
      </c>
      <c r="G382" s="83" t="str">
        <f t="shared" si="21"/>
        <v>('24Sep240082','040000178733','8800',(select max(to_number(i.premium_rcv_detail_code))+1
from ins_premium_det i),'8800','8800','02', '11000003','00','Request by Mr. Omair Ali 25-Sep-2024 allocation no 24Sep240082 ');</v>
      </c>
      <c r="H382" s="84" t="str">
        <f t="shared" si="22"/>
        <v>insert into ins_premium_det (premium_rcv_code,assorted_code, rec_amount,premium_rcv_detail_code,remaining_amt, payrec, mode_code,coinsurance_code,class_cd,it_remarks) values('24Sep240082','040000178733','8800',(select max(to_number(i.premium_rcv_detail_code))+1
from ins_premium_det i),'8800','8800','02', '11000003','00','Request by Mr. Omair Ali 25-Sep-2024 allocation no 24Sep240082 ');</v>
      </c>
    </row>
    <row r="383" spans="1:8" ht="105" x14ac:dyDescent="0.25">
      <c r="A383" t="s">
        <v>495</v>
      </c>
      <c r="B383" s="80" t="str">
        <f>VLOOKUP(A383,[1]Sheet1!$B:$C,2,0)</f>
        <v>040000178735</v>
      </c>
      <c r="C383" s="46">
        <v>9550</v>
      </c>
      <c r="D383" s="81">
        <f t="shared" si="23"/>
        <v>9550</v>
      </c>
      <c r="E383" s="79" t="s">
        <v>2492</v>
      </c>
      <c r="F383" s="82" t="str">
        <f t="shared" si="20"/>
        <v>insert into ins_premium_det (premium_rcv_code,assorted_code, rec_amount,premium_rcv_detail_code,remaining_amt, payrec, mode_code,coinsurance_code,class_cd,it_remarks) values</v>
      </c>
      <c r="G383" s="83" t="str">
        <f t="shared" si="21"/>
        <v>('24Sep240082','040000178735','9550',(select max(to_number(i.premium_rcv_detail_code))+1
from ins_premium_det i),'9550','9550','02', '11000003','00','Request by Mr. Omair Ali 25-Sep-2024 allocation no 24Sep240082 ');</v>
      </c>
      <c r="H383" s="84" t="str">
        <f t="shared" si="22"/>
        <v>insert into ins_premium_det (premium_rcv_code,assorted_code, rec_amount,premium_rcv_detail_code,remaining_amt, payrec, mode_code,coinsurance_code,class_cd,it_remarks) values('24Sep240082','040000178735','9550',(select max(to_number(i.premium_rcv_detail_code))+1
from ins_premium_det i),'9550','9550','02', '11000003','00','Request by Mr. Omair Ali 25-Sep-2024 allocation no 24Sep240082 ');</v>
      </c>
    </row>
    <row r="384" spans="1:8" ht="105" x14ac:dyDescent="0.25">
      <c r="A384" t="s">
        <v>496</v>
      </c>
      <c r="B384" s="80" t="str">
        <f>VLOOKUP(A384,[1]Sheet1!$B:$C,2,0)</f>
        <v>040000178736</v>
      </c>
      <c r="C384" s="46">
        <v>9550</v>
      </c>
      <c r="D384" s="81">
        <f t="shared" si="23"/>
        <v>9550</v>
      </c>
      <c r="E384" s="79" t="s">
        <v>2492</v>
      </c>
      <c r="F384" s="82" t="str">
        <f t="shared" si="20"/>
        <v>insert into ins_premium_det (premium_rcv_code,assorted_code, rec_amount,premium_rcv_detail_code,remaining_amt, payrec, mode_code,coinsurance_code,class_cd,it_remarks) values</v>
      </c>
      <c r="G384" s="83" t="str">
        <f t="shared" si="21"/>
        <v>('24Sep240082','040000178736','9550',(select max(to_number(i.premium_rcv_detail_code))+1
from ins_premium_det i),'9550','9550','02', '11000003','00','Request by Mr. Omair Ali 25-Sep-2024 allocation no 24Sep240082 ');</v>
      </c>
      <c r="H384" s="84" t="str">
        <f t="shared" si="22"/>
        <v>insert into ins_premium_det (premium_rcv_code,assorted_code, rec_amount,premium_rcv_detail_code,remaining_amt, payrec, mode_code,coinsurance_code,class_cd,it_remarks) values('24Sep240082','040000178736','9550',(select max(to_number(i.premium_rcv_detail_code))+1
from ins_premium_det i),'9550','9550','02', '11000003','00','Request by Mr. Omair Ali 25-Sep-2024 allocation no 24Sep240082 ');</v>
      </c>
    </row>
    <row r="385" spans="1:8" ht="105" x14ac:dyDescent="0.25">
      <c r="A385" t="s">
        <v>497</v>
      </c>
      <c r="B385" s="80" t="str">
        <f>VLOOKUP(A385,[1]Sheet1!$B:$C,2,0)</f>
        <v>040000178737</v>
      </c>
      <c r="C385" s="46">
        <v>9550</v>
      </c>
      <c r="D385" s="81">
        <f t="shared" si="23"/>
        <v>9550</v>
      </c>
      <c r="E385" s="79" t="s">
        <v>2492</v>
      </c>
      <c r="F385" s="82" t="str">
        <f t="shared" si="20"/>
        <v>insert into ins_premium_det (premium_rcv_code,assorted_code, rec_amount,premium_rcv_detail_code,remaining_amt, payrec, mode_code,coinsurance_code,class_cd,it_remarks) values</v>
      </c>
      <c r="G385" s="83" t="str">
        <f t="shared" si="21"/>
        <v>('24Sep240082','040000178737','9550',(select max(to_number(i.premium_rcv_detail_code))+1
from ins_premium_det i),'9550','9550','02', '11000003','00','Request by Mr. Omair Ali 25-Sep-2024 allocation no 24Sep240082 ');</v>
      </c>
      <c r="H385" s="84" t="str">
        <f t="shared" si="22"/>
        <v>insert into ins_premium_det (premium_rcv_code,assorted_code, rec_amount,premium_rcv_detail_code,remaining_amt, payrec, mode_code,coinsurance_code,class_cd,it_remarks) values('24Sep240082','040000178737','9550',(select max(to_number(i.premium_rcv_detail_code))+1
from ins_premium_det i),'9550','9550','02', '11000003','00','Request by Mr. Omair Ali 25-Sep-2024 allocation no 24Sep240082 ');</v>
      </c>
    </row>
    <row r="386" spans="1:8" ht="105" x14ac:dyDescent="0.25">
      <c r="A386" t="s">
        <v>498</v>
      </c>
      <c r="B386" s="80" t="str">
        <f>VLOOKUP(A386,[1]Sheet1!$B:$C,2,0)</f>
        <v>040000178738</v>
      </c>
      <c r="C386" s="46">
        <v>13675</v>
      </c>
      <c r="D386" s="81">
        <f t="shared" si="23"/>
        <v>13675</v>
      </c>
      <c r="E386" s="79" t="s">
        <v>2492</v>
      </c>
      <c r="F386" s="82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83" t="str">
        <f t="shared" si="21"/>
        <v>('24Sep240082','040000178738','13675',(select max(to_number(i.premium_rcv_detail_code))+1
from ins_premium_det i),'13675','13675','02', '11000003','00','Request by Mr. Omair Ali 25-Sep-2024 allocation no 24Sep240082 ');</v>
      </c>
      <c r="H386" s="84" t="str">
        <f t="shared" si="22"/>
        <v>insert into ins_premium_det (premium_rcv_code,assorted_code, rec_amount,premium_rcv_detail_code,remaining_amt, payrec, mode_code,coinsurance_code,class_cd,it_remarks) values('24Sep240082','040000178738','13675',(select max(to_number(i.premium_rcv_detail_code))+1
from ins_premium_det i),'13675','13675','02', '11000003','00','Request by Mr. Omair Ali 25-Sep-2024 allocation no 24Sep240082 ');</v>
      </c>
    </row>
    <row r="387" spans="1:8" ht="105" x14ac:dyDescent="0.25">
      <c r="A387" t="s">
        <v>499</v>
      </c>
      <c r="B387" s="80" t="str">
        <f>VLOOKUP(A387,[1]Sheet1!$B:$C,2,0)</f>
        <v>040000178739</v>
      </c>
      <c r="C387" s="46">
        <v>9550</v>
      </c>
      <c r="D387" s="81">
        <f t="shared" si="23"/>
        <v>9550</v>
      </c>
      <c r="E387" s="79" t="s">
        <v>2492</v>
      </c>
      <c r="F387" s="82" t="str">
        <f t="shared" si="24"/>
        <v>insert into ins_premium_det (premium_rcv_code,assorted_code, rec_amount,premium_rcv_detail_code,remaining_amt, payrec, mode_code,coinsurance_code,class_cd,it_remarks) values</v>
      </c>
      <c r="G387" s="83" t="str">
        <f t="shared" ref="G387:G450" si="25">"('"&amp;E387&amp;"','"&amp;B387&amp;"','"&amp;D387&amp;"',(select max(to_number(i.premium_rcv_detail_code))+1
from ins_premium_det i),'"&amp;D387&amp;"','"&amp;D387&amp;"','02', '11000003','00','Request by Mr. Omair Ali 25-Sep-2024 allocation no 24Sep240082 ');"</f>
        <v>('24Sep240082','040000178739','9550',(select max(to_number(i.premium_rcv_detail_code))+1
from ins_premium_det i),'9550','9550','02', '11000003','00','Request by Mr. Omair Ali 25-Sep-2024 allocation no 24Sep240082 ');</v>
      </c>
      <c r="H387" s="84" t="str">
        <f t="shared" ref="H387:H450" si="26">F387&amp;G387</f>
        <v>insert into ins_premium_det (premium_rcv_code,assorted_code, rec_amount,premium_rcv_detail_code,remaining_amt, payrec, mode_code,coinsurance_code,class_cd,it_remarks) values('24Sep240082','040000178739','9550',(select max(to_number(i.premium_rcv_detail_code))+1
from ins_premium_det i),'9550','9550','02', '11000003','00','Request by Mr. Omair Ali 25-Sep-2024 allocation no 24Sep240082 ');</v>
      </c>
    </row>
    <row r="388" spans="1:8" ht="105" x14ac:dyDescent="0.25">
      <c r="A388" t="s">
        <v>500</v>
      </c>
      <c r="B388" s="80" t="str">
        <f>VLOOKUP(A388,[1]Sheet1!$B:$C,2,0)</f>
        <v>040000178740</v>
      </c>
      <c r="C388" s="46">
        <v>12320</v>
      </c>
      <c r="D388" s="81">
        <f t="shared" ref="D388:D451" si="27">ROUND(C388,0)</f>
        <v>12320</v>
      </c>
      <c r="E388" s="79" t="s">
        <v>2492</v>
      </c>
      <c r="F388" s="82" t="str">
        <f t="shared" si="24"/>
        <v>insert into ins_premium_det (premium_rcv_code,assorted_code, rec_amount,premium_rcv_detail_code,remaining_amt, payrec, mode_code,coinsurance_code,class_cd,it_remarks) values</v>
      </c>
      <c r="G388" s="83" t="str">
        <f t="shared" si="25"/>
        <v>('24Sep240082','040000178740','12320',(select max(to_number(i.premium_rcv_detail_code))+1
from ins_premium_det i),'12320','12320','02', '11000003','00','Request by Mr. Omair Ali 25-Sep-2024 allocation no 24Sep240082 ');</v>
      </c>
      <c r="H388" s="84" t="str">
        <f t="shared" si="26"/>
        <v>insert into ins_premium_det (premium_rcv_code,assorted_code, rec_amount,premium_rcv_detail_code,remaining_amt, payrec, mode_code,coinsurance_code,class_cd,it_remarks) values('24Sep240082','040000178740','12320',(select max(to_number(i.premium_rcv_detail_code))+1
from ins_premium_det i),'12320','12320','02', '11000003','00','Request by Mr. Omair Ali 25-Sep-2024 allocation no 24Sep240082 ');</v>
      </c>
    </row>
    <row r="389" spans="1:8" ht="105" x14ac:dyDescent="0.25">
      <c r="A389" t="s">
        <v>501</v>
      </c>
      <c r="B389" s="80" t="str">
        <f>VLOOKUP(A389,[1]Sheet1!$B:$C,2,0)</f>
        <v>040000178742</v>
      </c>
      <c r="C389" s="46">
        <v>17465</v>
      </c>
      <c r="D389" s="81">
        <f t="shared" si="27"/>
        <v>17465</v>
      </c>
      <c r="E389" s="79" t="s">
        <v>2492</v>
      </c>
      <c r="F389" s="82" t="str">
        <f t="shared" si="24"/>
        <v>insert into ins_premium_det (premium_rcv_code,assorted_code, rec_amount,premium_rcv_detail_code,remaining_amt, payrec, mode_code,coinsurance_code,class_cd,it_remarks) values</v>
      </c>
      <c r="G389" s="83" t="str">
        <f t="shared" si="25"/>
        <v>('24Sep240082','040000178742','17465',(select max(to_number(i.premium_rcv_detail_code))+1
from ins_premium_det i),'17465','17465','02', '11000003','00','Request by Mr. Omair Ali 25-Sep-2024 allocation no 24Sep240082 ');</v>
      </c>
      <c r="H389" s="84" t="str">
        <f t="shared" si="26"/>
        <v>insert into ins_premium_det (premium_rcv_code,assorted_code, rec_amount,premium_rcv_detail_code,remaining_amt, payrec, mode_code,coinsurance_code,class_cd,it_remarks) values('24Sep240082','040000178742','17465',(select max(to_number(i.premium_rcv_detail_code))+1
from ins_premium_det i),'17465','17465','02', '11000003','00','Request by Mr. Omair Ali 25-Sep-2024 allocation no 24Sep240082 ');</v>
      </c>
    </row>
    <row r="390" spans="1:8" ht="105" x14ac:dyDescent="0.25">
      <c r="A390" t="s">
        <v>502</v>
      </c>
      <c r="B390" s="80" t="str">
        <f>VLOOKUP(A390,[1]Sheet1!$B:$C,2,0)</f>
        <v>040000178743</v>
      </c>
      <c r="C390" s="46">
        <v>17465</v>
      </c>
      <c r="D390" s="81">
        <f t="shared" si="27"/>
        <v>17465</v>
      </c>
      <c r="E390" s="79" t="s">
        <v>2492</v>
      </c>
      <c r="F390" s="82" t="str">
        <f t="shared" si="24"/>
        <v>insert into ins_premium_det (premium_rcv_code,assorted_code, rec_amount,premium_rcv_detail_code,remaining_amt, payrec, mode_code,coinsurance_code,class_cd,it_remarks) values</v>
      </c>
      <c r="G390" s="83" t="str">
        <f t="shared" si="25"/>
        <v>('24Sep240082','040000178743','17465',(select max(to_number(i.premium_rcv_detail_code))+1
from ins_premium_det i),'17465','17465','02', '11000003','00','Request by Mr. Omair Ali 25-Sep-2024 allocation no 24Sep240082 ');</v>
      </c>
      <c r="H390" s="84" t="str">
        <f t="shared" si="26"/>
        <v>insert into ins_premium_det (premium_rcv_code,assorted_code, rec_amount,premium_rcv_detail_code,remaining_amt, payrec, mode_code,coinsurance_code,class_cd,it_remarks) values('24Sep240082','040000178743','17465',(select max(to_number(i.premium_rcv_detail_code))+1
from ins_premium_det i),'17465','17465','02', '11000003','00','Request by Mr. Omair Ali 25-Sep-2024 allocation no 24Sep240082 ');</v>
      </c>
    </row>
    <row r="391" spans="1:8" ht="105" x14ac:dyDescent="0.25">
      <c r="A391" t="s">
        <v>503</v>
      </c>
      <c r="B391" s="80" t="str">
        <f>VLOOKUP(A391,[1]Sheet1!$B:$C,2,0)</f>
        <v>040000178746</v>
      </c>
      <c r="C391" s="46">
        <v>12320</v>
      </c>
      <c r="D391" s="81">
        <f t="shared" si="27"/>
        <v>12320</v>
      </c>
      <c r="E391" s="79" t="s">
        <v>2492</v>
      </c>
      <c r="F391" s="82" t="str">
        <f t="shared" si="24"/>
        <v>insert into ins_premium_det (premium_rcv_code,assorted_code, rec_amount,premium_rcv_detail_code,remaining_amt, payrec, mode_code,coinsurance_code,class_cd,it_remarks) values</v>
      </c>
      <c r="G391" s="83" t="str">
        <f t="shared" si="25"/>
        <v>('24Sep240082','040000178746','12320',(select max(to_number(i.premium_rcv_detail_code))+1
from ins_premium_det i),'12320','12320','02', '11000003','00','Request by Mr. Omair Ali 25-Sep-2024 allocation no 24Sep240082 ');</v>
      </c>
      <c r="H391" s="84" t="str">
        <f t="shared" si="26"/>
        <v>insert into ins_premium_det (premium_rcv_code,assorted_code, rec_amount,premium_rcv_detail_code,remaining_amt, payrec, mode_code,coinsurance_code,class_cd,it_remarks) values('24Sep240082','040000178746','12320',(select max(to_number(i.premium_rcv_detail_code))+1
from ins_premium_det i),'12320','12320','02', '11000003','00','Request by Mr. Omair Ali 25-Sep-2024 allocation no 24Sep240082 ');</v>
      </c>
    </row>
    <row r="392" spans="1:8" ht="105" x14ac:dyDescent="0.25">
      <c r="A392" t="s">
        <v>504</v>
      </c>
      <c r="B392" s="80" t="str">
        <f>VLOOKUP(A392,[1]Sheet1!$B:$C,2,0)</f>
        <v>040000178747</v>
      </c>
      <c r="C392" s="46">
        <v>13370</v>
      </c>
      <c r="D392" s="81">
        <f t="shared" si="27"/>
        <v>13370</v>
      </c>
      <c r="E392" s="79" t="s">
        <v>2492</v>
      </c>
      <c r="F392" s="82" t="str">
        <f t="shared" si="24"/>
        <v>insert into ins_premium_det (premium_rcv_code,assorted_code, rec_amount,premium_rcv_detail_code,remaining_amt, payrec, mode_code,coinsurance_code,class_cd,it_remarks) values</v>
      </c>
      <c r="G392" s="83" t="str">
        <f t="shared" si="25"/>
        <v>('24Sep240082','040000178747','13370',(select max(to_number(i.premium_rcv_detail_code))+1
from ins_premium_det i),'13370','13370','02', '11000003','00','Request by Mr. Omair Ali 25-Sep-2024 allocation no 24Sep240082 ');</v>
      </c>
      <c r="H392" s="84" t="str">
        <f t="shared" si="26"/>
        <v>insert into ins_premium_det (premium_rcv_code,assorted_code, rec_amount,premium_rcv_detail_code,remaining_amt, payrec, mode_code,coinsurance_code,class_cd,it_remarks) values('24Sep240082','040000178747','13370',(select max(to_number(i.premium_rcv_detail_code))+1
from ins_premium_det i),'13370','13370','02', '11000003','00','Request by Mr. Omair Ali 25-Sep-2024 allocation no 24Sep240082 ');</v>
      </c>
    </row>
    <row r="393" spans="1:8" ht="105" x14ac:dyDescent="0.25">
      <c r="A393" t="s">
        <v>505</v>
      </c>
      <c r="B393" s="80" t="str">
        <f>VLOOKUP(A393,[1]Sheet1!$B:$C,2,0)</f>
        <v>040000178748</v>
      </c>
      <c r="C393" s="46">
        <v>13370</v>
      </c>
      <c r="D393" s="81">
        <f t="shared" si="27"/>
        <v>13370</v>
      </c>
      <c r="E393" s="79" t="s">
        <v>2492</v>
      </c>
      <c r="F393" s="82" t="str">
        <f t="shared" si="24"/>
        <v>insert into ins_premium_det (premium_rcv_code,assorted_code, rec_amount,premium_rcv_detail_code,remaining_amt, payrec, mode_code,coinsurance_code,class_cd,it_remarks) values</v>
      </c>
      <c r="G393" s="83" t="str">
        <f t="shared" si="25"/>
        <v>('24Sep240082','040000178748','13370',(select max(to_number(i.premium_rcv_detail_code))+1
from ins_premium_det i),'13370','13370','02', '11000003','00','Request by Mr. Omair Ali 25-Sep-2024 allocation no 24Sep240082 ');</v>
      </c>
      <c r="H393" s="84" t="str">
        <f t="shared" si="26"/>
        <v>insert into ins_premium_det (premium_rcv_code,assorted_code, rec_amount,premium_rcv_detail_code,remaining_amt, payrec, mode_code,coinsurance_code,class_cd,it_remarks) values('24Sep240082','040000178748','13370',(select max(to_number(i.premium_rcv_detail_code))+1
from ins_premium_det i),'13370','13370','02', '11000003','00','Request by Mr. Omair Ali 25-Sep-2024 allocation no 24Sep240082 ');</v>
      </c>
    </row>
    <row r="394" spans="1:8" ht="105" x14ac:dyDescent="0.25">
      <c r="A394" t="s">
        <v>506</v>
      </c>
      <c r="B394" s="80" t="str">
        <f>VLOOKUP(A394,[1]Sheet1!$B:$C,2,0)</f>
        <v>040000178749</v>
      </c>
      <c r="C394" s="46">
        <v>9550</v>
      </c>
      <c r="D394" s="81">
        <f t="shared" si="27"/>
        <v>9550</v>
      </c>
      <c r="E394" s="79" t="s">
        <v>2492</v>
      </c>
      <c r="F394" s="82" t="str">
        <f t="shared" si="24"/>
        <v>insert into ins_premium_det (premium_rcv_code,assorted_code, rec_amount,premium_rcv_detail_code,remaining_amt, payrec, mode_code,coinsurance_code,class_cd,it_remarks) values</v>
      </c>
      <c r="G394" s="83" t="str">
        <f t="shared" si="25"/>
        <v>('24Sep240082','040000178749','9550',(select max(to_number(i.premium_rcv_detail_code))+1
from ins_premium_det i),'9550','9550','02', '11000003','00','Request by Mr. Omair Ali 25-Sep-2024 allocation no 24Sep240082 ');</v>
      </c>
      <c r="H394" s="84" t="str">
        <f t="shared" si="26"/>
        <v>insert into ins_premium_det (premium_rcv_code,assorted_code, rec_amount,premium_rcv_detail_code,remaining_amt, payrec, mode_code,coinsurance_code,class_cd,it_remarks) values('24Sep240082','040000178749','9550',(select max(to_number(i.premium_rcv_detail_code))+1
from ins_premium_det i),'9550','9550','02', '11000003','00','Request by Mr. Omair Ali 25-Sep-2024 allocation no 24Sep240082 ');</v>
      </c>
    </row>
    <row r="395" spans="1:8" ht="105" x14ac:dyDescent="0.25">
      <c r="A395" t="s">
        <v>507</v>
      </c>
      <c r="B395" s="80" t="str">
        <f>VLOOKUP(A395,[1]Sheet1!$B:$C,2,0)</f>
        <v>040000178750</v>
      </c>
      <c r="C395" s="46">
        <v>13370</v>
      </c>
      <c r="D395" s="81">
        <f t="shared" si="27"/>
        <v>13370</v>
      </c>
      <c r="E395" s="79" t="s">
        <v>2492</v>
      </c>
      <c r="F395" s="82" t="str">
        <f t="shared" si="24"/>
        <v>insert into ins_premium_det (premium_rcv_code,assorted_code, rec_amount,premium_rcv_detail_code,remaining_amt, payrec, mode_code,coinsurance_code,class_cd,it_remarks) values</v>
      </c>
      <c r="G395" s="83" t="str">
        <f t="shared" si="25"/>
        <v>('24Sep240082','040000178750','13370',(select max(to_number(i.premium_rcv_detail_code))+1
from ins_premium_det i),'13370','13370','02', '11000003','00','Request by Mr. Omair Ali 25-Sep-2024 allocation no 24Sep240082 ');</v>
      </c>
      <c r="H395" s="84" t="str">
        <f t="shared" si="26"/>
        <v>insert into ins_premium_det (premium_rcv_code,assorted_code, rec_amount,premium_rcv_detail_code,remaining_amt, payrec, mode_code,coinsurance_code,class_cd,it_remarks) values('24Sep240082','040000178750','13370',(select max(to_number(i.premium_rcv_detail_code))+1
from ins_premium_det i),'13370','13370','02', '11000003','00','Request by Mr. Omair Ali 25-Sep-2024 allocation no 24Sep240082 ');</v>
      </c>
    </row>
    <row r="396" spans="1:8" ht="105" x14ac:dyDescent="0.25">
      <c r="A396" t="s">
        <v>508</v>
      </c>
      <c r="B396" s="80" t="str">
        <f>VLOOKUP(A396,[1]Sheet1!$B:$C,2,0)</f>
        <v>040000178751</v>
      </c>
      <c r="C396" s="46">
        <v>13370</v>
      </c>
      <c r="D396" s="81">
        <f t="shared" si="27"/>
        <v>13370</v>
      </c>
      <c r="E396" s="79" t="s">
        <v>2492</v>
      </c>
      <c r="F396" s="82" t="str">
        <f t="shared" si="24"/>
        <v>insert into ins_premium_det (premium_rcv_code,assorted_code, rec_amount,premium_rcv_detail_code,remaining_amt, payrec, mode_code,coinsurance_code,class_cd,it_remarks) values</v>
      </c>
      <c r="G396" s="83" t="str">
        <f t="shared" si="25"/>
        <v>('24Sep240082','040000178751','13370',(select max(to_number(i.premium_rcv_detail_code))+1
from ins_premium_det i),'13370','13370','02', '11000003','00','Request by Mr. Omair Ali 25-Sep-2024 allocation no 24Sep240082 ');</v>
      </c>
      <c r="H396" s="84" t="str">
        <f t="shared" si="26"/>
        <v>insert into ins_premium_det (premium_rcv_code,assorted_code, rec_amount,premium_rcv_detail_code,remaining_amt, payrec, mode_code,coinsurance_code,class_cd,it_remarks) values('24Sep240082','040000178751','13370',(select max(to_number(i.premium_rcv_detail_code))+1
from ins_premium_det i),'13370','13370','02', '11000003','00','Request by Mr. Omair Ali 25-Sep-2024 allocation no 24Sep240082 ');</v>
      </c>
    </row>
    <row r="397" spans="1:8" ht="105" x14ac:dyDescent="0.25">
      <c r="A397" t="s">
        <v>509</v>
      </c>
      <c r="B397" s="80" t="str">
        <f>VLOOKUP(A397,[1]Sheet1!$B:$C,2,0)</f>
        <v>040000178752</v>
      </c>
      <c r="C397" s="46">
        <v>19145</v>
      </c>
      <c r="D397" s="81">
        <f t="shared" si="27"/>
        <v>19145</v>
      </c>
      <c r="E397" s="79" t="s">
        <v>2492</v>
      </c>
      <c r="F397" s="82" t="str">
        <f t="shared" si="24"/>
        <v>insert into ins_premium_det (premium_rcv_code,assorted_code, rec_amount,premium_rcv_detail_code,remaining_amt, payrec, mode_code,coinsurance_code,class_cd,it_remarks) values</v>
      </c>
      <c r="G397" s="83" t="str">
        <f t="shared" si="25"/>
        <v>('24Sep240082','040000178752','19145',(select max(to_number(i.premium_rcv_detail_code))+1
from ins_premium_det i),'19145','19145','02', '11000003','00','Request by Mr. Omair Ali 25-Sep-2024 allocation no 24Sep240082 ');</v>
      </c>
      <c r="H397" s="84" t="str">
        <f t="shared" si="26"/>
        <v>insert into ins_premium_det (premium_rcv_code,assorted_code, rec_amount,premium_rcv_detail_code,remaining_amt, payrec, mode_code,coinsurance_code,class_cd,it_remarks) values('24Sep240082','040000178752','19145',(select max(to_number(i.premium_rcv_detail_code))+1
from ins_premium_det i),'19145','19145','02', '11000003','00','Request by Mr. Omair Ali 25-Sep-2024 allocation no 24Sep240082 ');</v>
      </c>
    </row>
    <row r="398" spans="1:8" ht="105" x14ac:dyDescent="0.25">
      <c r="A398" t="s">
        <v>510</v>
      </c>
      <c r="B398" s="80" t="str">
        <f>VLOOKUP(A398,[1]Sheet1!$B:$C,2,0)</f>
        <v>040000178753</v>
      </c>
      <c r="C398" s="46">
        <v>19145</v>
      </c>
      <c r="D398" s="81">
        <f t="shared" si="27"/>
        <v>19145</v>
      </c>
      <c r="E398" s="79" t="s">
        <v>2492</v>
      </c>
      <c r="F398" s="82" t="str">
        <f t="shared" si="24"/>
        <v>insert into ins_premium_det (premium_rcv_code,assorted_code, rec_amount,premium_rcv_detail_code,remaining_amt, payrec, mode_code,coinsurance_code,class_cd,it_remarks) values</v>
      </c>
      <c r="G398" s="83" t="str">
        <f t="shared" si="25"/>
        <v>('24Sep240082','040000178753','19145',(select max(to_number(i.premium_rcv_detail_code))+1
from ins_premium_det i),'19145','19145','02', '11000003','00','Request by Mr. Omair Ali 25-Sep-2024 allocation no 24Sep240082 ');</v>
      </c>
      <c r="H398" s="84" t="str">
        <f t="shared" si="26"/>
        <v>insert into ins_premium_det (premium_rcv_code,assorted_code, rec_amount,premium_rcv_detail_code,remaining_amt, payrec, mode_code,coinsurance_code,class_cd,it_remarks) values('24Sep240082','040000178753','19145',(select max(to_number(i.premium_rcv_detail_code))+1
from ins_premium_det i),'19145','19145','02', '11000003','00','Request by Mr. Omair Ali 25-Sep-2024 allocation no 24Sep240082 ');</v>
      </c>
    </row>
    <row r="399" spans="1:8" ht="105" x14ac:dyDescent="0.25">
      <c r="A399" t="s">
        <v>511</v>
      </c>
      <c r="B399" s="80" t="str">
        <f>VLOOKUP(A399,[1]Sheet1!$B:$C,2,0)</f>
        <v>040000178755</v>
      </c>
      <c r="C399" s="46">
        <v>12320</v>
      </c>
      <c r="D399" s="81">
        <f t="shared" si="27"/>
        <v>12320</v>
      </c>
      <c r="E399" s="79" t="s">
        <v>2492</v>
      </c>
      <c r="F399" s="82" t="str">
        <f t="shared" si="24"/>
        <v>insert into ins_premium_det (premium_rcv_code,assorted_code, rec_amount,premium_rcv_detail_code,remaining_amt, payrec, mode_code,coinsurance_code,class_cd,it_remarks) values</v>
      </c>
      <c r="G399" s="83" t="str">
        <f t="shared" si="25"/>
        <v>('24Sep240082','040000178755','12320',(select max(to_number(i.premium_rcv_detail_code))+1
from ins_premium_det i),'12320','12320','02', '11000003','00','Request by Mr. Omair Ali 25-Sep-2024 allocation no 24Sep240082 ');</v>
      </c>
      <c r="H399" s="84" t="str">
        <f t="shared" si="26"/>
        <v>insert into ins_premium_det (premium_rcv_code,assorted_code, rec_amount,premium_rcv_detail_code,remaining_amt, payrec, mode_code,coinsurance_code,class_cd,it_remarks) values('24Sep240082','040000178755','12320',(select max(to_number(i.premium_rcv_detail_code))+1
from ins_premium_det i),'12320','12320','02', '11000003','00','Request by Mr. Omair Ali 25-Sep-2024 allocation no 24Sep240082 ');</v>
      </c>
    </row>
    <row r="400" spans="1:8" ht="105" x14ac:dyDescent="0.25">
      <c r="A400" t="s">
        <v>512</v>
      </c>
      <c r="B400" s="80" t="str">
        <f>VLOOKUP(A400,[1]Sheet1!$B:$C,2,0)</f>
        <v>040000178756</v>
      </c>
      <c r="C400" s="46">
        <v>12320</v>
      </c>
      <c r="D400" s="81">
        <f t="shared" si="27"/>
        <v>12320</v>
      </c>
      <c r="E400" s="79" t="s">
        <v>2492</v>
      </c>
      <c r="F400" s="82" t="str">
        <f t="shared" si="24"/>
        <v>insert into ins_premium_det (premium_rcv_code,assorted_code, rec_amount,premium_rcv_detail_code,remaining_amt, payrec, mode_code,coinsurance_code,class_cd,it_remarks) values</v>
      </c>
      <c r="G400" s="83" t="str">
        <f t="shared" si="25"/>
        <v>('24Sep240082','040000178756','12320',(select max(to_number(i.premium_rcv_detail_code))+1
from ins_premium_det i),'12320','12320','02', '11000003','00','Request by Mr. Omair Ali 25-Sep-2024 allocation no 24Sep240082 ');</v>
      </c>
      <c r="H400" s="84" t="str">
        <f t="shared" si="26"/>
        <v>insert into ins_premium_det (premium_rcv_code,assorted_code, rec_amount,premium_rcv_detail_code,remaining_amt, payrec, mode_code,coinsurance_code,class_cd,it_remarks) values('24Sep240082','040000178756','12320',(select max(to_number(i.premium_rcv_detail_code))+1
from ins_premium_det i),'12320','12320','02', '11000003','00','Request by Mr. Omair Ali 25-Sep-2024 allocation no 24Sep240082 ');</v>
      </c>
    </row>
    <row r="401" spans="1:8" ht="105" x14ac:dyDescent="0.25">
      <c r="A401" t="s">
        <v>513</v>
      </c>
      <c r="B401" s="80" t="str">
        <f>VLOOKUP(A401,[1]Sheet1!$B:$C,2,0)</f>
        <v>040000178763</v>
      </c>
      <c r="C401" s="46">
        <v>13370</v>
      </c>
      <c r="D401" s="81">
        <f t="shared" si="27"/>
        <v>13370</v>
      </c>
      <c r="E401" s="79" t="s">
        <v>2492</v>
      </c>
      <c r="F401" s="82" t="str">
        <f t="shared" si="24"/>
        <v>insert into ins_premium_det (premium_rcv_code,assorted_code, rec_amount,premium_rcv_detail_code,remaining_amt, payrec, mode_code,coinsurance_code,class_cd,it_remarks) values</v>
      </c>
      <c r="G401" s="83" t="str">
        <f t="shared" si="25"/>
        <v>('24Sep240082','040000178763','13370',(select max(to_number(i.premium_rcv_detail_code))+1
from ins_premium_det i),'13370','13370','02', '11000003','00','Request by Mr. Omair Ali 25-Sep-2024 allocation no 24Sep240082 ');</v>
      </c>
      <c r="H401" s="84" t="str">
        <f t="shared" si="26"/>
        <v>insert into ins_premium_det (premium_rcv_code,assorted_code, rec_amount,premium_rcv_detail_code,remaining_amt, payrec, mode_code,coinsurance_code,class_cd,it_remarks) values('24Sep240082','040000178763','13370',(select max(to_number(i.premium_rcv_detail_code))+1
from ins_premium_det i),'13370','13370','02', '11000003','00','Request by Mr. Omair Ali 25-Sep-2024 allocation no 24Sep240082 ');</v>
      </c>
    </row>
    <row r="402" spans="1:8" ht="105" x14ac:dyDescent="0.25">
      <c r="A402" t="s">
        <v>514</v>
      </c>
      <c r="B402" s="80" t="str">
        <f>VLOOKUP(A402,[1]Sheet1!$B:$C,2,0)</f>
        <v>040000178764</v>
      </c>
      <c r="C402" s="46">
        <v>13370</v>
      </c>
      <c r="D402" s="81">
        <f t="shared" si="27"/>
        <v>13370</v>
      </c>
      <c r="E402" s="79" t="s">
        <v>2492</v>
      </c>
      <c r="F402" s="82" t="str">
        <f t="shared" si="24"/>
        <v>insert into ins_premium_det (premium_rcv_code,assorted_code, rec_amount,premium_rcv_detail_code,remaining_amt, payrec, mode_code,coinsurance_code,class_cd,it_remarks) values</v>
      </c>
      <c r="G402" s="83" t="str">
        <f t="shared" si="25"/>
        <v>('24Sep240082','040000178764','13370',(select max(to_number(i.premium_rcv_detail_code))+1
from ins_premium_det i),'13370','13370','02', '11000003','00','Request by Mr. Omair Ali 25-Sep-2024 allocation no 24Sep240082 ');</v>
      </c>
      <c r="H402" s="84" t="str">
        <f t="shared" si="26"/>
        <v>insert into ins_premium_det (premium_rcv_code,assorted_code, rec_amount,premium_rcv_detail_code,remaining_amt, payrec, mode_code,coinsurance_code,class_cd,it_remarks) values('24Sep240082','040000178764','13370',(select max(to_number(i.premium_rcv_detail_code))+1
from ins_premium_det i),'13370','13370','02', '11000003','00','Request by Mr. Omair Ali 25-Sep-2024 allocation no 24Sep240082 ');</v>
      </c>
    </row>
    <row r="403" spans="1:8" ht="105" x14ac:dyDescent="0.25">
      <c r="A403" t="s">
        <v>515</v>
      </c>
      <c r="B403" s="80" t="str">
        <f>VLOOKUP(A403,[1]Sheet1!$B:$C,2,0)</f>
        <v>040000178765</v>
      </c>
      <c r="C403" s="46">
        <v>9550</v>
      </c>
      <c r="D403" s="81">
        <f t="shared" si="27"/>
        <v>9550</v>
      </c>
      <c r="E403" s="79" t="s">
        <v>2492</v>
      </c>
      <c r="F403" s="82" t="str">
        <f t="shared" si="24"/>
        <v>insert into ins_premium_det (premium_rcv_code,assorted_code, rec_amount,premium_rcv_detail_code,remaining_amt, payrec, mode_code,coinsurance_code,class_cd,it_remarks) values</v>
      </c>
      <c r="G403" s="83" t="str">
        <f t="shared" si="25"/>
        <v>('24Sep240082','040000178765','9550',(select max(to_number(i.premium_rcv_detail_code))+1
from ins_premium_det i),'9550','9550','02', '11000003','00','Request by Mr. Omair Ali 25-Sep-2024 allocation no 24Sep240082 ');</v>
      </c>
      <c r="H403" s="84" t="str">
        <f t="shared" si="26"/>
        <v>insert into ins_premium_det (premium_rcv_code,assorted_code, rec_amount,premium_rcv_detail_code,remaining_amt, payrec, mode_code,coinsurance_code,class_cd,it_remarks) values('24Sep240082','040000178765','9550',(select max(to_number(i.premium_rcv_detail_code))+1
from ins_premium_det i),'9550','9550','02', '11000003','00','Request by Mr. Omair Ali 25-Sep-2024 allocation no 24Sep240082 ');</v>
      </c>
    </row>
    <row r="404" spans="1:8" ht="105" x14ac:dyDescent="0.25">
      <c r="A404" t="s">
        <v>516</v>
      </c>
      <c r="B404" s="80" t="str">
        <f>VLOOKUP(A404,[1]Sheet1!$B:$C,2,0)</f>
        <v>040000178766</v>
      </c>
      <c r="C404" s="46">
        <v>8800</v>
      </c>
      <c r="D404" s="81">
        <f t="shared" si="27"/>
        <v>8800</v>
      </c>
      <c r="E404" s="79" t="s">
        <v>2492</v>
      </c>
      <c r="F404" s="82" t="str">
        <f t="shared" si="24"/>
        <v>insert into ins_premium_det (premium_rcv_code,assorted_code, rec_amount,premium_rcv_detail_code,remaining_amt, payrec, mode_code,coinsurance_code,class_cd,it_remarks) values</v>
      </c>
      <c r="G404" s="83" t="str">
        <f t="shared" si="25"/>
        <v>('24Sep240082','040000178766','8800',(select max(to_number(i.premium_rcv_detail_code))+1
from ins_premium_det i),'8800','8800','02', '11000003','00','Request by Mr. Omair Ali 25-Sep-2024 allocation no 24Sep240082 ');</v>
      </c>
      <c r="H404" s="84" t="str">
        <f t="shared" si="26"/>
        <v>insert into ins_premium_det (premium_rcv_code,assorted_code, rec_amount,premium_rcv_detail_code,remaining_amt, payrec, mode_code,coinsurance_code,class_cd,it_remarks) values('24Sep240082','040000178766','8800',(select max(to_number(i.premium_rcv_detail_code))+1
from ins_premium_det i),'8800','8800','02', '11000003','00','Request by Mr. Omair Ali 25-Sep-2024 allocation no 24Sep240082 ');</v>
      </c>
    </row>
    <row r="405" spans="1:8" ht="105" x14ac:dyDescent="0.25">
      <c r="A405" t="s">
        <v>517</v>
      </c>
      <c r="B405" s="80" t="str">
        <f>VLOOKUP(A405,[1]Sheet1!$B:$C,2,0)</f>
        <v>040000178767</v>
      </c>
      <c r="C405" s="46">
        <v>8800</v>
      </c>
      <c r="D405" s="81">
        <f t="shared" si="27"/>
        <v>8800</v>
      </c>
      <c r="E405" s="79" t="s">
        <v>2492</v>
      </c>
      <c r="F405" s="82" t="str">
        <f t="shared" si="24"/>
        <v>insert into ins_premium_det (premium_rcv_code,assorted_code, rec_amount,premium_rcv_detail_code,remaining_amt, payrec, mode_code,coinsurance_code,class_cd,it_remarks) values</v>
      </c>
      <c r="G405" s="83" t="str">
        <f t="shared" si="25"/>
        <v>('24Sep240082','040000178767','8800',(select max(to_number(i.premium_rcv_detail_code))+1
from ins_premium_det i),'8800','8800','02', '11000003','00','Request by Mr. Omair Ali 25-Sep-2024 allocation no 24Sep240082 ');</v>
      </c>
      <c r="H405" s="84" t="str">
        <f t="shared" si="26"/>
        <v>insert into ins_premium_det (premium_rcv_code,assorted_code, rec_amount,premium_rcv_detail_code,remaining_amt, payrec, mode_code,coinsurance_code,class_cd,it_remarks) values('24Sep240082','040000178767','8800',(select max(to_number(i.premium_rcv_detail_code))+1
from ins_premium_det i),'8800','8800','02', '11000003','00','Request by Mr. Omair Ali 25-Sep-2024 allocation no 24Sep240082 ');</v>
      </c>
    </row>
    <row r="406" spans="1:8" ht="105" x14ac:dyDescent="0.25">
      <c r="A406" t="s">
        <v>518</v>
      </c>
      <c r="B406" s="80" t="str">
        <f>VLOOKUP(A406,[1]Sheet1!$B:$C,2,0)</f>
        <v>040000178768</v>
      </c>
      <c r="C406" s="46">
        <v>8800</v>
      </c>
      <c r="D406" s="81">
        <f t="shared" si="27"/>
        <v>8800</v>
      </c>
      <c r="E406" s="79" t="s">
        <v>2492</v>
      </c>
      <c r="F406" s="82" t="str">
        <f t="shared" si="24"/>
        <v>insert into ins_premium_det (premium_rcv_code,assorted_code, rec_amount,premium_rcv_detail_code,remaining_amt, payrec, mode_code,coinsurance_code,class_cd,it_remarks) values</v>
      </c>
      <c r="G406" s="83" t="str">
        <f t="shared" si="25"/>
        <v>('24Sep240082','040000178768','8800',(select max(to_number(i.premium_rcv_detail_code))+1
from ins_premium_det i),'8800','8800','02', '11000003','00','Request by Mr. Omair Ali 25-Sep-2024 allocation no 24Sep240082 ');</v>
      </c>
      <c r="H406" s="84" t="str">
        <f t="shared" si="26"/>
        <v>insert into ins_premium_det (premium_rcv_code,assorted_code, rec_amount,premium_rcv_detail_code,remaining_amt, payrec, mode_code,coinsurance_code,class_cd,it_remarks) values('24Sep240082','040000178768','8800',(select max(to_number(i.premium_rcv_detail_code))+1
from ins_premium_det i),'8800','8800','02', '11000003','00','Request by Mr. Omair Ali 25-Sep-2024 allocation no 24Sep240082 ');</v>
      </c>
    </row>
    <row r="407" spans="1:8" ht="105" x14ac:dyDescent="0.25">
      <c r="A407" t="s">
        <v>519</v>
      </c>
      <c r="B407" s="80" t="str">
        <f>VLOOKUP(A407,[1]Sheet1!$B:$C,2,0)</f>
        <v>040000178769</v>
      </c>
      <c r="C407" s="46">
        <v>8800</v>
      </c>
      <c r="D407" s="81">
        <f t="shared" si="27"/>
        <v>8800</v>
      </c>
      <c r="E407" s="79" t="s">
        <v>2492</v>
      </c>
      <c r="F407" s="82" t="str">
        <f t="shared" si="24"/>
        <v>insert into ins_premium_det (premium_rcv_code,assorted_code, rec_amount,premium_rcv_detail_code,remaining_amt, payrec, mode_code,coinsurance_code,class_cd,it_remarks) values</v>
      </c>
      <c r="G407" s="83" t="str">
        <f t="shared" si="25"/>
        <v>('24Sep240082','040000178769','8800',(select max(to_number(i.premium_rcv_detail_code))+1
from ins_premium_det i),'8800','8800','02', '11000003','00','Request by Mr. Omair Ali 25-Sep-2024 allocation no 24Sep240082 ');</v>
      </c>
      <c r="H407" s="84" t="str">
        <f t="shared" si="26"/>
        <v>insert into ins_premium_det (premium_rcv_code,assorted_code, rec_amount,premium_rcv_detail_code,remaining_amt, payrec, mode_code,coinsurance_code,class_cd,it_remarks) values('24Sep240082','040000178769','8800',(select max(to_number(i.premium_rcv_detail_code))+1
from ins_premium_det i),'8800','8800','02', '11000003','00','Request by Mr. Omair Ali 25-Sep-2024 allocation no 24Sep240082 ');</v>
      </c>
    </row>
    <row r="408" spans="1:8" ht="105" x14ac:dyDescent="0.25">
      <c r="A408" t="s">
        <v>520</v>
      </c>
      <c r="B408" s="80" t="str">
        <f>VLOOKUP(A408,[1]Sheet1!$B:$C,2,0)</f>
        <v>040000178770</v>
      </c>
      <c r="C408" s="46">
        <v>8800</v>
      </c>
      <c r="D408" s="81">
        <f t="shared" si="27"/>
        <v>8800</v>
      </c>
      <c r="E408" s="79" t="s">
        <v>2492</v>
      </c>
      <c r="F408" s="82" t="str">
        <f t="shared" si="24"/>
        <v>insert into ins_premium_det (premium_rcv_code,assorted_code, rec_amount,premium_rcv_detail_code,remaining_amt, payrec, mode_code,coinsurance_code,class_cd,it_remarks) values</v>
      </c>
      <c r="G408" s="83" t="str">
        <f t="shared" si="25"/>
        <v>('24Sep240082','040000178770','8800',(select max(to_number(i.premium_rcv_detail_code))+1
from ins_premium_det i),'8800','8800','02', '11000003','00','Request by Mr. Omair Ali 25-Sep-2024 allocation no 24Sep240082 ');</v>
      </c>
      <c r="H408" s="84" t="str">
        <f t="shared" si="26"/>
        <v>insert into ins_premium_det (premium_rcv_code,assorted_code, rec_amount,premium_rcv_detail_code,remaining_amt, payrec, mode_code,coinsurance_code,class_cd,it_remarks) values('24Sep240082','040000178770','8800',(select max(to_number(i.premium_rcv_detail_code))+1
from ins_premium_det i),'8800','8800','02', '11000003','00','Request by Mr. Omair Ali 25-Sep-2024 allocation no 24Sep240082 ');</v>
      </c>
    </row>
    <row r="409" spans="1:8" ht="105" x14ac:dyDescent="0.25">
      <c r="A409" t="s">
        <v>521</v>
      </c>
      <c r="B409" s="80" t="str">
        <f>VLOOKUP(A409,[1]Sheet1!$B:$C,2,0)</f>
        <v>040000178771</v>
      </c>
      <c r="C409" s="46">
        <v>17465</v>
      </c>
      <c r="D409" s="81">
        <f t="shared" si="27"/>
        <v>17465</v>
      </c>
      <c r="E409" s="79" t="s">
        <v>2492</v>
      </c>
      <c r="F409" s="82" t="str">
        <f t="shared" si="24"/>
        <v>insert into ins_premium_det (premium_rcv_code,assorted_code, rec_amount,premium_rcv_detail_code,remaining_amt, payrec, mode_code,coinsurance_code,class_cd,it_remarks) values</v>
      </c>
      <c r="G409" s="83" t="str">
        <f t="shared" si="25"/>
        <v>('24Sep240082','040000178771','17465',(select max(to_number(i.premium_rcv_detail_code))+1
from ins_premium_det i),'17465','17465','02', '11000003','00','Request by Mr. Omair Ali 25-Sep-2024 allocation no 24Sep240082 ');</v>
      </c>
      <c r="H409" s="84" t="str">
        <f t="shared" si="26"/>
        <v>insert into ins_premium_det (premium_rcv_code,assorted_code, rec_amount,premium_rcv_detail_code,remaining_amt, payrec, mode_code,coinsurance_code,class_cd,it_remarks) values('24Sep240082','040000178771','17465',(select max(to_number(i.premium_rcv_detail_code))+1
from ins_premium_det i),'17465','17465','02', '11000003','00','Request by Mr. Omair Ali 25-Sep-2024 allocation no 24Sep240082 ');</v>
      </c>
    </row>
    <row r="410" spans="1:8" ht="105" x14ac:dyDescent="0.25">
      <c r="A410" t="s">
        <v>522</v>
      </c>
      <c r="B410" s="80" t="str">
        <f>VLOOKUP(A410,[1]Sheet1!$B:$C,2,0)</f>
        <v>040000178772</v>
      </c>
      <c r="C410" s="46">
        <v>17465</v>
      </c>
      <c r="D410" s="81">
        <f t="shared" si="27"/>
        <v>17465</v>
      </c>
      <c r="E410" s="79" t="s">
        <v>2492</v>
      </c>
      <c r="F410" s="82" t="str">
        <f t="shared" si="24"/>
        <v>insert into ins_premium_det (premium_rcv_code,assorted_code, rec_amount,premium_rcv_detail_code,remaining_amt, payrec, mode_code,coinsurance_code,class_cd,it_remarks) values</v>
      </c>
      <c r="G410" s="83" t="str">
        <f t="shared" si="25"/>
        <v>('24Sep240082','040000178772','17465',(select max(to_number(i.premium_rcv_detail_code))+1
from ins_premium_det i),'17465','17465','02', '11000003','00','Request by Mr. Omair Ali 25-Sep-2024 allocation no 24Sep240082 ');</v>
      </c>
      <c r="H410" s="84" t="str">
        <f t="shared" si="26"/>
        <v>insert into ins_premium_det (premium_rcv_code,assorted_code, rec_amount,premium_rcv_detail_code,remaining_amt, payrec, mode_code,coinsurance_code,class_cd,it_remarks) values('24Sep240082','040000178772','17465',(select max(to_number(i.premium_rcv_detail_code))+1
from ins_premium_det i),'17465','17465','02', '11000003','00','Request by Mr. Omair Ali 25-Sep-2024 allocation no 24Sep240082 ');</v>
      </c>
    </row>
    <row r="411" spans="1:8" ht="105" x14ac:dyDescent="0.25">
      <c r="A411" t="s">
        <v>523</v>
      </c>
      <c r="B411" s="80" t="str">
        <f>VLOOKUP(A411,[1]Sheet1!$B:$C,2,0)</f>
        <v>040000178773</v>
      </c>
      <c r="C411" s="46">
        <v>8800</v>
      </c>
      <c r="D411" s="81">
        <f t="shared" si="27"/>
        <v>8800</v>
      </c>
      <c r="E411" s="79" t="s">
        <v>2492</v>
      </c>
      <c r="F411" s="82" t="str">
        <f t="shared" si="24"/>
        <v>insert into ins_premium_det (premium_rcv_code,assorted_code, rec_amount,premium_rcv_detail_code,remaining_amt, payrec, mode_code,coinsurance_code,class_cd,it_remarks) values</v>
      </c>
      <c r="G411" s="83" t="str">
        <f t="shared" si="25"/>
        <v>('24Sep240082','040000178773','8800',(select max(to_number(i.premium_rcv_detail_code))+1
from ins_premium_det i),'8800','8800','02', '11000003','00','Request by Mr. Omair Ali 25-Sep-2024 allocation no 24Sep240082 ');</v>
      </c>
      <c r="H411" s="84" t="str">
        <f t="shared" si="26"/>
        <v>insert into ins_premium_det (premium_rcv_code,assorted_code, rec_amount,premium_rcv_detail_code,remaining_amt, payrec, mode_code,coinsurance_code,class_cd,it_remarks) values('24Sep240082','040000178773','8800',(select max(to_number(i.premium_rcv_detail_code))+1
from ins_premium_det i),'8800','8800','02', '11000003','00','Request by Mr. Omair Ali 25-Sep-2024 allocation no 24Sep240082 ');</v>
      </c>
    </row>
    <row r="412" spans="1:8" ht="105" x14ac:dyDescent="0.25">
      <c r="A412" t="s">
        <v>524</v>
      </c>
      <c r="B412" s="80" t="str">
        <f>VLOOKUP(A412,[1]Sheet1!$B:$C,2,0)</f>
        <v>040000178775</v>
      </c>
      <c r="C412" s="46">
        <v>12320</v>
      </c>
      <c r="D412" s="81">
        <f t="shared" si="27"/>
        <v>12320</v>
      </c>
      <c r="E412" s="79" t="s">
        <v>2492</v>
      </c>
      <c r="F412" s="82" t="str">
        <f t="shared" si="24"/>
        <v>insert into ins_premium_det (premium_rcv_code,assorted_code, rec_amount,premium_rcv_detail_code,remaining_amt, payrec, mode_code,coinsurance_code,class_cd,it_remarks) values</v>
      </c>
      <c r="G412" s="83" t="str">
        <f t="shared" si="25"/>
        <v>('24Sep240082','040000178775','12320',(select max(to_number(i.premium_rcv_detail_code))+1
from ins_premium_det i),'12320','12320','02', '11000003','00','Request by Mr. Omair Ali 25-Sep-2024 allocation no 24Sep240082 ');</v>
      </c>
      <c r="H412" s="84" t="str">
        <f t="shared" si="26"/>
        <v>insert into ins_premium_det (premium_rcv_code,assorted_code, rec_amount,premium_rcv_detail_code,remaining_amt, payrec, mode_code,coinsurance_code,class_cd,it_remarks) values('24Sep240082','040000178775','12320',(select max(to_number(i.premium_rcv_detail_code))+1
from ins_premium_det i),'12320','12320','02', '11000003','00','Request by Mr. Omair Ali 25-Sep-2024 allocation no 24Sep240082 ');</v>
      </c>
    </row>
    <row r="413" spans="1:8" ht="105" x14ac:dyDescent="0.25">
      <c r="A413" t="s">
        <v>525</v>
      </c>
      <c r="B413" s="80" t="str">
        <f>VLOOKUP(A413,[1]Sheet1!$B:$C,2,0)</f>
        <v>040000178776</v>
      </c>
      <c r="C413" s="46">
        <v>12320</v>
      </c>
      <c r="D413" s="81">
        <f t="shared" si="27"/>
        <v>12320</v>
      </c>
      <c r="E413" s="79" t="s">
        <v>2492</v>
      </c>
      <c r="F413" s="82" t="str">
        <f t="shared" si="24"/>
        <v>insert into ins_premium_det (premium_rcv_code,assorted_code, rec_amount,premium_rcv_detail_code,remaining_amt, payrec, mode_code,coinsurance_code,class_cd,it_remarks) values</v>
      </c>
      <c r="G413" s="83" t="str">
        <f t="shared" si="25"/>
        <v>('24Sep240082','040000178776','12320',(select max(to_number(i.premium_rcv_detail_code))+1
from ins_premium_det i),'12320','12320','02', '11000003','00','Request by Mr. Omair Ali 25-Sep-2024 allocation no 24Sep240082 ');</v>
      </c>
      <c r="H413" s="84" t="str">
        <f t="shared" si="26"/>
        <v>insert into ins_premium_det (premium_rcv_code,assorted_code, rec_amount,premium_rcv_detail_code,remaining_amt, payrec, mode_code,coinsurance_code,class_cd,it_remarks) values('24Sep240082','040000178776','12320',(select max(to_number(i.premium_rcv_detail_code))+1
from ins_premium_det i),'12320','12320','02', '11000003','00','Request by Mr. Omair Ali 25-Sep-2024 allocation no 24Sep240082 ');</v>
      </c>
    </row>
    <row r="414" spans="1:8" ht="105" x14ac:dyDescent="0.25">
      <c r="A414" t="s">
        <v>526</v>
      </c>
      <c r="B414" s="80" t="str">
        <f>VLOOKUP(A414,[1]Sheet1!$B:$C,2,0)</f>
        <v>040000178777</v>
      </c>
      <c r="C414" s="46">
        <v>12320</v>
      </c>
      <c r="D414" s="81">
        <f t="shared" si="27"/>
        <v>12320</v>
      </c>
      <c r="E414" s="79" t="s">
        <v>2492</v>
      </c>
      <c r="F414" s="82" t="str">
        <f t="shared" si="24"/>
        <v>insert into ins_premium_det (premium_rcv_code,assorted_code, rec_amount,premium_rcv_detail_code,remaining_amt, payrec, mode_code,coinsurance_code,class_cd,it_remarks) values</v>
      </c>
      <c r="G414" s="83" t="str">
        <f t="shared" si="25"/>
        <v>('24Sep240082','040000178777','12320',(select max(to_number(i.premium_rcv_detail_code))+1
from ins_premium_det i),'12320','12320','02', '11000003','00','Request by Mr. Omair Ali 25-Sep-2024 allocation no 24Sep240082 ');</v>
      </c>
      <c r="H414" s="84" t="str">
        <f t="shared" si="26"/>
        <v>insert into ins_premium_det (premium_rcv_code,assorted_code, rec_amount,premium_rcv_detail_code,remaining_amt, payrec, mode_code,coinsurance_code,class_cd,it_remarks) values('24Sep240082','040000178777','12320',(select max(to_number(i.premium_rcv_detail_code))+1
from ins_premium_det i),'12320','12320','02', '11000003','00','Request by Mr. Omair Ali 25-Sep-2024 allocation no 24Sep240082 ');</v>
      </c>
    </row>
    <row r="415" spans="1:8" ht="105" x14ac:dyDescent="0.25">
      <c r="A415" t="s">
        <v>527</v>
      </c>
      <c r="B415" s="80" t="str">
        <f>VLOOKUP(A415,[1]Sheet1!$B:$C,2,0)</f>
        <v>040000178778</v>
      </c>
      <c r="C415" s="46">
        <v>12320</v>
      </c>
      <c r="D415" s="81">
        <f t="shared" si="27"/>
        <v>12320</v>
      </c>
      <c r="E415" s="79" t="s">
        <v>2492</v>
      </c>
      <c r="F415" s="82" t="str">
        <f t="shared" si="24"/>
        <v>insert into ins_premium_det (premium_rcv_code,assorted_code, rec_amount,premium_rcv_detail_code,remaining_amt, payrec, mode_code,coinsurance_code,class_cd,it_remarks) values</v>
      </c>
      <c r="G415" s="83" t="str">
        <f t="shared" si="25"/>
        <v>('24Sep240082','040000178778','12320',(select max(to_number(i.premium_rcv_detail_code))+1
from ins_premium_det i),'12320','12320','02', '11000003','00','Request by Mr. Omair Ali 25-Sep-2024 allocation no 24Sep240082 ');</v>
      </c>
      <c r="H415" s="84" t="str">
        <f t="shared" si="26"/>
        <v>insert into ins_premium_det (premium_rcv_code,assorted_code, rec_amount,premium_rcv_detail_code,remaining_amt, payrec, mode_code,coinsurance_code,class_cd,it_remarks) values('24Sep240082','040000178778','12320',(select max(to_number(i.premium_rcv_detail_code))+1
from ins_premium_det i),'12320','12320','02', '11000003','00','Request by Mr. Omair Ali 25-Sep-2024 allocation no 24Sep240082 ');</v>
      </c>
    </row>
    <row r="416" spans="1:8" ht="105" x14ac:dyDescent="0.25">
      <c r="A416" t="s">
        <v>528</v>
      </c>
      <c r="B416" s="80" t="str">
        <f>VLOOKUP(A416,[1]Sheet1!$B:$C,2,0)</f>
        <v>040000178782</v>
      </c>
      <c r="C416" s="46">
        <v>13370</v>
      </c>
      <c r="D416" s="81">
        <f t="shared" si="27"/>
        <v>13370</v>
      </c>
      <c r="E416" s="79" t="s">
        <v>2492</v>
      </c>
      <c r="F416" s="82" t="str">
        <f t="shared" si="24"/>
        <v>insert into ins_premium_det (premium_rcv_code,assorted_code, rec_amount,premium_rcv_detail_code,remaining_amt, payrec, mode_code,coinsurance_code,class_cd,it_remarks) values</v>
      </c>
      <c r="G416" s="83" t="str">
        <f t="shared" si="25"/>
        <v>('24Sep240082','040000178782','13370',(select max(to_number(i.premium_rcv_detail_code))+1
from ins_premium_det i),'13370','13370','02', '11000003','00','Request by Mr. Omair Ali 25-Sep-2024 allocation no 24Sep240082 ');</v>
      </c>
      <c r="H416" s="84" t="str">
        <f t="shared" si="26"/>
        <v>insert into ins_premium_det (premium_rcv_code,assorted_code, rec_amount,premium_rcv_detail_code,remaining_amt, payrec, mode_code,coinsurance_code,class_cd,it_remarks) values('24Sep240082','040000178782','13370',(select max(to_number(i.premium_rcv_detail_code))+1
from ins_premium_det i),'13370','13370','02', '11000003','00','Request by Mr. Omair Ali 25-Sep-2024 allocation no 24Sep240082 ');</v>
      </c>
    </row>
    <row r="417" spans="1:8" ht="105" x14ac:dyDescent="0.25">
      <c r="A417" t="s">
        <v>529</v>
      </c>
      <c r="B417" s="80" t="str">
        <f>VLOOKUP(A417,[1]Sheet1!$B:$C,2,0)</f>
        <v>040000178783</v>
      </c>
      <c r="C417" s="46">
        <v>13370</v>
      </c>
      <c r="D417" s="81">
        <f t="shared" si="27"/>
        <v>13370</v>
      </c>
      <c r="E417" s="79" t="s">
        <v>2492</v>
      </c>
      <c r="F417" s="82" t="str">
        <f t="shared" si="24"/>
        <v>insert into ins_premium_det (premium_rcv_code,assorted_code, rec_amount,premium_rcv_detail_code,remaining_amt, payrec, mode_code,coinsurance_code,class_cd,it_remarks) values</v>
      </c>
      <c r="G417" s="83" t="str">
        <f t="shared" si="25"/>
        <v>('24Sep240082','040000178783','13370',(select max(to_number(i.premium_rcv_detail_code))+1
from ins_premium_det i),'13370','13370','02', '11000003','00','Request by Mr. Omair Ali 25-Sep-2024 allocation no 24Sep240082 ');</v>
      </c>
      <c r="H417" s="84" t="str">
        <f t="shared" si="26"/>
        <v>insert into ins_premium_det (premium_rcv_code,assorted_code, rec_amount,premium_rcv_detail_code,remaining_amt, payrec, mode_code,coinsurance_code,class_cd,it_remarks) values('24Sep240082','040000178783','13370',(select max(to_number(i.premium_rcv_detail_code))+1
from ins_premium_det i),'13370','13370','02', '11000003','00','Request by Mr. Omair Ali 25-Sep-2024 allocation no 24Sep240082 ');</v>
      </c>
    </row>
    <row r="418" spans="1:8" ht="105" x14ac:dyDescent="0.25">
      <c r="A418" t="s">
        <v>530</v>
      </c>
      <c r="B418" s="80" t="str">
        <f>VLOOKUP(A418,[1]Sheet1!$B:$C,2,0)</f>
        <v>040000178785</v>
      </c>
      <c r="C418" s="46">
        <v>8800</v>
      </c>
      <c r="D418" s="81">
        <f t="shared" si="27"/>
        <v>8800</v>
      </c>
      <c r="E418" s="79" t="s">
        <v>2492</v>
      </c>
      <c r="F418" s="82" t="str">
        <f t="shared" si="24"/>
        <v>insert into ins_premium_det (premium_rcv_code,assorted_code, rec_amount,premium_rcv_detail_code,remaining_amt, payrec, mode_code,coinsurance_code,class_cd,it_remarks) values</v>
      </c>
      <c r="G418" s="83" t="str">
        <f t="shared" si="25"/>
        <v>('24Sep240082','040000178785','8800',(select max(to_number(i.premium_rcv_detail_code))+1
from ins_premium_det i),'8800','8800','02', '11000003','00','Request by Mr. Omair Ali 25-Sep-2024 allocation no 24Sep240082 ');</v>
      </c>
      <c r="H418" s="84" t="str">
        <f t="shared" si="26"/>
        <v>insert into ins_premium_det (premium_rcv_code,assorted_code, rec_amount,premium_rcv_detail_code,remaining_amt, payrec, mode_code,coinsurance_code,class_cd,it_remarks) values('24Sep240082','040000178785','8800',(select max(to_number(i.premium_rcv_detail_code))+1
from ins_premium_det i),'8800','8800','02', '11000003','00','Request by Mr. Omair Ali 25-Sep-2024 allocation no 24Sep240082 ');</v>
      </c>
    </row>
    <row r="419" spans="1:8" ht="105" x14ac:dyDescent="0.25">
      <c r="A419" t="s">
        <v>531</v>
      </c>
      <c r="B419" s="80" t="str">
        <f>VLOOKUP(A419,[1]Sheet1!$B:$C,2,0)</f>
        <v>040000178787</v>
      </c>
      <c r="C419" s="46">
        <v>8800</v>
      </c>
      <c r="D419" s="81">
        <f t="shared" si="27"/>
        <v>8800</v>
      </c>
      <c r="E419" s="79" t="s">
        <v>2492</v>
      </c>
      <c r="F419" s="82" t="str">
        <f t="shared" si="24"/>
        <v>insert into ins_premium_det (premium_rcv_code,assorted_code, rec_amount,premium_rcv_detail_code,remaining_amt, payrec, mode_code,coinsurance_code,class_cd,it_remarks) values</v>
      </c>
      <c r="G419" s="83" t="str">
        <f t="shared" si="25"/>
        <v>('24Sep240082','040000178787','8800',(select max(to_number(i.premium_rcv_detail_code))+1
from ins_premium_det i),'8800','8800','02', '11000003','00','Request by Mr. Omair Ali 25-Sep-2024 allocation no 24Sep240082 ');</v>
      </c>
      <c r="H419" s="84" t="str">
        <f t="shared" si="26"/>
        <v>insert into ins_premium_det (premium_rcv_code,assorted_code, rec_amount,premium_rcv_detail_code,remaining_amt, payrec, mode_code,coinsurance_code,class_cd,it_remarks) values('24Sep240082','040000178787','8800',(select max(to_number(i.premium_rcv_detail_code))+1
from ins_premium_det i),'8800','8800','02', '11000003','00','Request by Mr. Omair Ali 25-Sep-2024 allocation no 24Sep240082 ');</v>
      </c>
    </row>
    <row r="420" spans="1:8" ht="105" x14ac:dyDescent="0.25">
      <c r="A420" t="s">
        <v>532</v>
      </c>
      <c r="B420" s="80" t="str">
        <f>VLOOKUP(A420,[1]Sheet1!$B:$C,2,0)</f>
        <v>040000178788</v>
      </c>
      <c r="C420" s="46">
        <v>13370</v>
      </c>
      <c r="D420" s="81">
        <f t="shared" si="27"/>
        <v>13370</v>
      </c>
      <c r="E420" s="79" t="s">
        <v>2492</v>
      </c>
      <c r="F420" s="82" t="str">
        <f t="shared" si="24"/>
        <v>insert into ins_premium_det (premium_rcv_code,assorted_code, rec_amount,premium_rcv_detail_code,remaining_amt, payrec, mode_code,coinsurance_code,class_cd,it_remarks) values</v>
      </c>
      <c r="G420" s="83" t="str">
        <f t="shared" si="25"/>
        <v>('24Sep240082','040000178788','13370',(select max(to_number(i.premium_rcv_detail_code))+1
from ins_premium_det i),'13370','13370','02', '11000003','00','Request by Mr. Omair Ali 25-Sep-2024 allocation no 24Sep240082 ');</v>
      </c>
      <c r="H420" s="84" t="str">
        <f t="shared" si="26"/>
        <v>insert into ins_premium_det (premium_rcv_code,assorted_code, rec_amount,premium_rcv_detail_code,remaining_amt, payrec, mode_code,coinsurance_code,class_cd,it_remarks) values('24Sep240082','040000178788','13370',(select max(to_number(i.premium_rcv_detail_code))+1
from ins_premium_det i),'13370','13370','02', '11000003','00','Request by Mr. Omair Ali 25-Sep-2024 allocation no 24Sep240082 ');</v>
      </c>
    </row>
    <row r="421" spans="1:8" ht="105" x14ac:dyDescent="0.25">
      <c r="A421" t="s">
        <v>533</v>
      </c>
      <c r="B421" s="80" t="str">
        <f>VLOOKUP(A421,[1]Sheet1!$B:$C,2,0)</f>
        <v>040000178789</v>
      </c>
      <c r="C421" s="46">
        <v>13370</v>
      </c>
      <c r="D421" s="81">
        <f t="shared" si="27"/>
        <v>13370</v>
      </c>
      <c r="E421" s="79" t="s">
        <v>2492</v>
      </c>
      <c r="F421" s="82" t="str">
        <f t="shared" si="24"/>
        <v>insert into ins_premium_det (premium_rcv_code,assorted_code, rec_amount,premium_rcv_detail_code,remaining_amt, payrec, mode_code,coinsurance_code,class_cd,it_remarks) values</v>
      </c>
      <c r="G421" s="83" t="str">
        <f t="shared" si="25"/>
        <v>('24Sep240082','040000178789','13370',(select max(to_number(i.premium_rcv_detail_code))+1
from ins_premium_det i),'13370','13370','02', '11000003','00','Request by Mr. Omair Ali 25-Sep-2024 allocation no 24Sep240082 ');</v>
      </c>
      <c r="H421" s="84" t="str">
        <f t="shared" si="26"/>
        <v>insert into ins_premium_det (premium_rcv_code,assorted_code, rec_amount,premium_rcv_detail_code,remaining_amt, payrec, mode_code,coinsurance_code,class_cd,it_remarks) values('24Sep240082','040000178789','13370',(select max(to_number(i.premium_rcv_detail_code))+1
from ins_premium_det i),'13370','13370','02', '11000003','00','Request by Mr. Omair Ali 25-Sep-2024 allocation no 24Sep240082 ');</v>
      </c>
    </row>
    <row r="422" spans="1:8" ht="105" x14ac:dyDescent="0.25">
      <c r="A422" t="s">
        <v>534</v>
      </c>
      <c r="B422" s="80" t="str">
        <f>VLOOKUP(A422,[1]Sheet1!$B:$C,2,0)</f>
        <v>040000178790</v>
      </c>
      <c r="C422" s="46">
        <v>8800</v>
      </c>
      <c r="D422" s="81">
        <f t="shared" si="27"/>
        <v>8800</v>
      </c>
      <c r="E422" s="79" t="s">
        <v>2492</v>
      </c>
      <c r="F422" s="82" t="str">
        <f t="shared" si="24"/>
        <v>insert into ins_premium_det (premium_rcv_code,assorted_code, rec_amount,premium_rcv_detail_code,remaining_amt, payrec, mode_code,coinsurance_code,class_cd,it_remarks) values</v>
      </c>
      <c r="G422" s="83" t="str">
        <f t="shared" si="25"/>
        <v>('24Sep240082','040000178790','8800',(select max(to_number(i.premium_rcv_detail_code))+1
from ins_premium_det i),'8800','8800','02', '11000003','00','Request by Mr. Omair Ali 25-Sep-2024 allocation no 24Sep240082 ');</v>
      </c>
      <c r="H422" s="84" t="str">
        <f t="shared" si="26"/>
        <v>insert into ins_premium_det (premium_rcv_code,assorted_code, rec_amount,premium_rcv_detail_code,remaining_amt, payrec, mode_code,coinsurance_code,class_cd,it_remarks) values('24Sep240082','040000178790','8800',(select max(to_number(i.premium_rcv_detail_code))+1
from ins_premium_det i),'8800','8800','02', '11000003','00','Request by Mr. Omair Ali 25-Sep-2024 allocation no 24Sep240082 ');</v>
      </c>
    </row>
    <row r="423" spans="1:8" ht="105" x14ac:dyDescent="0.25">
      <c r="A423" t="s">
        <v>535</v>
      </c>
      <c r="B423" s="80" t="str">
        <f>VLOOKUP(A423,[1]Sheet1!$B:$C,2,0)</f>
        <v>040000178794</v>
      </c>
      <c r="C423" s="46">
        <v>17465</v>
      </c>
      <c r="D423" s="81">
        <f t="shared" si="27"/>
        <v>17465</v>
      </c>
      <c r="E423" s="79" t="s">
        <v>2492</v>
      </c>
      <c r="F423" s="82" t="str">
        <f t="shared" si="24"/>
        <v>insert into ins_premium_det (premium_rcv_code,assorted_code, rec_amount,premium_rcv_detail_code,remaining_amt, payrec, mode_code,coinsurance_code,class_cd,it_remarks) values</v>
      </c>
      <c r="G423" s="83" t="str">
        <f t="shared" si="25"/>
        <v>('24Sep240082','040000178794','17465',(select max(to_number(i.premium_rcv_detail_code))+1
from ins_premium_det i),'17465','17465','02', '11000003','00','Request by Mr. Omair Ali 25-Sep-2024 allocation no 24Sep240082 ');</v>
      </c>
      <c r="H423" s="84" t="str">
        <f t="shared" si="26"/>
        <v>insert into ins_premium_det (premium_rcv_code,assorted_code, rec_amount,premium_rcv_detail_code,remaining_amt, payrec, mode_code,coinsurance_code,class_cd,it_remarks) values('24Sep240082','040000178794','17465',(select max(to_number(i.premium_rcv_detail_code))+1
from ins_premium_det i),'17465','17465','02', '11000003','00','Request by Mr. Omair Ali 25-Sep-2024 allocation no 24Sep240082 ');</v>
      </c>
    </row>
    <row r="424" spans="1:8" ht="105" x14ac:dyDescent="0.25">
      <c r="A424" t="s">
        <v>536</v>
      </c>
      <c r="B424" s="80" t="str">
        <f>VLOOKUP(A424,[1]Sheet1!$B:$C,2,0)</f>
        <v>040000178795</v>
      </c>
      <c r="C424" s="46">
        <v>17465</v>
      </c>
      <c r="D424" s="81">
        <f t="shared" si="27"/>
        <v>17465</v>
      </c>
      <c r="E424" s="79" t="s">
        <v>2492</v>
      </c>
      <c r="F424" s="82" t="str">
        <f t="shared" si="24"/>
        <v>insert into ins_premium_det (premium_rcv_code,assorted_code, rec_amount,premium_rcv_detail_code,remaining_amt, payrec, mode_code,coinsurance_code,class_cd,it_remarks) values</v>
      </c>
      <c r="G424" s="83" t="str">
        <f t="shared" si="25"/>
        <v>('24Sep240082','040000178795','17465',(select max(to_number(i.premium_rcv_detail_code))+1
from ins_premium_det i),'17465','17465','02', '11000003','00','Request by Mr. Omair Ali 25-Sep-2024 allocation no 24Sep240082 ');</v>
      </c>
      <c r="H424" s="84" t="str">
        <f t="shared" si="26"/>
        <v>insert into ins_premium_det (premium_rcv_code,assorted_code, rec_amount,premium_rcv_detail_code,remaining_amt, payrec, mode_code,coinsurance_code,class_cd,it_remarks) values('24Sep240082','040000178795','17465',(select max(to_number(i.premium_rcv_detail_code))+1
from ins_premium_det i),'17465','17465','02', '11000003','00','Request by Mr. Omair Ali 25-Sep-2024 allocation no 24Sep240082 ');</v>
      </c>
    </row>
    <row r="425" spans="1:8" ht="105" x14ac:dyDescent="0.25">
      <c r="A425" t="s">
        <v>537</v>
      </c>
      <c r="B425" s="80" t="str">
        <f>VLOOKUP(A425,[1]Sheet1!$B:$C,2,0)</f>
        <v>040000178797</v>
      </c>
      <c r="C425" s="46">
        <v>8800</v>
      </c>
      <c r="D425" s="81">
        <f t="shared" si="27"/>
        <v>8800</v>
      </c>
      <c r="E425" s="79" t="s">
        <v>2492</v>
      </c>
      <c r="F425" s="82" t="str">
        <f t="shared" si="24"/>
        <v>insert into ins_premium_det (premium_rcv_code,assorted_code, rec_amount,premium_rcv_detail_code,remaining_amt, payrec, mode_code,coinsurance_code,class_cd,it_remarks) values</v>
      </c>
      <c r="G425" s="83" t="str">
        <f t="shared" si="25"/>
        <v>('24Sep240082','040000178797','8800',(select max(to_number(i.premium_rcv_detail_code))+1
from ins_premium_det i),'8800','8800','02', '11000003','00','Request by Mr. Omair Ali 25-Sep-2024 allocation no 24Sep240082 ');</v>
      </c>
      <c r="H425" s="84" t="str">
        <f t="shared" si="26"/>
        <v>insert into ins_premium_det (premium_rcv_code,assorted_code, rec_amount,premium_rcv_detail_code,remaining_amt, payrec, mode_code,coinsurance_code,class_cd,it_remarks) values('24Sep240082','040000178797','8800',(select max(to_number(i.premium_rcv_detail_code))+1
from ins_premium_det i),'8800','8800','02', '11000003','00','Request by Mr. Omair Ali 25-Sep-2024 allocation no 24Sep240082 ');</v>
      </c>
    </row>
    <row r="426" spans="1:8" ht="105" x14ac:dyDescent="0.25">
      <c r="A426" t="s">
        <v>538</v>
      </c>
      <c r="B426" s="80" t="str">
        <f>VLOOKUP(A426,[1]Sheet1!$B:$C,2,0)</f>
        <v>040000178798</v>
      </c>
      <c r="C426" s="46">
        <v>13370</v>
      </c>
      <c r="D426" s="81">
        <f t="shared" si="27"/>
        <v>13370</v>
      </c>
      <c r="E426" s="79" t="s">
        <v>2492</v>
      </c>
      <c r="F426" s="82" t="str">
        <f t="shared" si="24"/>
        <v>insert into ins_premium_det (premium_rcv_code,assorted_code, rec_amount,premium_rcv_detail_code,remaining_amt, payrec, mode_code,coinsurance_code,class_cd,it_remarks) values</v>
      </c>
      <c r="G426" s="83" t="str">
        <f t="shared" si="25"/>
        <v>('24Sep240082','040000178798','13370',(select max(to_number(i.premium_rcv_detail_code))+1
from ins_premium_det i),'13370','13370','02', '11000003','00','Request by Mr. Omair Ali 25-Sep-2024 allocation no 24Sep240082 ');</v>
      </c>
      <c r="H426" s="84" t="str">
        <f t="shared" si="26"/>
        <v>insert into ins_premium_det (premium_rcv_code,assorted_code, rec_amount,premium_rcv_detail_code,remaining_amt, payrec, mode_code,coinsurance_code,class_cd,it_remarks) values('24Sep240082','040000178798','13370',(select max(to_number(i.premium_rcv_detail_code))+1
from ins_premium_det i),'13370','13370','02', '11000003','00','Request by Mr. Omair Ali 25-Sep-2024 allocation no 24Sep240082 ');</v>
      </c>
    </row>
    <row r="427" spans="1:8" ht="105" x14ac:dyDescent="0.25">
      <c r="A427" t="s">
        <v>539</v>
      </c>
      <c r="B427" s="80" t="str">
        <f>VLOOKUP(A427,[1]Sheet1!$B:$C,2,0)</f>
        <v>040000178799</v>
      </c>
      <c r="C427" s="46">
        <v>13370</v>
      </c>
      <c r="D427" s="81">
        <f t="shared" si="27"/>
        <v>13370</v>
      </c>
      <c r="E427" s="79" t="s">
        <v>2492</v>
      </c>
      <c r="F427" s="82" t="str">
        <f t="shared" si="24"/>
        <v>insert into ins_premium_det (premium_rcv_code,assorted_code, rec_amount,premium_rcv_detail_code,remaining_amt, payrec, mode_code,coinsurance_code,class_cd,it_remarks) values</v>
      </c>
      <c r="G427" s="83" t="str">
        <f t="shared" si="25"/>
        <v>('24Sep240082','040000178799','13370',(select max(to_number(i.premium_rcv_detail_code))+1
from ins_premium_det i),'13370','13370','02', '11000003','00','Request by Mr. Omair Ali 25-Sep-2024 allocation no 24Sep240082 ');</v>
      </c>
      <c r="H427" s="84" t="str">
        <f t="shared" si="26"/>
        <v>insert into ins_premium_det (premium_rcv_code,assorted_code, rec_amount,premium_rcv_detail_code,remaining_amt, payrec, mode_code,coinsurance_code,class_cd,it_remarks) values('24Sep240082','040000178799','13370',(select max(to_number(i.premium_rcv_detail_code))+1
from ins_premium_det i),'13370','13370','02', '11000003','00','Request by Mr. Omair Ali 25-Sep-2024 allocation no 24Sep240082 ');</v>
      </c>
    </row>
    <row r="428" spans="1:8" ht="105" x14ac:dyDescent="0.25">
      <c r="A428" t="s">
        <v>540</v>
      </c>
      <c r="B428" s="80" t="str">
        <f>VLOOKUP(A428,[1]Sheet1!$B:$C,2,0)</f>
        <v>040000178800</v>
      </c>
      <c r="C428" s="46">
        <v>17465</v>
      </c>
      <c r="D428" s="81">
        <f t="shared" si="27"/>
        <v>17465</v>
      </c>
      <c r="E428" s="79" t="s">
        <v>2492</v>
      </c>
      <c r="F428" s="82" t="str">
        <f t="shared" si="24"/>
        <v>insert into ins_premium_det (premium_rcv_code,assorted_code, rec_amount,premium_rcv_detail_code,remaining_amt, payrec, mode_code,coinsurance_code,class_cd,it_remarks) values</v>
      </c>
      <c r="G428" s="83" t="str">
        <f t="shared" si="25"/>
        <v>('24Sep240082','040000178800','17465',(select max(to_number(i.premium_rcv_detail_code))+1
from ins_premium_det i),'17465','17465','02', '11000003','00','Request by Mr. Omair Ali 25-Sep-2024 allocation no 24Sep240082 ');</v>
      </c>
      <c r="H428" s="84" t="str">
        <f t="shared" si="26"/>
        <v>insert into ins_premium_det (premium_rcv_code,assorted_code, rec_amount,premium_rcv_detail_code,remaining_amt, payrec, mode_code,coinsurance_code,class_cd,it_remarks) values('24Sep240082','040000178800','17465',(select max(to_number(i.premium_rcv_detail_code))+1
from ins_premium_det i),'17465','17465','02', '11000003','00','Request by Mr. Omair Ali 25-Sep-2024 allocation no 24Sep240082 ');</v>
      </c>
    </row>
    <row r="429" spans="1:8" ht="105" x14ac:dyDescent="0.25">
      <c r="A429" t="s">
        <v>541</v>
      </c>
      <c r="B429" s="80" t="str">
        <f>VLOOKUP(A429,[1]Sheet1!$B:$C,2,0)</f>
        <v>040000178801</v>
      </c>
      <c r="C429" s="46">
        <v>17465</v>
      </c>
      <c r="D429" s="81">
        <f t="shared" si="27"/>
        <v>17465</v>
      </c>
      <c r="E429" s="79" t="s">
        <v>2492</v>
      </c>
      <c r="F429" s="82" t="str">
        <f t="shared" si="24"/>
        <v>insert into ins_premium_det (premium_rcv_code,assorted_code, rec_amount,premium_rcv_detail_code,remaining_amt, payrec, mode_code,coinsurance_code,class_cd,it_remarks) values</v>
      </c>
      <c r="G429" s="83" t="str">
        <f t="shared" si="25"/>
        <v>('24Sep240082','040000178801','17465',(select max(to_number(i.premium_rcv_detail_code))+1
from ins_premium_det i),'17465','17465','02', '11000003','00','Request by Mr. Omair Ali 25-Sep-2024 allocation no 24Sep240082 ');</v>
      </c>
      <c r="H429" s="84" t="str">
        <f t="shared" si="26"/>
        <v>insert into ins_premium_det (premium_rcv_code,assorted_code, rec_amount,premium_rcv_detail_code,remaining_amt, payrec, mode_code,coinsurance_code,class_cd,it_remarks) values('24Sep240082','040000178801','17465',(select max(to_number(i.premium_rcv_detail_code))+1
from ins_premium_det i),'17465','17465','02', '11000003','00','Request by Mr. Omair Ali 25-Sep-2024 allocation no 24Sep240082 ');</v>
      </c>
    </row>
    <row r="430" spans="1:8" ht="105" x14ac:dyDescent="0.25">
      <c r="A430" t="s">
        <v>542</v>
      </c>
      <c r="B430" s="80" t="str">
        <f>VLOOKUP(A430,[1]Sheet1!$B:$C,2,0)</f>
        <v>040000178803</v>
      </c>
      <c r="C430" s="46">
        <v>12320</v>
      </c>
      <c r="D430" s="81">
        <f t="shared" si="27"/>
        <v>12320</v>
      </c>
      <c r="E430" s="79" t="s">
        <v>2492</v>
      </c>
      <c r="F430" s="82" t="str">
        <f t="shared" si="24"/>
        <v>insert into ins_premium_det (premium_rcv_code,assorted_code, rec_amount,premium_rcv_detail_code,remaining_amt, payrec, mode_code,coinsurance_code,class_cd,it_remarks) values</v>
      </c>
      <c r="G430" s="83" t="str">
        <f t="shared" si="25"/>
        <v>('24Sep240082','040000178803','12320',(select max(to_number(i.premium_rcv_detail_code))+1
from ins_premium_det i),'12320','12320','02', '11000003','00','Request by Mr. Omair Ali 25-Sep-2024 allocation no 24Sep240082 ');</v>
      </c>
      <c r="H430" s="84" t="str">
        <f t="shared" si="26"/>
        <v>insert into ins_premium_det (premium_rcv_code,assorted_code, rec_amount,premium_rcv_detail_code,remaining_amt, payrec, mode_code,coinsurance_code,class_cd,it_remarks) values('24Sep240082','040000178803','12320',(select max(to_number(i.premium_rcv_detail_code))+1
from ins_premium_det i),'12320','12320','02', '11000003','00','Request by Mr. Omair Ali 25-Sep-2024 allocation no 24Sep240082 ');</v>
      </c>
    </row>
    <row r="431" spans="1:8" ht="105" x14ac:dyDescent="0.25">
      <c r="A431" t="s">
        <v>543</v>
      </c>
      <c r="B431" s="80" t="str">
        <f>VLOOKUP(A431,[1]Sheet1!$B:$C,2,0)</f>
        <v>040000178804</v>
      </c>
      <c r="C431" s="46">
        <v>12320</v>
      </c>
      <c r="D431" s="81">
        <f t="shared" si="27"/>
        <v>12320</v>
      </c>
      <c r="E431" s="79" t="s">
        <v>2492</v>
      </c>
      <c r="F431" s="82" t="str">
        <f t="shared" si="24"/>
        <v>insert into ins_premium_det (premium_rcv_code,assorted_code, rec_amount,premium_rcv_detail_code,remaining_amt, payrec, mode_code,coinsurance_code,class_cd,it_remarks) values</v>
      </c>
      <c r="G431" s="83" t="str">
        <f t="shared" si="25"/>
        <v>('24Sep240082','040000178804','12320',(select max(to_number(i.premium_rcv_detail_code))+1
from ins_premium_det i),'12320','12320','02', '11000003','00','Request by Mr. Omair Ali 25-Sep-2024 allocation no 24Sep240082 ');</v>
      </c>
      <c r="H431" s="84" t="str">
        <f t="shared" si="26"/>
        <v>insert into ins_premium_det (premium_rcv_code,assorted_code, rec_amount,premium_rcv_detail_code,remaining_amt, payrec, mode_code,coinsurance_code,class_cd,it_remarks) values('24Sep240082','040000178804','12320',(select max(to_number(i.premium_rcv_detail_code))+1
from ins_premium_det i),'12320','12320','02', '11000003','00','Request by Mr. Omair Ali 25-Sep-2024 allocation no 24Sep240082 ');</v>
      </c>
    </row>
    <row r="432" spans="1:8" ht="105" x14ac:dyDescent="0.25">
      <c r="A432" t="s">
        <v>544</v>
      </c>
      <c r="B432" s="80" t="str">
        <f>VLOOKUP(A432,[1]Sheet1!$B:$C,2,0)</f>
        <v>040000178805</v>
      </c>
      <c r="C432" s="46">
        <v>19145</v>
      </c>
      <c r="D432" s="81">
        <f t="shared" si="27"/>
        <v>19145</v>
      </c>
      <c r="E432" s="79" t="s">
        <v>2492</v>
      </c>
      <c r="F432" s="82" t="str">
        <f t="shared" si="24"/>
        <v>insert into ins_premium_det (premium_rcv_code,assorted_code, rec_amount,premium_rcv_detail_code,remaining_amt, payrec, mode_code,coinsurance_code,class_cd,it_remarks) values</v>
      </c>
      <c r="G432" s="83" t="str">
        <f t="shared" si="25"/>
        <v>('24Sep240082','040000178805','19145',(select max(to_number(i.premium_rcv_detail_code))+1
from ins_premium_det i),'19145','19145','02', '11000003','00','Request by Mr. Omair Ali 25-Sep-2024 allocation no 24Sep240082 ');</v>
      </c>
      <c r="H432" s="84" t="str">
        <f t="shared" si="26"/>
        <v>insert into ins_premium_det (premium_rcv_code,assorted_code, rec_amount,premium_rcv_detail_code,remaining_amt, payrec, mode_code,coinsurance_code,class_cd,it_remarks) values('24Sep240082','040000178805','19145',(select max(to_number(i.premium_rcv_detail_code))+1
from ins_premium_det i),'19145','19145','02', '11000003','00','Request by Mr. Omair Ali 25-Sep-2024 allocation no 24Sep240082 ');</v>
      </c>
    </row>
    <row r="433" spans="1:8" ht="105" x14ac:dyDescent="0.25">
      <c r="A433" t="s">
        <v>545</v>
      </c>
      <c r="B433" s="80" t="str">
        <f>VLOOKUP(A433,[1]Sheet1!$B:$C,2,0)</f>
        <v>040000178806</v>
      </c>
      <c r="C433" s="46">
        <v>19145</v>
      </c>
      <c r="D433" s="81">
        <f t="shared" si="27"/>
        <v>19145</v>
      </c>
      <c r="E433" s="79" t="s">
        <v>2492</v>
      </c>
      <c r="F433" s="82" t="str">
        <f t="shared" si="24"/>
        <v>insert into ins_premium_det (premium_rcv_code,assorted_code, rec_amount,premium_rcv_detail_code,remaining_amt, payrec, mode_code,coinsurance_code,class_cd,it_remarks) values</v>
      </c>
      <c r="G433" s="83" t="str">
        <f t="shared" si="25"/>
        <v>('24Sep240082','040000178806','19145',(select max(to_number(i.premium_rcv_detail_code))+1
from ins_premium_det i),'19145','19145','02', '11000003','00','Request by Mr. Omair Ali 25-Sep-2024 allocation no 24Sep240082 ');</v>
      </c>
      <c r="H433" s="84" t="str">
        <f t="shared" si="26"/>
        <v>insert into ins_premium_det (premium_rcv_code,assorted_code, rec_amount,premium_rcv_detail_code,remaining_amt, payrec, mode_code,coinsurance_code,class_cd,it_remarks) values('24Sep240082','040000178806','19145',(select max(to_number(i.premium_rcv_detail_code))+1
from ins_premium_det i),'19145','19145','02', '11000003','00','Request by Mr. Omair Ali 25-Sep-2024 allocation no 24Sep240082 ');</v>
      </c>
    </row>
    <row r="434" spans="1:8" ht="105" x14ac:dyDescent="0.25">
      <c r="A434" t="s">
        <v>546</v>
      </c>
      <c r="B434" s="80" t="str">
        <f>VLOOKUP(A434,[1]Sheet1!$B:$C,2,0)</f>
        <v>040000178808</v>
      </c>
      <c r="C434" s="46">
        <v>12320</v>
      </c>
      <c r="D434" s="81">
        <f t="shared" si="27"/>
        <v>12320</v>
      </c>
      <c r="E434" s="79" t="s">
        <v>2492</v>
      </c>
      <c r="F434" s="82" t="str">
        <f t="shared" si="24"/>
        <v>insert into ins_premium_det (premium_rcv_code,assorted_code, rec_amount,premium_rcv_detail_code,remaining_amt, payrec, mode_code,coinsurance_code,class_cd,it_remarks) values</v>
      </c>
      <c r="G434" s="83" t="str">
        <f t="shared" si="25"/>
        <v>('24Sep240082','040000178808','12320',(select max(to_number(i.premium_rcv_detail_code))+1
from ins_premium_det i),'12320','12320','02', '11000003','00','Request by Mr. Omair Ali 25-Sep-2024 allocation no 24Sep240082 ');</v>
      </c>
      <c r="H434" s="84" t="str">
        <f t="shared" si="26"/>
        <v>insert into ins_premium_det (premium_rcv_code,assorted_code, rec_amount,premium_rcv_detail_code,remaining_amt, payrec, mode_code,coinsurance_code,class_cd,it_remarks) values('24Sep240082','040000178808','12320',(select max(to_number(i.premium_rcv_detail_code))+1
from ins_premium_det i),'12320','12320','02', '11000003','00','Request by Mr. Omair Ali 25-Sep-2024 allocation no 24Sep240082 ');</v>
      </c>
    </row>
    <row r="435" spans="1:8" ht="105" x14ac:dyDescent="0.25">
      <c r="A435" t="s">
        <v>547</v>
      </c>
      <c r="B435" s="80" t="str">
        <f>VLOOKUP(A435,[1]Sheet1!$B:$C,2,0)</f>
        <v>040000178813</v>
      </c>
      <c r="C435" s="46">
        <v>19145</v>
      </c>
      <c r="D435" s="81">
        <f t="shared" si="27"/>
        <v>19145</v>
      </c>
      <c r="E435" s="79" t="s">
        <v>2492</v>
      </c>
      <c r="F435" s="82" t="str">
        <f t="shared" si="24"/>
        <v>insert into ins_premium_det (premium_rcv_code,assorted_code, rec_amount,premium_rcv_detail_code,remaining_amt, payrec, mode_code,coinsurance_code,class_cd,it_remarks) values</v>
      </c>
      <c r="G435" s="83" t="str">
        <f t="shared" si="25"/>
        <v>('24Sep240082','040000178813','19145',(select max(to_number(i.premium_rcv_detail_code))+1
from ins_premium_det i),'19145','19145','02', '11000003','00','Request by Mr. Omair Ali 25-Sep-2024 allocation no 24Sep240082 ');</v>
      </c>
      <c r="H435" s="84" t="str">
        <f t="shared" si="26"/>
        <v>insert into ins_premium_det (premium_rcv_code,assorted_code, rec_amount,premium_rcv_detail_code,remaining_amt, payrec, mode_code,coinsurance_code,class_cd,it_remarks) values('24Sep240082','040000178813','19145',(select max(to_number(i.premium_rcv_detail_code))+1
from ins_premium_det i),'19145','19145','02', '11000003','00','Request by Mr. Omair Ali 25-Sep-2024 allocation no 24Sep240082 ');</v>
      </c>
    </row>
    <row r="436" spans="1:8" ht="105" x14ac:dyDescent="0.25">
      <c r="A436" t="s">
        <v>548</v>
      </c>
      <c r="B436" s="80" t="str">
        <f>VLOOKUP(A436,[1]Sheet1!$B:$C,2,0)</f>
        <v>040000178814</v>
      </c>
      <c r="C436" s="46">
        <v>19145</v>
      </c>
      <c r="D436" s="81">
        <f t="shared" si="27"/>
        <v>19145</v>
      </c>
      <c r="E436" s="79" t="s">
        <v>2492</v>
      </c>
      <c r="F436" s="82" t="str">
        <f t="shared" si="24"/>
        <v>insert into ins_premium_det (premium_rcv_code,assorted_code, rec_amount,premium_rcv_detail_code,remaining_amt, payrec, mode_code,coinsurance_code,class_cd,it_remarks) values</v>
      </c>
      <c r="G436" s="83" t="str">
        <f t="shared" si="25"/>
        <v>('24Sep240082','040000178814','19145',(select max(to_number(i.premium_rcv_detail_code))+1
from ins_premium_det i),'19145','19145','02', '11000003','00','Request by Mr. Omair Ali 25-Sep-2024 allocation no 24Sep240082 ');</v>
      </c>
      <c r="H436" s="84" t="str">
        <f t="shared" si="26"/>
        <v>insert into ins_premium_det (premium_rcv_code,assorted_code, rec_amount,premium_rcv_detail_code,remaining_amt, payrec, mode_code,coinsurance_code,class_cd,it_remarks) values('24Sep240082','040000178814','19145',(select max(to_number(i.premium_rcv_detail_code))+1
from ins_premium_det i),'19145','19145','02', '11000003','00','Request by Mr. Omair Ali 25-Sep-2024 allocation no 24Sep240082 ');</v>
      </c>
    </row>
    <row r="437" spans="1:8" ht="105" x14ac:dyDescent="0.25">
      <c r="A437" t="s">
        <v>549</v>
      </c>
      <c r="B437" s="80" t="str">
        <f>VLOOKUP(A437,[1]Sheet1!$B:$C,2,0)</f>
        <v>040000178817</v>
      </c>
      <c r="C437" s="46">
        <v>12320</v>
      </c>
      <c r="D437" s="81">
        <f t="shared" si="27"/>
        <v>12320</v>
      </c>
      <c r="E437" s="79" t="s">
        <v>2492</v>
      </c>
      <c r="F437" s="82" t="str">
        <f t="shared" si="24"/>
        <v>insert into ins_premium_det (premium_rcv_code,assorted_code, rec_amount,premium_rcv_detail_code,remaining_amt, payrec, mode_code,coinsurance_code,class_cd,it_remarks) values</v>
      </c>
      <c r="G437" s="83" t="str">
        <f t="shared" si="25"/>
        <v>('24Sep240082','040000178817','12320',(select max(to_number(i.premium_rcv_detail_code))+1
from ins_premium_det i),'12320','12320','02', '11000003','00','Request by Mr. Omair Ali 25-Sep-2024 allocation no 24Sep240082 ');</v>
      </c>
      <c r="H437" s="84" t="str">
        <f t="shared" si="26"/>
        <v>insert into ins_premium_det (premium_rcv_code,assorted_code, rec_amount,premium_rcv_detail_code,remaining_amt, payrec, mode_code,coinsurance_code,class_cd,it_remarks) values('24Sep240082','040000178817','12320',(select max(to_number(i.premium_rcv_detail_code))+1
from ins_premium_det i),'12320','12320','02', '11000003','00','Request by Mr. Omair Ali 25-Sep-2024 allocation no 24Sep240082 ');</v>
      </c>
    </row>
    <row r="438" spans="1:8" ht="105" x14ac:dyDescent="0.25">
      <c r="A438" t="s">
        <v>550</v>
      </c>
      <c r="B438" s="80" t="str">
        <f>VLOOKUP(A438,[1]Sheet1!$B:$C,2,0)</f>
        <v>040000178818</v>
      </c>
      <c r="C438" s="46">
        <v>12320</v>
      </c>
      <c r="D438" s="81">
        <f t="shared" si="27"/>
        <v>12320</v>
      </c>
      <c r="E438" s="79" t="s">
        <v>2492</v>
      </c>
      <c r="F438" s="82" t="str">
        <f t="shared" si="24"/>
        <v>insert into ins_premium_det (premium_rcv_code,assorted_code, rec_amount,premium_rcv_detail_code,remaining_amt, payrec, mode_code,coinsurance_code,class_cd,it_remarks) values</v>
      </c>
      <c r="G438" s="83" t="str">
        <f t="shared" si="25"/>
        <v>('24Sep240082','040000178818','12320',(select max(to_number(i.premium_rcv_detail_code))+1
from ins_premium_det i),'12320','12320','02', '11000003','00','Request by Mr. Omair Ali 25-Sep-2024 allocation no 24Sep240082 ');</v>
      </c>
      <c r="H438" s="84" t="str">
        <f t="shared" si="26"/>
        <v>insert into ins_premium_det (premium_rcv_code,assorted_code, rec_amount,premium_rcv_detail_code,remaining_amt, payrec, mode_code,coinsurance_code,class_cd,it_remarks) values('24Sep240082','040000178818','12320',(select max(to_number(i.premium_rcv_detail_code))+1
from ins_premium_det i),'12320','12320','02', '11000003','00','Request by Mr. Omair Ali 25-Sep-2024 allocation no 24Sep240082 ');</v>
      </c>
    </row>
    <row r="439" spans="1:8" ht="105" x14ac:dyDescent="0.25">
      <c r="A439" t="s">
        <v>551</v>
      </c>
      <c r="B439" s="80" t="str">
        <f>VLOOKUP(A439,[1]Sheet1!$B:$C,2,0)</f>
        <v>040000178820</v>
      </c>
      <c r="C439" s="46">
        <v>8800</v>
      </c>
      <c r="D439" s="81">
        <f t="shared" si="27"/>
        <v>8800</v>
      </c>
      <c r="E439" s="79" t="s">
        <v>2492</v>
      </c>
      <c r="F439" s="82" t="str">
        <f t="shared" si="24"/>
        <v>insert into ins_premium_det (premium_rcv_code,assorted_code, rec_amount,premium_rcv_detail_code,remaining_amt, payrec, mode_code,coinsurance_code,class_cd,it_remarks) values</v>
      </c>
      <c r="G439" s="83" t="str">
        <f t="shared" si="25"/>
        <v>('24Sep240082','040000178820','8800',(select max(to_number(i.premium_rcv_detail_code))+1
from ins_premium_det i),'8800','8800','02', '11000003','00','Request by Mr. Omair Ali 25-Sep-2024 allocation no 24Sep240082 ');</v>
      </c>
      <c r="H439" s="84" t="str">
        <f t="shared" si="26"/>
        <v>insert into ins_premium_det (premium_rcv_code,assorted_code, rec_amount,premium_rcv_detail_code,remaining_amt, payrec, mode_code,coinsurance_code,class_cd,it_remarks) values('24Sep240082','040000178820','8800',(select max(to_number(i.premium_rcv_detail_code))+1
from ins_premium_det i),'8800','8800','02', '11000003','00','Request by Mr. Omair Ali 25-Sep-2024 allocation no 24Sep240082 ');</v>
      </c>
    </row>
    <row r="440" spans="1:8" ht="105" x14ac:dyDescent="0.25">
      <c r="A440" t="s">
        <v>552</v>
      </c>
      <c r="B440" s="80" t="str">
        <f>VLOOKUP(A440,[1]Sheet1!$B:$C,2,0)</f>
        <v>040000178821</v>
      </c>
      <c r="C440" s="46">
        <v>8800</v>
      </c>
      <c r="D440" s="81">
        <f t="shared" si="27"/>
        <v>8800</v>
      </c>
      <c r="E440" s="79" t="s">
        <v>2492</v>
      </c>
      <c r="F440" s="82" t="str">
        <f t="shared" si="24"/>
        <v>insert into ins_premium_det (premium_rcv_code,assorted_code, rec_amount,premium_rcv_detail_code,remaining_amt, payrec, mode_code,coinsurance_code,class_cd,it_remarks) values</v>
      </c>
      <c r="G440" s="83" t="str">
        <f t="shared" si="25"/>
        <v>('24Sep240082','040000178821','8800',(select max(to_number(i.premium_rcv_detail_code))+1
from ins_premium_det i),'8800','8800','02', '11000003','00','Request by Mr. Omair Ali 25-Sep-2024 allocation no 24Sep240082 ');</v>
      </c>
      <c r="H440" s="84" t="str">
        <f t="shared" si="26"/>
        <v>insert into ins_premium_det (premium_rcv_code,assorted_code, rec_amount,premium_rcv_detail_code,remaining_amt, payrec, mode_code,coinsurance_code,class_cd,it_remarks) values('24Sep240082','040000178821','8800',(select max(to_number(i.premium_rcv_detail_code))+1
from ins_premium_det i),'8800','8800','02', '11000003','00','Request by Mr. Omair Ali 25-Sep-2024 allocation no 24Sep240082 ');</v>
      </c>
    </row>
    <row r="441" spans="1:8" ht="105" x14ac:dyDescent="0.25">
      <c r="A441" t="s">
        <v>553</v>
      </c>
      <c r="B441" s="80" t="str">
        <f>VLOOKUP(A441,[1]Sheet1!$B:$C,2,0)</f>
        <v>040000178822</v>
      </c>
      <c r="C441" s="46">
        <v>8800</v>
      </c>
      <c r="D441" s="81">
        <f t="shared" si="27"/>
        <v>8800</v>
      </c>
      <c r="E441" s="79" t="s">
        <v>2492</v>
      </c>
      <c r="F441" s="82" t="str">
        <f t="shared" si="24"/>
        <v>insert into ins_premium_det (premium_rcv_code,assorted_code, rec_amount,premium_rcv_detail_code,remaining_amt, payrec, mode_code,coinsurance_code,class_cd,it_remarks) values</v>
      </c>
      <c r="G441" s="83" t="str">
        <f t="shared" si="25"/>
        <v>('24Sep240082','040000178822','8800',(select max(to_number(i.premium_rcv_detail_code))+1
from ins_premium_det i),'8800','8800','02', '11000003','00','Request by Mr. Omair Ali 25-Sep-2024 allocation no 24Sep240082 ');</v>
      </c>
      <c r="H441" s="84" t="str">
        <f t="shared" si="26"/>
        <v>insert into ins_premium_det (premium_rcv_code,assorted_code, rec_amount,premium_rcv_detail_code,remaining_amt, payrec, mode_code,coinsurance_code,class_cd,it_remarks) values('24Sep240082','040000178822','8800',(select max(to_number(i.premium_rcv_detail_code))+1
from ins_premium_det i),'8800','8800','02', '11000003','00','Request by Mr. Omair Ali 25-Sep-2024 allocation no 24Sep240082 ');</v>
      </c>
    </row>
    <row r="442" spans="1:8" ht="105" x14ac:dyDescent="0.25">
      <c r="A442" t="s">
        <v>554</v>
      </c>
      <c r="B442" s="80" t="str">
        <f>VLOOKUP(A442,[1]Sheet1!$B:$C,2,0)</f>
        <v>040000178824</v>
      </c>
      <c r="C442" s="46">
        <v>12320</v>
      </c>
      <c r="D442" s="81">
        <f t="shared" si="27"/>
        <v>12320</v>
      </c>
      <c r="E442" s="79" t="s">
        <v>2492</v>
      </c>
      <c r="F442" s="82" t="str">
        <f t="shared" si="24"/>
        <v>insert into ins_premium_det (premium_rcv_code,assorted_code, rec_amount,premium_rcv_detail_code,remaining_amt, payrec, mode_code,coinsurance_code,class_cd,it_remarks) values</v>
      </c>
      <c r="G442" s="83" t="str">
        <f t="shared" si="25"/>
        <v>('24Sep240082','040000178824','12320',(select max(to_number(i.premium_rcv_detail_code))+1
from ins_premium_det i),'12320','12320','02', '11000003','00','Request by Mr. Omair Ali 25-Sep-2024 allocation no 24Sep240082 ');</v>
      </c>
      <c r="H442" s="84" t="str">
        <f t="shared" si="26"/>
        <v>insert into ins_premium_det (premium_rcv_code,assorted_code, rec_amount,premium_rcv_detail_code,remaining_amt, payrec, mode_code,coinsurance_code,class_cd,it_remarks) values('24Sep240082','040000178824','12320',(select max(to_number(i.premium_rcv_detail_code))+1
from ins_premium_det i),'12320','12320','02', '11000003','00','Request by Mr. Omair Ali 25-Sep-2024 allocation no 24Sep240082 ');</v>
      </c>
    </row>
    <row r="443" spans="1:8" ht="105" x14ac:dyDescent="0.25">
      <c r="A443" t="s">
        <v>555</v>
      </c>
      <c r="B443" s="80" t="str">
        <f>VLOOKUP(A443,[1]Sheet1!$B:$C,2,0)</f>
        <v>040000178825</v>
      </c>
      <c r="C443" s="46">
        <v>12320</v>
      </c>
      <c r="D443" s="81">
        <f t="shared" si="27"/>
        <v>12320</v>
      </c>
      <c r="E443" s="79" t="s">
        <v>2492</v>
      </c>
      <c r="F443" s="82" t="str">
        <f t="shared" si="24"/>
        <v>insert into ins_premium_det (premium_rcv_code,assorted_code, rec_amount,premium_rcv_detail_code,remaining_amt, payrec, mode_code,coinsurance_code,class_cd,it_remarks) values</v>
      </c>
      <c r="G443" s="83" t="str">
        <f t="shared" si="25"/>
        <v>('24Sep240082','040000178825','12320',(select max(to_number(i.premium_rcv_detail_code))+1
from ins_premium_det i),'12320','12320','02', '11000003','00','Request by Mr. Omair Ali 25-Sep-2024 allocation no 24Sep240082 ');</v>
      </c>
      <c r="H443" s="84" t="str">
        <f t="shared" si="26"/>
        <v>insert into ins_premium_det (premium_rcv_code,assorted_code, rec_amount,premium_rcv_detail_code,remaining_amt, payrec, mode_code,coinsurance_code,class_cd,it_remarks) values('24Sep240082','040000178825','12320',(select max(to_number(i.premium_rcv_detail_code))+1
from ins_premium_det i),'12320','12320','02', '11000003','00','Request by Mr. Omair Ali 25-Sep-2024 allocation no 24Sep240082 ');</v>
      </c>
    </row>
    <row r="444" spans="1:8" ht="105" x14ac:dyDescent="0.25">
      <c r="A444" t="s">
        <v>556</v>
      </c>
      <c r="B444" s="80" t="str">
        <f>VLOOKUP(A444,[1]Sheet1!$B:$C,2,0)</f>
        <v>040000178826</v>
      </c>
      <c r="C444" s="46">
        <v>12320</v>
      </c>
      <c r="D444" s="81">
        <f t="shared" si="27"/>
        <v>12320</v>
      </c>
      <c r="E444" s="79" t="s">
        <v>2492</v>
      </c>
      <c r="F444" s="82" t="str">
        <f t="shared" si="24"/>
        <v>insert into ins_premium_det (premium_rcv_code,assorted_code, rec_amount,premium_rcv_detail_code,remaining_amt, payrec, mode_code,coinsurance_code,class_cd,it_remarks) values</v>
      </c>
      <c r="G444" s="83" t="str">
        <f t="shared" si="25"/>
        <v>('24Sep240082','040000178826','12320',(select max(to_number(i.premium_rcv_detail_code))+1
from ins_premium_det i),'12320','12320','02', '11000003','00','Request by Mr. Omair Ali 25-Sep-2024 allocation no 24Sep240082 ');</v>
      </c>
      <c r="H444" s="84" t="str">
        <f t="shared" si="26"/>
        <v>insert into ins_premium_det (premium_rcv_code,assorted_code, rec_amount,premium_rcv_detail_code,remaining_amt, payrec, mode_code,coinsurance_code,class_cd,it_remarks) values('24Sep240082','040000178826','12320',(select max(to_number(i.premium_rcv_detail_code))+1
from ins_premium_det i),'12320','12320','02', '11000003','00','Request by Mr. Omair Ali 25-Sep-2024 allocation no 24Sep240082 ');</v>
      </c>
    </row>
    <row r="445" spans="1:8" ht="105" x14ac:dyDescent="0.25">
      <c r="A445" t="s">
        <v>557</v>
      </c>
      <c r="B445" s="80" t="str">
        <f>VLOOKUP(A445,[1]Sheet1!$B:$C,2,0)</f>
        <v>040000178827</v>
      </c>
      <c r="C445" s="46">
        <v>12320</v>
      </c>
      <c r="D445" s="81">
        <f t="shared" si="27"/>
        <v>12320</v>
      </c>
      <c r="E445" s="79" t="s">
        <v>2492</v>
      </c>
      <c r="F445" s="82" t="str">
        <f t="shared" si="24"/>
        <v>insert into ins_premium_det (premium_rcv_code,assorted_code, rec_amount,premium_rcv_detail_code,remaining_amt, payrec, mode_code,coinsurance_code,class_cd,it_remarks) values</v>
      </c>
      <c r="G445" s="83" t="str">
        <f t="shared" si="25"/>
        <v>('24Sep240082','040000178827','12320',(select max(to_number(i.premium_rcv_detail_code))+1
from ins_premium_det i),'12320','12320','02', '11000003','00','Request by Mr. Omair Ali 25-Sep-2024 allocation no 24Sep240082 ');</v>
      </c>
      <c r="H445" s="84" t="str">
        <f t="shared" si="26"/>
        <v>insert into ins_premium_det (premium_rcv_code,assorted_code, rec_amount,premium_rcv_detail_code,remaining_amt, payrec, mode_code,coinsurance_code,class_cd,it_remarks) values('24Sep240082','040000178827','12320',(select max(to_number(i.premium_rcv_detail_code))+1
from ins_premium_det i),'12320','12320','02', '11000003','00','Request by Mr. Omair Ali 25-Sep-2024 allocation no 24Sep240082 ');</v>
      </c>
    </row>
    <row r="446" spans="1:8" ht="105" x14ac:dyDescent="0.25">
      <c r="A446" t="s">
        <v>558</v>
      </c>
      <c r="B446" s="80" t="str">
        <f>VLOOKUP(A446,[1]Sheet1!$B:$C,2,0)</f>
        <v>040000178828</v>
      </c>
      <c r="C446" s="46">
        <v>12320</v>
      </c>
      <c r="D446" s="81">
        <f t="shared" si="27"/>
        <v>12320</v>
      </c>
      <c r="E446" s="79" t="s">
        <v>2492</v>
      </c>
      <c r="F446" s="82" t="str">
        <f t="shared" si="24"/>
        <v>insert into ins_premium_det (premium_rcv_code,assorted_code, rec_amount,premium_rcv_detail_code,remaining_amt, payrec, mode_code,coinsurance_code,class_cd,it_remarks) values</v>
      </c>
      <c r="G446" s="83" t="str">
        <f t="shared" si="25"/>
        <v>('24Sep240082','040000178828','12320',(select max(to_number(i.premium_rcv_detail_code))+1
from ins_premium_det i),'12320','12320','02', '11000003','00','Request by Mr. Omair Ali 25-Sep-2024 allocation no 24Sep240082 ');</v>
      </c>
      <c r="H446" s="84" t="str">
        <f t="shared" si="26"/>
        <v>insert into ins_premium_det (premium_rcv_code,assorted_code, rec_amount,premium_rcv_detail_code,remaining_amt, payrec, mode_code,coinsurance_code,class_cd,it_remarks) values('24Sep240082','040000178828','12320',(select max(to_number(i.premium_rcv_detail_code))+1
from ins_premium_det i),'12320','12320','02', '11000003','00','Request by Mr. Omair Ali 25-Sep-2024 allocation no 24Sep240082 ');</v>
      </c>
    </row>
    <row r="447" spans="1:8" ht="105" x14ac:dyDescent="0.25">
      <c r="A447" t="s">
        <v>559</v>
      </c>
      <c r="B447" s="80" t="str">
        <f>VLOOKUP(A447,[1]Sheet1!$B:$C,2,0)</f>
        <v>040000178830</v>
      </c>
      <c r="C447" s="46">
        <v>12320</v>
      </c>
      <c r="D447" s="81">
        <f t="shared" si="27"/>
        <v>12320</v>
      </c>
      <c r="E447" s="79" t="s">
        <v>2492</v>
      </c>
      <c r="F447" s="82" t="str">
        <f t="shared" si="24"/>
        <v>insert into ins_premium_det (premium_rcv_code,assorted_code, rec_amount,premium_rcv_detail_code,remaining_amt, payrec, mode_code,coinsurance_code,class_cd,it_remarks) values</v>
      </c>
      <c r="G447" s="83" t="str">
        <f t="shared" si="25"/>
        <v>('24Sep240082','040000178830','12320',(select max(to_number(i.premium_rcv_detail_code))+1
from ins_premium_det i),'12320','12320','02', '11000003','00','Request by Mr. Omair Ali 25-Sep-2024 allocation no 24Sep240082 ');</v>
      </c>
      <c r="H447" s="84" t="str">
        <f t="shared" si="26"/>
        <v>insert into ins_premium_det (premium_rcv_code,assorted_code, rec_amount,premium_rcv_detail_code,remaining_amt, payrec, mode_code,coinsurance_code,class_cd,it_remarks) values('24Sep240082','040000178830','12320',(select max(to_number(i.premium_rcv_detail_code))+1
from ins_premium_det i),'12320','12320','02', '11000003','00','Request by Mr. Omair Ali 25-Sep-2024 allocation no 24Sep240082 ');</v>
      </c>
    </row>
    <row r="448" spans="1:8" ht="105" x14ac:dyDescent="0.25">
      <c r="A448" t="s">
        <v>560</v>
      </c>
      <c r="B448" s="80" t="str">
        <f>VLOOKUP(A448,[1]Sheet1!$B:$C,2,0)</f>
        <v>040000178831</v>
      </c>
      <c r="C448" s="46">
        <v>12320</v>
      </c>
      <c r="D448" s="81">
        <f t="shared" si="27"/>
        <v>12320</v>
      </c>
      <c r="E448" s="79" t="s">
        <v>2492</v>
      </c>
      <c r="F448" s="82" t="str">
        <f t="shared" si="24"/>
        <v>insert into ins_premium_det (premium_rcv_code,assorted_code, rec_amount,premium_rcv_detail_code,remaining_amt, payrec, mode_code,coinsurance_code,class_cd,it_remarks) values</v>
      </c>
      <c r="G448" s="83" t="str">
        <f t="shared" si="25"/>
        <v>('24Sep240082','040000178831','12320',(select max(to_number(i.premium_rcv_detail_code))+1
from ins_premium_det i),'12320','12320','02', '11000003','00','Request by Mr. Omair Ali 25-Sep-2024 allocation no 24Sep240082 ');</v>
      </c>
      <c r="H448" s="84" t="str">
        <f t="shared" si="26"/>
        <v>insert into ins_premium_det (premium_rcv_code,assorted_code, rec_amount,premium_rcv_detail_code,remaining_amt, payrec, mode_code,coinsurance_code,class_cd,it_remarks) values('24Sep240082','040000178831','12320',(select max(to_number(i.premium_rcv_detail_code))+1
from ins_premium_det i),'12320','12320','02', '11000003','00','Request by Mr. Omair Ali 25-Sep-2024 allocation no 24Sep240082 ');</v>
      </c>
    </row>
    <row r="449" spans="1:8" ht="105" x14ac:dyDescent="0.25">
      <c r="A449" t="s">
        <v>561</v>
      </c>
      <c r="B449" s="80" t="str">
        <f>VLOOKUP(A449,[1]Sheet1!$B:$C,2,0)</f>
        <v>040000178832</v>
      </c>
      <c r="C449" s="46">
        <v>12320</v>
      </c>
      <c r="D449" s="81">
        <f t="shared" si="27"/>
        <v>12320</v>
      </c>
      <c r="E449" s="79" t="s">
        <v>2492</v>
      </c>
      <c r="F449" s="82" t="str">
        <f t="shared" si="24"/>
        <v>insert into ins_premium_det (premium_rcv_code,assorted_code, rec_amount,premium_rcv_detail_code,remaining_amt, payrec, mode_code,coinsurance_code,class_cd,it_remarks) values</v>
      </c>
      <c r="G449" s="83" t="str">
        <f t="shared" si="25"/>
        <v>('24Sep240082','040000178832','12320',(select max(to_number(i.premium_rcv_detail_code))+1
from ins_premium_det i),'12320','12320','02', '11000003','00','Request by Mr. Omair Ali 25-Sep-2024 allocation no 24Sep240082 ');</v>
      </c>
      <c r="H449" s="84" t="str">
        <f t="shared" si="26"/>
        <v>insert into ins_premium_det (premium_rcv_code,assorted_code, rec_amount,premium_rcv_detail_code,remaining_amt, payrec, mode_code,coinsurance_code,class_cd,it_remarks) values('24Sep240082','040000178832','12320',(select max(to_number(i.premium_rcv_detail_code))+1
from ins_premium_det i),'12320','12320','02', '11000003','00','Request by Mr. Omair Ali 25-Sep-2024 allocation no 24Sep240082 ');</v>
      </c>
    </row>
    <row r="450" spans="1:8" ht="105" x14ac:dyDescent="0.25">
      <c r="A450" t="s">
        <v>562</v>
      </c>
      <c r="B450" s="80" t="str">
        <f>VLOOKUP(A450,[1]Sheet1!$B:$C,2,0)</f>
        <v>040000178833</v>
      </c>
      <c r="C450" s="46">
        <v>12320</v>
      </c>
      <c r="D450" s="81">
        <f t="shared" si="27"/>
        <v>12320</v>
      </c>
      <c r="E450" s="79" t="s">
        <v>2492</v>
      </c>
      <c r="F450" s="82" t="str">
        <f t="shared" ref="F450:F513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83" t="str">
        <f t="shared" si="25"/>
        <v>('24Sep240082','040000178833','12320',(select max(to_number(i.premium_rcv_detail_code))+1
from ins_premium_det i),'12320','12320','02', '11000003','00','Request by Mr. Omair Ali 25-Sep-2024 allocation no 24Sep240082 ');</v>
      </c>
      <c r="H450" s="84" t="str">
        <f t="shared" si="26"/>
        <v>insert into ins_premium_det (premium_rcv_code,assorted_code, rec_amount,premium_rcv_detail_code,remaining_amt, payrec, mode_code,coinsurance_code,class_cd,it_remarks) values('24Sep240082','040000178833','12320',(select max(to_number(i.premium_rcv_detail_code))+1
from ins_premium_det i),'12320','12320','02', '11000003','00','Request by Mr. Omair Ali 25-Sep-2024 allocation no 24Sep240082 ');</v>
      </c>
    </row>
    <row r="451" spans="1:8" ht="105" x14ac:dyDescent="0.25">
      <c r="A451" t="s">
        <v>563</v>
      </c>
      <c r="B451" s="80" t="str">
        <f>VLOOKUP(A451,[1]Sheet1!$B:$C,2,0)</f>
        <v>040000178836</v>
      </c>
      <c r="C451" s="46">
        <v>8800</v>
      </c>
      <c r="D451" s="81">
        <f t="shared" si="27"/>
        <v>8800</v>
      </c>
      <c r="E451" s="79" t="s">
        <v>2492</v>
      </c>
      <c r="F451" s="82" t="str">
        <f t="shared" si="28"/>
        <v>insert into ins_premium_det (premium_rcv_code,assorted_code, rec_amount,premium_rcv_detail_code,remaining_amt, payrec, mode_code,coinsurance_code,class_cd,it_remarks) values</v>
      </c>
      <c r="G451" s="83" t="str">
        <f t="shared" ref="G451:G514" si="29">"('"&amp;E451&amp;"','"&amp;B451&amp;"','"&amp;D451&amp;"',(select max(to_number(i.premium_rcv_detail_code))+1
from ins_premium_det i),'"&amp;D451&amp;"','"&amp;D451&amp;"','02', '11000003','00','Request by Mr. Omair Ali 25-Sep-2024 allocation no 24Sep240082 ');"</f>
        <v>('24Sep240082','040000178836','8800',(select max(to_number(i.premium_rcv_detail_code))+1
from ins_premium_det i),'8800','8800','02', '11000003','00','Request by Mr. Omair Ali 25-Sep-2024 allocation no 24Sep240082 ');</v>
      </c>
      <c r="H451" s="84" t="str">
        <f t="shared" ref="H451:H514" si="30">F451&amp;G451</f>
        <v>insert into ins_premium_det (premium_rcv_code,assorted_code, rec_amount,premium_rcv_detail_code,remaining_amt, payrec, mode_code,coinsurance_code,class_cd,it_remarks) values('24Sep240082','040000178836','8800',(select max(to_number(i.premium_rcv_detail_code))+1
from ins_premium_det i),'8800','8800','02', '11000003','00','Request by Mr. Omair Ali 25-Sep-2024 allocation no 24Sep240082 ');</v>
      </c>
    </row>
    <row r="452" spans="1:8" ht="105" x14ac:dyDescent="0.25">
      <c r="A452" t="s">
        <v>564</v>
      </c>
      <c r="B452" s="80" t="str">
        <f>VLOOKUP(A452,[1]Sheet1!$B:$C,2,0)</f>
        <v>040000178837</v>
      </c>
      <c r="C452" s="46">
        <v>12320</v>
      </c>
      <c r="D452" s="81">
        <f t="shared" ref="D452:D515" si="31">ROUND(C452,0)</f>
        <v>12320</v>
      </c>
      <c r="E452" s="79" t="s">
        <v>2492</v>
      </c>
      <c r="F452" s="82" t="str">
        <f t="shared" si="28"/>
        <v>insert into ins_premium_det (premium_rcv_code,assorted_code, rec_amount,premium_rcv_detail_code,remaining_amt, payrec, mode_code,coinsurance_code,class_cd,it_remarks) values</v>
      </c>
      <c r="G452" s="83" t="str">
        <f t="shared" si="29"/>
        <v>('24Sep240082','040000178837','12320',(select max(to_number(i.premium_rcv_detail_code))+1
from ins_premium_det i),'12320','12320','02', '11000003','00','Request by Mr. Omair Ali 25-Sep-2024 allocation no 24Sep240082 ');</v>
      </c>
      <c r="H452" s="84" t="str">
        <f t="shared" si="30"/>
        <v>insert into ins_premium_det (premium_rcv_code,assorted_code, rec_amount,premium_rcv_detail_code,remaining_amt, payrec, mode_code,coinsurance_code,class_cd,it_remarks) values('24Sep240082','040000178837','12320',(select max(to_number(i.premium_rcv_detail_code))+1
from ins_premium_det i),'12320','12320','02', '11000003','00','Request by Mr. Omair Ali 25-Sep-2024 allocation no 24Sep240082 ');</v>
      </c>
    </row>
    <row r="453" spans="1:8" ht="105" x14ac:dyDescent="0.25">
      <c r="A453" t="s">
        <v>565</v>
      </c>
      <c r="B453" s="80" t="str">
        <f>VLOOKUP(A453,[1]Sheet1!$B:$C,2,0)</f>
        <v>040000178838</v>
      </c>
      <c r="C453" s="46">
        <v>8800</v>
      </c>
      <c r="D453" s="81">
        <f t="shared" si="31"/>
        <v>8800</v>
      </c>
      <c r="E453" s="79" t="s">
        <v>2492</v>
      </c>
      <c r="F453" s="82" t="str">
        <f t="shared" si="28"/>
        <v>insert into ins_premium_det (premium_rcv_code,assorted_code, rec_amount,premium_rcv_detail_code,remaining_amt, payrec, mode_code,coinsurance_code,class_cd,it_remarks) values</v>
      </c>
      <c r="G453" s="83" t="str">
        <f t="shared" si="29"/>
        <v>('24Sep240082','040000178838','8800',(select max(to_number(i.premium_rcv_detail_code))+1
from ins_premium_det i),'8800','8800','02', '11000003','00','Request by Mr. Omair Ali 25-Sep-2024 allocation no 24Sep240082 ');</v>
      </c>
      <c r="H453" s="84" t="str">
        <f t="shared" si="30"/>
        <v>insert into ins_premium_det (premium_rcv_code,assorted_code, rec_amount,premium_rcv_detail_code,remaining_amt, payrec, mode_code,coinsurance_code,class_cd,it_remarks) values('24Sep240082','040000178838','8800',(select max(to_number(i.premium_rcv_detail_code))+1
from ins_premium_det i),'8800','8800','02', '11000003','00','Request by Mr. Omair Ali 25-Sep-2024 allocation no 24Sep240082 ');</v>
      </c>
    </row>
    <row r="454" spans="1:8" ht="105" x14ac:dyDescent="0.25">
      <c r="A454" t="s">
        <v>566</v>
      </c>
      <c r="B454" s="80" t="str">
        <f>VLOOKUP(A454,[1]Sheet1!$B:$C,2,0)</f>
        <v>040000178839</v>
      </c>
      <c r="C454" s="46">
        <v>8800</v>
      </c>
      <c r="D454" s="81">
        <f t="shared" si="31"/>
        <v>8800</v>
      </c>
      <c r="E454" s="79" t="s">
        <v>2492</v>
      </c>
      <c r="F454" s="82" t="str">
        <f t="shared" si="28"/>
        <v>insert into ins_premium_det (premium_rcv_code,assorted_code, rec_amount,premium_rcv_detail_code,remaining_amt, payrec, mode_code,coinsurance_code,class_cd,it_remarks) values</v>
      </c>
      <c r="G454" s="83" t="str">
        <f t="shared" si="29"/>
        <v>('24Sep240082','040000178839','8800',(select max(to_number(i.premium_rcv_detail_code))+1
from ins_premium_det i),'8800','8800','02', '11000003','00','Request by Mr. Omair Ali 25-Sep-2024 allocation no 24Sep240082 ');</v>
      </c>
      <c r="H454" s="84" t="str">
        <f t="shared" si="30"/>
        <v>insert into ins_premium_det (premium_rcv_code,assorted_code, rec_amount,premium_rcv_detail_code,remaining_amt, payrec, mode_code,coinsurance_code,class_cd,it_remarks) values('24Sep240082','040000178839','8800',(select max(to_number(i.premium_rcv_detail_code))+1
from ins_premium_det i),'8800','8800','02', '11000003','00','Request by Mr. Omair Ali 25-Sep-2024 allocation no 24Sep240082 ');</v>
      </c>
    </row>
    <row r="455" spans="1:8" ht="105" x14ac:dyDescent="0.25">
      <c r="A455" t="s">
        <v>567</v>
      </c>
      <c r="B455" s="80" t="str">
        <f>VLOOKUP(A455,[1]Sheet1!$B:$C,2,0)</f>
        <v>040000178840</v>
      </c>
      <c r="C455" s="46">
        <v>12320</v>
      </c>
      <c r="D455" s="81">
        <f t="shared" si="31"/>
        <v>12320</v>
      </c>
      <c r="E455" s="79" t="s">
        <v>2492</v>
      </c>
      <c r="F455" s="82" t="str">
        <f t="shared" si="28"/>
        <v>insert into ins_premium_det (premium_rcv_code,assorted_code, rec_amount,premium_rcv_detail_code,remaining_amt, payrec, mode_code,coinsurance_code,class_cd,it_remarks) values</v>
      </c>
      <c r="G455" s="83" t="str">
        <f t="shared" si="29"/>
        <v>('24Sep240082','040000178840','12320',(select max(to_number(i.premium_rcv_detail_code))+1
from ins_premium_det i),'12320','12320','02', '11000003','00','Request by Mr. Omair Ali 25-Sep-2024 allocation no 24Sep240082 ');</v>
      </c>
      <c r="H455" s="84" t="str">
        <f t="shared" si="30"/>
        <v>insert into ins_premium_det (premium_rcv_code,assorted_code, rec_amount,premium_rcv_detail_code,remaining_amt, payrec, mode_code,coinsurance_code,class_cd,it_remarks) values('24Sep240082','040000178840','12320',(select max(to_number(i.premium_rcv_detail_code))+1
from ins_premium_det i),'12320','12320','02', '11000003','00','Request by Mr. Omair Ali 25-Sep-2024 allocation no 24Sep240082 ');</v>
      </c>
    </row>
    <row r="456" spans="1:8" ht="105" x14ac:dyDescent="0.25">
      <c r="A456" t="s">
        <v>568</v>
      </c>
      <c r="B456" s="80" t="str">
        <f>VLOOKUP(A456,[1]Sheet1!$B:$C,2,0)</f>
        <v>040000178841</v>
      </c>
      <c r="C456" s="46">
        <v>12320</v>
      </c>
      <c r="D456" s="81">
        <f t="shared" si="31"/>
        <v>12320</v>
      </c>
      <c r="E456" s="79" t="s">
        <v>2492</v>
      </c>
      <c r="F456" s="82" t="str">
        <f t="shared" si="28"/>
        <v>insert into ins_premium_det (premium_rcv_code,assorted_code, rec_amount,premium_rcv_detail_code,remaining_amt, payrec, mode_code,coinsurance_code,class_cd,it_remarks) values</v>
      </c>
      <c r="G456" s="83" t="str">
        <f t="shared" si="29"/>
        <v>('24Sep240082','040000178841','12320',(select max(to_number(i.premium_rcv_detail_code))+1
from ins_premium_det i),'12320','12320','02', '11000003','00','Request by Mr. Omair Ali 25-Sep-2024 allocation no 24Sep240082 ');</v>
      </c>
      <c r="H456" s="84" t="str">
        <f t="shared" si="30"/>
        <v>insert into ins_premium_det (premium_rcv_code,assorted_code, rec_amount,premium_rcv_detail_code,remaining_amt, payrec, mode_code,coinsurance_code,class_cd,it_remarks) values('24Sep240082','040000178841','12320',(select max(to_number(i.premium_rcv_detail_code))+1
from ins_premium_det i),'12320','12320','02', '11000003','00','Request by Mr. Omair Ali 25-Sep-2024 allocation no 24Sep240082 ');</v>
      </c>
    </row>
    <row r="457" spans="1:8" ht="105" x14ac:dyDescent="0.25">
      <c r="A457" t="s">
        <v>569</v>
      </c>
      <c r="B457" s="80" t="str">
        <f>VLOOKUP(A457,[1]Sheet1!$B:$C,2,0)</f>
        <v>040000178843</v>
      </c>
      <c r="C457" s="46">
        <v>8800</v>
      </c>
      <c r="D457" s="81">
        <f t="shared" si="31"/>
        <v>8800</v>
      </c>
      <c r="E457" s="79" t="s">
        <v>2492</v>
      </c>
      <c r="F457" s="82" t="str">
        <f t="shared" si="28"/>
        <v>insert into ins_premium_det (premium_rcv_code,assorted_code, rec_amount,premium_rcv_detail_code,remaining_amt, payrec, mode_code,coinsurance_code,class_cd,it_remarks) values</v>
      </c>
      <c r="G457" s="83" t="str">
        <f t="shared" si="29"/>
        <v>('24Sep240082','040000178843','8800',(select max(to_number(i.premium_rcv_detail_code))+1
from ins_premium_det i),'8800','8800','02', '11000003','00','Request by Mr. Omair Ali 25-Sep-2024 allocation no 24Sep240082 ');</v>
      </c>
      <c r="H457" s="84" t="str">
        <f t="shared" si="30"/>
        <v>insert into ins_premium_det (premium_rcv_code,assorted_code, rec_amount,premium_rcv_detail_code,remaining_amt, payrec, mode_code,coinsurance_code,class_cd,it_remarks) values('24Sep240082','040000178843','8800',(select max(to_number(i.premium_rcv_detail_code))+1
from ins_premium_det i),'8800','8800','02', '11000003','00','Request by Mr. Omair Ali 25-Sep-2024 allocation no 24Sep240082 ');</v>
      </c>
    </row>
    <row r="458" spans="1:8" ht="105" x14ac:dyDescent="0.25">
      <c r="A458" t="s">
        <v>570</v>
      </c>
      <c r="B458" s="80" t="str">
        <f>VLOOKUP(A458,[1]Sheet1!$B:$C,2,0)</f>
        <v>040000178844</v>
      </c>
      <c r="C458" s="46">
        <v>8800</v>
      </c>
      <c r="D458" s="81">
        <f t="shared" si="31"/>
        <v>8800</v>
      </c>
      <c r="E458" s="79" t="s">
        <v>2492</v>
      </c>
      <c r="F458" s="82" t="str">
        <f t="shared" si="28"/>
        <v>insert into ins_premium_det (premium_rcv_code,assorted_code, rec_amount,premium_rcv_detail_code,remaining_amt, payrec, mode_code,coinsurance_code,class_cd,it_remarks) values</v>
      </c>
      <c r="G458" s="83" t="str">
        <f t="shared" si="29"/>
        <v>('24Sep240082','040000178844','8800',(select max(to_number(i.premium_rcv_detail_code))+1
from ins_premium_det i),'8800','8800','02', '11000003','00','Request by Mr. Omair Ali 25-Sep-2024 allocation no 24Sep240082 ');</v>
      </c>
      <c r="H458" s="84" t="str">
        <f t="shared" si="30"/>
        <v>insert into ins_premium_det (premium_rcv_code,assorted_code, rec_amount,premium_rcv_detail_code,remaining_amt, payrec, mode_code,coinsurance_code,class_cd,it_remarks) values('24Sep240082','040000178844','8800',(select max(to_number(i.premium_rcv_detail_code))+1
from ins_premium_det i),'8800','8800','02', '11000003','00','Request by Mr. Omair Ali 25-Sep-2024 allocation no 24Sep240082 ');</v>
      </c>
    </row>
    <row r="459" spans="1:8" ht="105" x14ac:dyDescent="0.25">
      <c r="A459" t="s">
        <v>571</v>
      </c>
      <c r="B459" s="80" t="str">
        <f>VLOOKUP(A459,[1]Sheet1!$B:$C,2,0)</f>
        <v>040000178845</v>
      </c>
      <c r="C459" s="46">
        <v>8800</v>
      </c>
      <c r="D459" s="81">
        <f t="shared" si="31"/>
        <v>8800</v>
      </c>
      <c r="E459" s="79" t="s">
        <v>2492</v>
      </c>
      <c r="F459" s="82" t="str">
        <f t="shared" si="28"/>
        <v>insert into ins_premium_det (premium_rcv_code,assorted_code, rec_amount,premium_rcv_detail_code,remaining_amt, payrec, mode_code,coinsurance_code,class_cd,it_remarks) values</v>
      </c>
      <c r="G459" s="83" t="str">
        <f t="shared" si="29"/>
        <v>('24Sep240082','040000178845','8800',(select max(to_number(i.premium_rcv_detail_code))+1
from ins_premium_det i),'8800','8800','02', '11000003','00','Request by Mr. Omair Ali 25-Sep-2024 allocation no 24Sep240082 ');</v>
      </c>
      <c r="H459" s="84" t="str">
        <f t="shared" si="30"/>
        <v>insert into ins_premium_det (premium_rcv_code,assorted_code, rec_amount,premium_rcv_detail_code,remaining_amt, payrec, mode_code,coinsurance_code,class_cd,it_remarks) values('24Sep240082','040000178845','8800',(select max(to_number(i.premium_rcv_detail_code))+1
from ins_premium_det i),'8800','8800','02', '11000003','00','Request by Mr. Omair Ali 25-Sep-2024 allocation no 24Sep240082 ');</v>
      </c>
    </row>
    <row r="460" spans="1:8" ht="105" x14ac:dyDescent="0.25">
      <c r="A460" t="s">
        <v>572</v>
      </c>
      <c r="B460" s="80" t="str">
        <f>VLOOKUP(A460,[1]Sheet1!$B:$C,2,0)</f>
        <v>040000178846</v>
      </c>
      <c r="C460" s="46">
        <v>12320</v>
      </c>
      <c r="D460" s="81">
        <f t="shared" si="31"/>
        <v>12320</v>
      </c>
      <c r="E460" s="79" t="s">
        <v>2492</v>
      </c>
      <c r="F460" s="82" t="str">
        <f t="shared" si="28"/>
        <v>insert into ins_premium_det (premium_rcv_code,assorted_code, rec_amount,premium_rcv_detail_code,remaining_amt, payrec, mode_code,coinsurance_code,class_cd,it_remarks) values</v>
      </c>
      <c r="G460" s="83" t="str">
        <f t="shared" si="29"/>
        <v>('24Sep240082','040000178846','12320',(select max(to_number(i.premium_rcv_detail_code))+1
from ins_premium_det i),'12320','12320','02', '11000003','00','Request by Mr. Omair Ali 25-Sep-2024 allocation no 24Sep240082 ');</v>
      </c>
      <c r="H460" s="84" t="str">
        <f t="shared" si="30"/>
        <v>insert into ins_premium_det (premium_rcv_code,assorted_code, rec_amount,premium_rcv_detail_code,remaining_amt, payrec, mode_code,coinsurance_code,class_cd,it_remarks) values('24Sep240082','040000178846','12320',(select max(to_number(i.premium_rcv_detail_code))+1
from ins_premium_det i),'12320','12320','02', '11000003','00','Request by Mr. Omair Ali 25-Sep-2024 allocation no 24Sep240082 ');</v>
      </c>
    </row>
    <row r="461" spans="1:8" ht="105" x14ac:dyDescent="0.25">
      <c r="A461" t="s">
        <v>573</v>
      </c>
      <c r="B461" s="80" t="str">
        <f>VLOOKUP(A461,[1]Sheet1!$B:$C,2,0)</f>
        <v>040000178847</v>
      </c>
      <c r="C461" s="46">
        <v>13370</v>
      </c>
      <c r="D461" s="81">
        <f t="shared" si="31"/>
        <v>13370</v>
      </c>
      <c r="E461" s="79" t="s">
        <v>2492</v>
      </c>
      <c r="F461" s="82" t="str">
        <f t="shared" si="28"/>
        <v>insert into ins_premium_det (premium_rcv_code,assorted_code, rec_amount,premium_rcv_detail_code,remaining_amt, payrec, mode_code,coinsurance_code,class_cd,it_remarks) values</v>
      </c>
      <c r="G461" s="83" t="str">
        <f t="shared" si="29"/>
        <v>('24Sep240082','040000178847','13370',(select max(to_number(i.premium_rcv_detail_code))+1
from ins_premium_det i),'13370','13370','02', '11000003','00','Request by Mr. Omair Ali 25-Sep-2024 allocation no 24Sep240082 ');</v>
      </c>
      <c r="H461" s="84" t="str">
        <f t="shared" si="30"/>
        <v>insert into ins_premium_det (premium_rcv_code,assorted_code, rec_amount,premium_rcv_detail_code,remaining_amt, payrec, mode_code,coinsurance_code,class_cd,it_remarks) values('24Sep240082','040000178847','13370',(select max(to_number(i.premium_rcv_detail_code))+1
from ins_premium_det i),'13370','13370','02', '11000003','00','Request by Mr. Omair Ali 25-Sep-2024 allocation no 24Sep240082 ');</v>
      </c>
    </row>
    <row r="462" spans="1:8" ht="105" x14ac:dyDescent="0.25">
      <c r="A462" t="s">
        <v>574</v>
      </c>
      <c r="B462" s="80" t="str">
        <f>VLOOKUP(A462,[1]Sheet1!$B:$C,2,0)</f>
        <v>040000178848</v>
      </c>
      <c r="C462" s="46">
        <v>13370</v>
      </c>
      <c r="D462" s="81">
        <f t="shared" si="31"/>
        <v>13370</v>
      </c>
      <c r="E462" s="79" t="s">
        <v>2492</v>
      </c>
      <c r="F462" s="82" t="str">
        <f t="shared" si="28"/>
        <v>insert into ins_premium_det (premium_rcv_code,assorted_code, rec_amount,premium_rcv_detail_code,remaining_amt, payrec, mode_code,coinsurance_code,class_cd,it_remarks) values</v>
      </c>
      <c r="G462" s="83" t="str">
        <f t="shared" si="29"/>
        <v>('24Sep240082','040000178848','13370',(select max(to_number(i.premium_rcv_detail_code))+1
from ins_premium_det i),'13370','13370','02', '11000003','00','Request by Mr. Omair Ali 25-Sep-2024 allocation no 24Sep240082 ');</v>
      </c>
      <c r="H462" s="84" t="str">
        <f t="shared" si="30"/>
        <v>insert into ins_premium_det (premium_rcv_code,assorted_code, rec_amount,premium_rcv_detail_code,remaining_amt, payrec, mode_code,coinsurance_code,class_cd,it_remarks) values('24Sep240082','040000178848','13370',(select max(to_number(i.premium_rcv_detail_code))+1
from ins_premium_det i),'13370','13370','02', '11000003','00','Request by Mr. Omair Ali 25-Sep-2024 allocation no 24Sep240082 ');</v>
      </c>
    </row>
    <row r="463" spans="1:8" ht="105" x14ac:dyDescent="0.25">
      <c r="A463" t="s">
        <v>575</v>
      </c>
      <c r="B463" s="80" t="str">
        <f>VLOOKUP(A463,[1]Sheet1!$B:$C,2,0)</f>
        <v>040000178849</v>
      </c>
      <c r="C463" s="46">
        <v>12320</v>
      </c>
      <c r="D463" s="81">
        <f t="shared" si="31"/>
        <v>12320</v>
      </c>
      <c r="E463" s="79" t="s">
        <v>2492</v>
      </c>
      <c r="F463" s="82" t="str">
        <f t="shared" si="28"/>
        <v>insert into ins_premium_det (premium_rcv_code,assorted_code, rec_amount,premium_rcv_detail_code,remaining_amt, payrec, mode_code,coinsurance_code,class_cd,it_remarks) values</v>
      </c>
      <c r="G463" s="83" t="str">
        <f t="shared" si="29"/>
        <v>('24Sep240082','040000178849','12320',(select max(to_number(i.premium_rcv_detail_code))+1
from ins_premium_det i),'12320','12320','02', '11000003','00','Request by Mr. Omair Ali 25-Sep-2024 allocation no 24Sep240082 ');</v>
      </c>
      <c r="H463" s="84" t="str">
        <f t="shared" si="30"/>
        <v>insert into ins_premium_det (premium_rcv_code,assorted_code, rec_amount,premium_rcv_detail_code,remaining_amt, payrec, mode_code,coinsurance_code,class_cd,it_remarks) values('24Sep240082','040000178849','12320',(select max(to_number(i.premium_rcv_detail_code))+1
from ins_premium_det i),'12320','12320','02', '11000003','00','Request by Mr. Omair Ali 25-Sep-2024 allocation no 24Sep240082 ');</v>
      </c>
    </row>
    <row r="464" spans="1:8" ht="105" x14ac:dyDescent="0.25">
      <c r="A464" t="s">
        <v>576</v>
      </c>
      <c r="B464" s="80" t="str">
        <f>VLOOKUP(A464,[1]Sheet1!$B:$C,2,0)</f>
        <v>040000178850</v>
      </c>
      <c r="C464" s="46">
        <v>12320</v>
      </c>
      <c r="D464" s="81">
        <f t="shared" si="31"/>
        <v>12320</v>
      </c>
      <c r="E464" s="79" t="s">
        <v>2492</v>
      </c>
      <c r="F464" s="82" t="str">
        <f t="shared" si="28"/>
        <v>insert into ins_premium_det (premium_rcv_code,assorted_code, rec_amount,premium_rcv_detail_code,remaining_amt, payrec, mode_code,coinsurance_code,class_cd,it_remarks) values</v>
      </c>
      <c r="G464" s="83" t="str">
        <f t="shared" si="29"/>
        <v>('24Sep240082','040000178850','12320',(select max(to_number(i.premium_rcv_detail_code))+1
from ins_premium_det i),'12320','12320','02', '11000003','00','Request by Mr. Omair Ali 25-Sep-2024 allocation no 24Sep240082 ');</v>
      </c>
      <c r="H464" s="84" t="str">
        <f t="shared" si="30"/>
        <v>insert into ins_premium_det (premium_rcv_code,assorted_code, rec_amount,premium_rcv_detail_code,remaining_amt, payrec, mode_code,coinsurance_code,class_cd,it_remarks) values('24Sep240082','040000178850','12320',(select max(to_number(i.premium_rcv_detail_code))+1
from ins_premium_det i),'12320','12320','02', '11000003','00','Request by Mr. Omair Ali 25-Sep-2024 allocation no 24Sep240082 ');</v>
      </c>
    </row>
    <row r="465" spans="1:8" ht="105" x14ac:dyDescent="0.25">
      <c r="A465" t="s">
        <v>577</v>
      </c>
      <c r="B465" s="80" t="str">
        <f>VLOOKUP(A465,[1]Sheet1!$B:$C,2,0)</f>
        <v>040000178853</v>
      </c>
      <c r="C465" s="46">
        <v>13370</v>
      </c>
      <c r="D465" s="81">
        <f t="shared" si="31"/>
        <v>13370</v>
      </c>
      <c r="E465" s="79" t="s">
        <v>2492</v>
      </c>
      <c r="F465" s="82" t="str">
        <f t="shared" si="28"/>
        <v>insert into ins_premium_det (premium_rcv_code,assorted_code, rec_amount,premium_rcv_detail_code,remaining_amt, payrec, mode_code,coinsurance_code,class_cd,it_remarks) values</v>
      </c>
      <c r="G465" s="83" t="str">
        <f t="shared" si="29"/>
        <v>('24Sep240082','040000178853','13370',(select max(to_number(i.premium_rcv_detail_code))+1
from ins_premium_det i),'13370','13370','02', '11000003','00','Request by Mr. Omair Ali 25-Sep-2024 allocation no 24Sep240082 ');</v>
      </c>
      <c r="H465" s="84" t="str">
        <f t="shared" si="30"/>
        <v>insert into ins_premium_det (premium_rcv_code,assorted_code, rec_amount,premium_rcv_detail_code,remaining_amt, payrec, mode_code,coinsurance_code,class_cd,it_remarks) values('24Sep240082','040000178853','13370',(select max(to_number(i.premium_rcv_detail_code))+1
from ins_premium_det i),'13370','13370','02', '11000003','00','Request by Mr. Omair Ali 25-Sep-2024 allocation no 24Sep240082 ');</v>
      </c>
    </row>
    <row r="466" spans="1:8" ht="105" x14ac:dyDescent="0.25">
      <c r="A466" t="s">
        <v>578</v>
      </c>
      <c r="B466" s="80" t="str">
        <f>VLOOKUP(A466,[1]Sheet1!$B:$C,2,0)</f>
        <v>040000178854</v>
      </c>
      <c r="C466" s="46">
        <v>9550</v>
      </c>
      <c r="D466" s="81">
        <f t="shared" si="31"/>
        <v>9550</v>
      </c>
      <c r="E466" s="79" t="s">
        <v>2492</v>
      </c>
      <c r="F466" s="82" t="str">
        <f t="shared" si="28"/>
        <v>insert into ins_premium_det (premium_rcv_code,assorted_code, rec_amount,premium_rcv_detail_code,remaining_amt, payrec, mode_code,coinsurance_code,class_cd,it_remarks) values</v>
      </c>
      <c r="G466" s="83" t="str">
        <f t="shared" si="29"/>
        <v>('24Sep240082','040000178854','9550',(select max(to_number(i.premium_rcv_detail_code))+1
from ins_premium_det i),'9550','9550','02', '11000003','00','Request by Mr. Omair Ali 25-Sep-2024 allocation no 24Sep240082 ');</v>
      </c>
      <c r="H466" s="84" t="str">
        <f t="shared" si="30"/>
        <v>insert into ins_premium_det (premium_rcv_code,assorted_code, rec_amount,premium_rcv_detail_code,remaining_amt, payrec, mode_code,coinsurance_code,class_cd,it_remarks) values('24Sep240082','040000178854','9550',(select max(to_number(i.premium_rcv_detail_code))+1
from ins_premium_det i),'9550','9550','02', '11000003','00','Request by Mr. Omair Ali 25-Sep-2024 allocation no 24Sep240082 ');</v>
      </c>
    </row>
    <row r="467" spans="1:8" ht="105" x14ac:dyDescent="0.25">
      <c r="A467" t="s">
        <v>579</v>
      </c>
      <c r="B467" s="80" t="str">
        <f>VLOOKUP(A467,[1]Sheet1!$B:$C,2,0)</f>
        <v>040000178856</v>
      </c>
      <c r="C467" s="46">
        <v>19145</v>
      </c>
      <c r="D467" s="81">
        <f t="shared" si="31"/>
        <v>19145</v>
      </c>
      <c r="E467" s="79" t="s">
        <v>2492</v>
      </c>
      <c r="F467" s="82" t="str">
        <f t="shared" si="28"/>
        <v>insert into ins_premium_det (premium_rcv_code,assorted_code, rec_amount,premium_rcv_detail_code,remaining_amt, payrec, mode_code,coinsurance_code,class_cd,it_remarks) values</v>
      </c>
      <c r="G467" s="83" t="str">
        <f t="shared" si="29"/>
        <v>('24Sep240082','040000178856','19145',(select max(to_number(i.premium_rcv_detail_code))+1
from ins_premium_det i),'19145','19145','02', '11000003','00','Request by Mr. Omair Ali 25-Sep-2024 allocation no 24Sep240082 ');</v>
      </c>
      <c r="H467" s="84" t="str">
        <f t="shared" si="30"/>
        <v>insert into ins_premium_det (premium_rcv_code,assorted_code, rec_amount,premium_rcv_detail_code,remaining_amt, payrec, mode_code,coinsurance_code,class_cd,it_remarks) values('24Sep240082','040000178856','19145',(select max(to_number(i.premium_rcv_detail_code))+1
from ins_premium_det i),'19145','19145','02', '11000003','00','Request by Mr. Omair Ali 25-Sep-2024 allocation no 24Sep240082 ');</v>
      </c>
    </row>
    <row r="468" spans="1:8" ht="105" x14ac:dyDescent="0.25">
      <c r="A468" t="s">
        <v>580</v>
      </c>
      <c r="B468" s="80" t="str">
        <f>VLOOKUP(A468,[1]Sheet1!$B:$C,2,0)</f>
        <v>040000178857</v>
      </c>
      <c r="C468" s="46">
        <v>19145</v>
      </c>
      <c r="D468" s="81">
        <f t="shared" si="31"/>
        <v>19145</v>
      </c>
      <c r="E468" s="79" t="s">
        <v>2492</v>
      </c>
      <c r="F468" s="82" t="str">
        <f t="shared" si="28"/>
        <v>insert into ins_premium_det (premium_rcv_code,assorted_code, rec_amount,premium_rcv_detail_code,remaining_amt, payrec, mode_code,coinsurance_code,class_cd,it_remarks) values</v>
      </c>
      <c r="G468" s="83" t="str">
        <f t="shared" si="29"/>
        <v>('24Sep240082','040000178857','19145',(select max(to_number(i.premium_rcv_detail_code))+1
from ins_premium_det i),'19145','19145','02', '11000003','00','Request by Mr. Omair Ali 25-Sep-2024 allocation no 24Sep240082 ');</v>
      </c>
      <c r="H468" s="84" t="str">
        <f t="shared" si="30"/>
        <v>insert into ins_premium_det (premium_rcv_code,assorted_code, rec_amount,premium_rcv_detail_code,remaining_amt, payrec, mode_code,coinsurance_code,class_cd,it_remarks) values('24Sep240082','040000178857','19145',(select max(to_number(i.premium_rcv_detail_code))+1
from ins_premium_det i),'19145','19145','02', '11000003','00','Request by Mr. Omair Ali 25-Sep-2024 allocation no 24Sep240082 ');</v>
      </c>
    </row>
    <row r="469" spans="1:8" ht="105" x14ac:dyDescent="0.25">
      <c r="A469" t="s">
        <v>581</v>
      </c>
      <c r="B469" s="80" t="str">
        <f>VLOOKUP(A469,[1]Sheet1!$B:$C,2,0)</f>
        <v>040000178859</v>
      </c>
      <c r="C469" s="46">
        <v>13370</v>
      </c>
      <c r="D469" s="81">
        <f t="shared" si="31"/>
        <v>13370</v>
      </c>
      <c r="E469" s="79" t="s">
        <v>2492</v>
      </c>
      <c r="F469" s="82" t="str">
        <f t="shared" si="28"/>
        <v>insert into ins_premium_det (premium_rcv_code,assorted_code, rec_amount,premium_rcv_detail_code,remaining_amt, payrec, mode_code,coinsurance_code,class_cd,it_remarks) values</v>
      </c>
      <c r="G469" s="83" t="str">
        <f t="shared" si="29"/>
        <v>('24Sep240082','040000178859','13370',(select max(to_number(i.premium_rcv_detail_code))+1
from ins_premium_det i),'13370','13370','02', '11000003','00','Request by Mr. Omair Ali 25-Sep-2024 allocation no 24Sep240082 ');</v>
      </c>
      <c r="H469" s="84" t="str">
        <f t="shared" si="30"/>
        <v>insert into ins_premium_det (premium_rcv_code,assorted_code, rec_amount,premium_rcv_detail_code,remaining_amt, payrec, mode_code,coinsurance_code,class_cd,it_remarks) values('24Sep240082','040000178859','13370',(select max(to_number(i.premium_rcv_detail_code))+1
from ins_premium_det i),'13370','13370','02', '11000003','00','Request by Mr. Omair Ali 25-Sep-2024 allocation no 24Sep240082 ');</v>
      </c>
    </row>
    <row r="470" spans="1:8" ht="105" x14ac:dyDescent="0.25">
      <c r="A470" t="s">
        <v>582</v>
      </c>
      <c r="B470" s="80" t="str">
        <f>VLOOKUP(A470,[1]Sheet1!$B:$C,2,0)</f>
        <v>040000178860</v>
      </c>
      <c r="C470" s="46">
        <v>12320</v>
      </c>
      <c r="D470" s="81">
        <f t="shared" si="31"/>
        <v>12320</v>
      </c>
      <c r="E470" s="79" t="s">
        <v>2492</v>
      </c>
      <c r="F470" s="82" t="str">
        <f t="shared" si="28"/>
        <v>insert into ins_premium_det (premium_rcv_code,assorted_code, rec_amount,premium_rcv_detail_code,remaining_amt, payrec, mode_code,coinsurance_code,class_cd,it_remarks) values</v>
      </c>
      <c r="G470" s="83" t="str">
        <f t="shared" si="29"/>
        <v>('24Sep240082','040000178860','12320',(select max(to_number(i.premium_rcv_detail_code))+1
from ins_premium_det i),'12320','12320','02', '11000003','00','Request by Mr. Omair Ali 25-Sep-2024 allocation no 24Sep240082 ');</v>
      </c>
      <c r="H470" s="84" t="str">
        <f t="shared" si="30"/>
        <v>insert into ins_premium_det (premium_rcv_code,assorted_code, rec_amount,premium_rcv_detail_code,remaining_amt, payrec, mode_code,coinsurance_code,class_cd,it_remarks) values('24Sep240082','040000178860','12320',(select max(to_number(i.premium_rcv_detail_code))+1
from ins_premium_det i),'12320','12320','02', '11000003','00','Request by Mr. Omair Ali 25-Sep-2024 allocation no 24Sep240082 ');</v>
      </c>
    </row>
    <row r="471" spans="1:8" ht="105" x14ac:dyDescent="0.25">
      <c r="A471" t="s">
        <v>583</v>
      </c>
      <c r="B471" s="80" t="str">
        <f>VLOOKUP(A471,[1]Sheet1!$B:$C,2,0)</f>
        <v>040000178861</v>
      </c>
      <c r="C471" s="46">
        <v>12320</v>
      </c>
      <c r="D471" s="81">
        <f t="shared" si="31"/>
        <v>12320</v>
      </c>
      <c r="E471" s="79" t="s">
        <v>2492</v>
      </c>
      <c r="F471" s="82" t="str">
        <f t="shared" si="28"/>
        <v>insert into ins_premium_det (premium_rcv_code,assorted_code, rec_amount,premium_rcv_detail_code,remaining_amt, payrec, mode_code,coinsurance_code,class_cd,it_remarks) values</v>
      </c>
      <c r="G471" s="83" t="str">
        <f t="shared" si="29"/>
        <v>('24Sep240082','040000178861','12320',(select max(to_number(i.premium_rcv_detail_code))+1
from ins_premium_det i),'12320','12320','02', '11000003','00','Request by Mr. Omair Ali 25-Sep-2024 allocation no 24Sep240082 ');</v>
      </c>
      <c r="H471" s="84" t="str">
        <f t="shared" si="30"/>
        <v>insert into ins_premium_det (premium_rcv_code,assorted_code, rec_amount,premium_rcv_detail_code,remaining_amt, payrec, mode_code,coinsurance_code,class_cd,it_remarks) values('24Sep240082','040000178861','12320',(select max(to_number(i.premium_rcv_detail_code))+1
from ins_premium_det i),'12320','12320','02', '11000003','00','Request by Mr. Omair Ali 25-Sep-2024 allocation no 24Sep240082 ');</v>
      </c>
    </row>
    <row r="472" spans="1:8" ht="105" x14ac:dyDescent="0.25">
      <c r="A472" t="s">
        <v>584</v>
      </c>
      <c r="B472" s="80" t="str">
        <f>VLOOKUP(A472,[1]Sheet1!$B:$C,2,0)</f>
        <v>040000178862</v>
      </c>
      <c r="C472" s="46">
        <v>12320</v>
      </c>
      <c r="D472" s="81">
        <f t="shared" si="31"/>
        <v>12320</v>
      </c>
      <c r="E472" s="79" t="s">
        <v>2492</v>
      </c>
      <c r="F472" s="82" t="str">
        <f t="shared" si="28"/>
        <v>insert into ins_premium_det (premium_rcv_code,assorted_code, rec_amount,premium_rcv_detail_code,remaining_amt, payrec, mode_code,coinsurance_code,class_cd,it_remarks) values</v>
      </c>
      <c r="G472" s="83" t="str">
        <f t="shared" si="29"/>
        <v>('24Sep240082','040000178862','12320',(select max(to_number(i.premium_rcv_detail_code))+1
from ins_premium_det i),'12320','12320','02', '11000003','00','Request by Mr. Omair Ali 25-Sep-2024 allocation no 24Sep240082 ');</v>
      </c>
      <c r="H472" s="84" t="str">
        <f t="shared" si="30"/>
        <v>insert into ins_premium_det (premium_rcv_code,assorted_code, rec_amount,premium_rcv_detail_code,remaining_amt, payrec, mode_code,coinsurance_code,class_cd,it_remarks) values('24Sep240082','040000178862','12320',(select max(to_number(i.premium_rcv_detail_code))+1
from ins_premium_det i),'12320','12320','02', '11000003','00','Request by Mr. Omair Ali 25-Sep-2024 allocation no 24Sep240082 ');</v>
      </c>
    </row>
    <row r="473" spans="1:8" ht="105" x14ac:dyDescent="0.25">
      <c r="A473" t="s">
        <v>585</v>
      </c>
      <c r="B473" s="80" t="str">
        <f>VLOOKUP(A473,[1]Sheet1!$B:$C,2,0)</f>
        <v>040000178864</v>
      </c>
      <c r="C473" s="46">
        <v>13370</v>
      </c>
      <c r="D473" s="81">
        <f t="shared" si="31"/>
        <v>13370</v>
      </c>
      <c r="E473" s="79" t="s">
        <v>2492</v>
      </c>
      <c r="F473" s="82" t="str">
        <f t="shared" si="28"/>
        <v>insert into ins_premium_det (premium_rcv_code,assorted_code, rec_amount,premium_rcv_detail_code,remaining_amt, payrec, mode_code,coinsurance_code,class_cd,it_remarks) values</v>
      </c>
      <c r="G473" s="83" t="str">
        <f t="shared" si="29"/>
        <v>('24Sep240082','040000178864','13370',(select max(to_number(i.premium_rcv_detail_code))+1
from ins_premium_det i),'13370','13370','02', '11000003','00','Request by Mr. Omair Ali 25-Sep-2024 allocation no 24Sep240082 ');</v>
      </c>
      <c r="H473" s="84" t="str">
        <f t="shared" si="30"/>
        <v>insert into ins_premium_det (premium_rcv_code,assorted_code, rec_amount,premium_rcv_detail_code,remaining_amt, payrec, mode_code,coinsurance_code,class_cd,it_remarks) values('24Sep240082','040000178864','13370',(select max(to_number(i.premium_rcv_detail_code))+1
from ins_premium_det i),'13370','13370','02', '11000003','00','Request by Mr. Omair Ali 25-Sep-2024 allocation no 24Sep240082 ');</v>
      </c>
    </row>
    <row r="474" spans="1:8" ht="105" x14ac:dyDescent="0.25">
      <c r="A474" t="s">
        <v>586</v>
      </c>
      <c r="B474" s="80" t="str">
        <f>VLOOKUP(A474,[1]Sheet1!$B:$C,2,0)</f>
        <v>040000178865</v>
      </c>
      <c r="C474" s="46">
        <v>13370</v>
      </c>
      <c r="D474" s="81">
        <f t="shared" si="31"/>
        <v>13370</v>
      </c>
      <c r="E474" s="79" t="s">
        <v>2492</v>
      </c>
      <c r="F474" s="82" t="str">
        <f t="shared" si="28"/>
        <v>insert into ins_premium_det (premium_rcv_code,assorted_code, rec_amount,premium_rcv_detail_code,remaining_amt, payrec, mode_code,coinsurance_code,class_cd,it_remarks) values</v>
      </c>
      <c r="G474" s="83" t="str">
        <f t="shared" si="29"/>
        <v>('24Sep240082','040000178865','13370',(select max(to_number(i.premium_rcv_detail_code))+1
from ins_premium_det i),'13370','13370','02', '11000003','00','Request by Mr. Omair Ali 25-Sep-2024 allocation no 24Sep240082 ');</v>
      </c>
      <c r="H474" s="84" t="str">
        <f t="shared" si="30"/>
        <v>insert into ins_premium_det (premium_rcv_code,assorted_code, rec_amount,premium_rcv_detail_code,remaining_amt, payrec, mode_code,coinsurance_code,class_cd,it_remarks) values('24Sep240082','040000178865','13370',(select max(to_number(i.premium_rcv_detail_code))+1
from ins_premium_det i),'13370','13370','02', '11000003','00','Request by Mr. Omair Ali 25-Sep-2024 allocation no 24Sep240082 ');</v>
      </c>
    </row>
    <row r="475" spans="1:8" ht="105" x14ac:dyDescent="0.25">
      <c r="A475" t="s">
        <v>587</v>
      </c>
      <c r="B475" s="80" t="str">
        <f>VLOOKUP(A475,[1]Sheet1!$B:$C,2,0)</f>
        <v>040000178887</v>
      </c>
      <c r="C475" s="46">
        <v>12320</v>
      </c>
      <c r="D475" s="81">
        <f t="shared" si="31"/>
        <v>12320</v>
      </c>
      <c r="E475" s="79" t="s">
        <v>2492</v>
      </c>
      <c r="F475" s="82" t="str">
        <f t="shared" si="28"/>
        <v>insert into ins_premium_det (premium_rcv_code,assorted_code, rec_amount,premium_rcv_detail_code,remaining_amt, payrec, mode_code,coinsurance_code,class_cd,it_remarks) values</v>
      </c>
      <c r="G475" s="83" t="str">
        <f t="shared" si="29"/>
        <v>('24Sep240082','040000178887','12320',(select max(to_number(i.premium_rcv_detail_code))+1
from ins_premium_det i),'12320','12320','02', '11000003','00','Request by Mr. Omair Ali 25-Sep-2024 allocation no 24Sep240082 ');</v>
      </c>
      <c r="H475" s="84" t="str">
        <f t="shared" si="30"/>
        <v>insert into ins_premium_det (premium_rcv_code,assorted_code, rec_amount,premium_rcv_detail_code,remaining_amt, payrec, mode_code,coinsurance_code,class_cd,it_remarks) values('24Sep240082','040000178887','12320',(select max(to_number(i.premium_rcv_detail_code))+1
from ins_premium_det i),'12320','12320','02', '11000003','00','Request by Mr. Omair Ali 25-Sep-2024 allocation no 24Sep240082 ');</v>
      </c>
    </row>
    <row r="476" spans="1:8" ht="105" x14ac:dyDescent="0.25">
      <c r="A476" t="s">
        <v>588</v>
      </c>
      <c r="B476" s="80" t="str">
        <f>VLOOKUP(A476,[1]Sheet1!$B:$C,2,0)</f>
        <v>040000178893</v>
      </c>
      <c r="C476" s="46">
        <v>8800</v>
      </c>
      <c r="D476" s="81">
        <f t="shared" si="31"/>
        <v>8800</v>
      </c>
      <c r="E476" s="79" t="s">
        <v>2492</v>
      </c>
      <c r="F476" s="82" t="str">
        <f t="shared" si="28"/>
        <v>insert into ins_premium_det (premium_rcv_code,assorted_code, rec_amount,premium_rcv_detail_code,remaining_amt, payrec, mode_code,coinsurance_code,class_cd,it_remarks) values</v>
      </c>
      <c r="G476" s="83" t="str">
        <f t="shared" si="29"/>
        <v>('24Sep240082','040000178893','8800',(select max(to_number(i.premium_rcv_detail_code))+1
from ins_premium_det i),'8800','8800','02', '11000003','00','Request by Mr. Omair Ali 25-Sep-2024 allocation no 24Sep240082 ');</v>
      </c>
      <c r="H476" s="84" t="str">
        <f t="shared" si="30"/>
        <v>insert into ins_premium_det (premium_rcv_code,assorted_code, rec_amount,premium_rcv_detail_code,remaining_amt, payrec, mode_code,coinsurance_code,class_cd,it_remarks) values('24Sep240082','040000178893','8800',(select max(to_number(i.premium_rcv_detail_code))+1
from ins_premium_det i),'8800','8800','02', '11000003','00','Request by Mr. Omair Ali 25-Sep-2024 allocation no 24Sep240082 ');</v>
      </c>
    </row>
    <row r="477" spans="1:8" ht="105" x14ac:dyDescent="0.25">
      <c r="A477" t="s">
        <v>589</v>
      </c>
      <c r="B477" s="80" t="str">
        <f>VLOOKUP(A477,[1]Sheet1!$B:$C,2,0)</f>
        <v>040000178894</v>
      </c>
      <c r="C477" s="46">
        <v>12320</v>
      </c>
      <c r="D477" s="81">
        <f t="shared" si="31"/>
        <v>12320</v>
      </c>
      <c r="E477" s="79" t="s">
        <v>2492</v>
      </c>
      <c r="F477" s="82" t="str">
        <f t="shared" si="28"/>
        <v>insert into ins_premium_det (premium_rcv_code,assorted_code, rec_amount,premium_rcv_detail_code,remaining_amt, payrec, mode_code,coinsurance_code,class_cd,it_remarks) values</v>
      </c>
      <c r="G477" s="83" t="str">
        <f t="shared" si="29"/>
        <v>('24Sep240082','040000178894','12320',(select max(to_number(i.premium_rcv_detail_code))+1
from ins_premium_det i),'12320','12320','02', '11000003','00','Request by Mr. Omair Ali 25-Sep-2024 allocation no 24Sep240082 ');</v>
      </c>
      <c r="H477" s="84" t="str">
        <f t="shared" si="30"/>
        <v>insert into ins_premium_det (premium_rcv_code,assorted_code, rec_amount,premium_rcv_detail_code,remaining_amt, payrec, mode_code,coinsurance_code,class_cd,it_remarks) values('24Sep240082','040000178894','12320',(select max(to_number(i.premium_rcv_detail_code))+1
from ins_premium_det i),'12320','12320','02', '11000003','00','Request by Mr. Omair Ali 25-Sep-2024 allocation no 24Sep240082 ');</v>
      </c>
    </row>
    <row r="478" spans="1:8" ht="105" x14ac:dyDescent="0.25">
      <c r="A478" t="s">
        <v>590</v>
      </c>
      <c r="B478" s="80" t="str">
        <f>VLOOKUP(A478,[1]Sheet1!$B:$C,2,0)</f>
        <v>040000178901</v>
      </c>
      <c r="C478" s="46">
        <v>8800</v>
      </c>
      <c r="D478" s="81">
        <f t="shared" si="31"/>
        <v>8800</v>
      </c>
      <c r="E478" s="79" t="s">
        <v>2492</v>
      </c>
      <c r="F478" s="82" t="str">
        <f t="shared" si="28"/>
        <v>insert into ins_premium_det (premium_rcv_code,assorted_code, rec_amount,premium_rcv_detail_code,remaining_amt, payrec, mode_code,coinsurance_code,class_cd,it_remarks) values</v>
      </c>
      <c r="G478" s="83" t="str">
        <f t="shared" si="29"/>
        <v>('24Sep240082','040000178901','8800',(select max(to_number(i.premium_rcv_detail_code))+1
from ins_premium_det i),'8800','8800','02', '11000003','00','Request by Mr. Omair Ali 25-Sep-2024 allocation no 24Sep240082 ');</v>
      </c>
      <c r="H478" s="84" t="str">
        <f t="shared" si="30"/>
        <v>insert into ins_premium_det (premium_rcv_code,assorted_code, rec_amount,premium_rcv_detail_code,remaining_amt, payrec, mode_code,coinsurance_code,class_cd,it_remarks) values('24Sep240082','040000178901','8800',(select max(to_number(i.premium_rcv_detail_code))+1
from ins_premium_det i),'8800','8800','02', '11000003','00','Request by Mr. Omair Ali 25-Sep-2024 allocation no 24Sep240082 ');</v>
      </c>
    </row>
    <row r="479" spans="1:8" ht="105" x14ac:dyDescent="0.25">
      <c r="A479" t="s">
        <v>591</v>
      </c>
      <c r="B479" s="80" t="str">
        <f>VLOOKUP(A479,[1]Sheet1!$B:$C,2,0)</f>
        <v>040000178903</v>
      </c>
      <c r="C479" s="46">
        <v>9550</v>
      </c>
      <c r="D479" s="81">
        <f t="shared" si="31"/>
        <v>9550</v>
      </c>
      <c r="E479" s="79" t="s">
        <v>2492</v>
      </c>
      <c r="F479" s="82" t="str">
        <f t="shared" si="28"/>
        <v>insert into ins_premium_det (premium_rcv_code,assorted_code, rec_amount,premium_rcv_detail_code,remaining_amt, payrec, mode_code,coinsurance_code,class_cd,it_remarks) values</v>
      </c>
      <c r="G479" s="83" t="str">
        <f t="shared" si="29"/>
        <v>('24Sep240082','040000178903','9550',(select max(to_number(i.premium_rcv_detail_code))+1
from ins_premium_det i),'9550','9550','02', '11000003','00','Request by Mr. Omair Ali 25-Sep-2024 allocation no 24Sep240082 ');</v>
      </c>
      <c r="H479" s="84" t="str">
        <f t="shared" si="30"/>
        <v>insert into ins_premium_det (premium_rcv_code,assorted_code, rec_amount,premium_rcv_detail_code,remaining_amt, payrec, mode_code,coinsurance_code,class_cd,it_remarks) values('24Sep240082','040000178903','9550',(select max(to_number(i.premium_rcv_detail_code))+1
from ins_premium_det i),'9550','9550','02', '11000003','00','Request by Mr. Omair Ali 25-Sep-2024 allocation no 24Sep240082 ');</v>
      </c>
    </row>
    <row r="480" spans="1:8" ht="105" x14ac:dyDescent="0.25">
      <c r="A480" t="s">
        <v>592</v>
      </c>
      <c r="B480" s="80" t="str">
        <f>VLOOKUP(A480,[1]Sheet1!$B:$C,2,0)</f>
        <v>040000178905</v>
      </c>
      <c r="C480" s="46">
        <v>8800</v>
      </c>
      <c r="D480" s="81">
        <f t="shared" si="31"/>
        <v>8800</v>
      </c>
      <c r="E480" s="79" t="s">
        <v>2492</v>
      </c>
      <c r="F480" s="82" t="str">
        <f t="shared" si="28"/>
        <v>insert into ins_premium_det (premium_rcv_code,assorted_code, rec_amount,premium_rcv_detail_code,remaining_amt, payrec, mode_code,coinsurance_code,class_cd,it_remarks) values</v>
      </c>
      <c r="G480" s="83" t="str">
        <f t="shared" si="29"/>
        <v>('24Sep240082','040000178905','8800',(select max(to_number(i.premium_rcv_detail_code))+1
from ins_premium_det i),'8800','8800','02', '11000003','00','Request by Mr. Omair Ali 25-Sep-2024 allocation no 24Sep240082 ');</v>
      </c>
      <c r="H480" s="84" t="str">
        <f t="shared" si="30"/>
        <v>insert into ins_premium_det (premium_rcv_code,assorted_code, rec_amount,premium_rcv_detail_code,remaining_amt, payrec, mode_code,coinsurance_code,class_cd,it_remarks) values('24Sep240082','040000178905','8800',(select max(to_number(i.premium_rcv_detail_code))+1
from ins_premium_det i),'8800','8800','02', '11000003','00','Request by Mr. Omair Ali 25-Sep-2024 allocation no 24Sep240082 ');</v>
      </c>
    </row>
    <row r="481" spans="1:8" ht="105" x14ac:dyDescent="0.25">
      <c r="A481" t="s">
        <v>593</v>
      </c>
      <c r="B481" s="80" t="str">
        <f>VLOOKUP(A481,[1]Sheet1!$B:$C,2,0)</f>
        <v>040000178909</v>
      </c>
      <c r="C481" s="46">
        <v>13675</v>
      </c>
      <c r="D481" s="81">
        <f t="shared" si="31"/>
        <v>13675</v>
      </c>
      <c r="E481" s="79" t="s">
        <v>2492</v>
      </c>
      <c r="F481" s="82" t="str">
        <f t="shared" si="28"/>
        <v>insert into ins_premium_det (premium_rcv_code,assorted_code, rec_amount,premium_rcv_detail_code,remaining_amt, payrec, mode_code,coinsurance_code,class_cd,it_remarks) values</v>
      </c>
      <c r="G481" s="83" t="str">
        <f t="shared" si="29"/>
        <v>('24Sep240082','040000178909','13675',(select max(to_number(i.premium_rcv_detail_code))+1
from ins_premium_det i),'13675','13675','02', '11000003','00','Request by Mr. Omair Ali 25-Sep-2024 allocation no 24Sep240082 ');</v>
      </c>
      <c r="H481" s="84" t="str">
        <f t="shared" si="30"/>
        <v>insert into ins_premium_det (premium_rcv_code,assorted_code, rec_amount,premium_rcv_detail_code,remaining_amt, payrec, mode_code,coinsurance_code,class_cd,it_remarks) values('24Sep240082','040000178909','13675',(select max(to_number(i.premium_rcv_detail_code))+1
from ins_premium_det i),'13675','13675','02', '11000003','00','Request by Mr. Omair Ali 25-Sep-2024 allocation no 24Sep240082 ');</v>
      </c>
    </row>
    <row r="482" spans="1:8" ht="105" x14ac:dyDescent="0.25">
      <c r="A482" t="s">
        <v>594</v>
      </c>
      <c r="B482" s="80" t="str">
        <f>VLOOKUP(A482,[1]Sheet1!$B:$C,2,0)</f>
        <v>040000178912</v>
      </c>
      <c r="C482" s="46">
        <v>9550</v>
      </c>
      <c r="D482" s="81">
        <f t="shared" si="31"/>
        <v>9550</v>
      </c>
      <c r="E482" s="79" t="s">
        <v>2492</v>
      </c>
      <c r="F482" s="82" t="str">
        <f t="shared" si="28"/>
        <v>insert into ins_premium_det (premium_rcv_code,assorted_code, rec_amount,premium_rcv_detail_code,remaining_amt, payrec, mode_code,coinsurance_code,class_cd,it_remarks) values</v>
      </c>
      <c r="G482" s="83" t="str">
        <f t="shared" si="29"/>
        <v>('24Sep240082','040000178912','9550',(select max(to_number(i.premium_rcv_detail_code))+1
from ins_premium_det i),'9550','9550','02', '11000003','00','Request by Mr. Omair Ali 25-Sep-2024 allocation no 24Sep240082 ');</v>
      </c>
      <c r="H482" s="84" t="str">
        <f t="shared" si="30"/>
        <v>insert into ins_premium_det (premium_rcv_code,assorted_code, rec_amount,premium_rcv_detail_code,remaining_amt, payrec, mode_code,coinsurance_code,class_cd,it_remarks) values('24Sep240082','040000178912','9550',(select max(to_number(i.premium_rcv_detail_code))+1
from ins_premium_det i),'9550','9550','02', '11000003','00','Request by Mr. Omair Ali 25-Sep-2024 allocation no 24Sep240082 ');</v>
      </c>
    </row>
    <row r="483" spans="1:8" ht="105" x14ac:dyDescent="0.25">
      <c r="A483" t="s">
        <v>595</v>
      </c>
      <c r="B483" s="80" t="str">
        <f>VLOOKUP(A483,[1]Sheet1!$B:$C,2,0)</f>
        <v>040000178916</v>
      </c>
      <c r="C483" s="46">
        <v>9550</v>
      </c>
      <c r="D483" s="81">
        <f t="shared" si="31"/>
        <v>9550</v>
      </c>
      <c r="E483" s="79" t="s">
        <v>2492</v>
      </c>
      <c r="F483" s="82" t="str">
        <f t="shared" si="28"/>
        <v>insert into ins_premium_det (premium_rcv_code,assorted_code, rec_amount,premium_rcv_detail_code,remaining_amt, payrec, mode_code,coinsurance_code,class_cd,it_remarks) values</v>
      </c>
      <c r="G483" s="83" t="str">
        <f t="shared" si="29"/>
        <v>('24Sep240082','040000178916','9550',(select max(to_number(i.premium_rcv_detail_code))+1
from ins_premium_det i),'9550','9550','02', '11000003','00','Request by Mr. Omair Ali 25-Sep-2024 allocation no 24Sep240082 ');</v>
      </c>
      <c r="H483" s="84" t="str">
        <f t="shared" si="30"/>
        <v>insert into ins_premium_det (premium_rcv_code,assorted_code, rec_amount,premium_rcv_detail_code,remaining_amt, payrec, mode_code,coinsurance_code,class_cd,it_remarks) values('24Sep240082','040000178916','9550',(select max(to_number(i.premium_rcv_detail_code))+1
from ins_premium_det i),'9550','9550','02', '11000003','00','Request by Mr. Omair Ali 25-Sep-2024 allocation no 24Sep240082 ');</v>
      </c>
    </row>
    <row r="484" spans="1:8" ht="105" x14ac:dyDescent="0.25">
      <c r="A484" t="s">
        <v>596</v>
      </c>
      <c r="B484" s="80" t="str">
        <f>VLOOKUP(A484,[1]Sheet1!$B:$C,2,0)</f>
        <v>040000178917</v>
      </c>
      <c r="C484" s="46">
        <v>8800</v>
      </c>
      <c r="D484" s="81">
        <f t="shared" si="31"/>
        <v>8800</v>
      </c>
      <c r="E484" s="79" t="s">
        <v>2492</v>
      </c>
      <c r="F484" s="82" t="str">
        <f t="shared" si="28"/>
        <v>insert into ins_premium_det (premium_rcv_code,assorted_code, rec_amount,premium_rcv_detail_code,remaining_amt, payrec, mode_code,coinsurance_code,class_cd,it_remarks) values</v>
      </c>
      <c r="G484" s="83" t="str">
        <f t="shared" si="29"/>
        <v>('24Sep240082','040000178917','8800',(select max(to_number(i.premium_rcv_detail_code))+1
from ins_premium_det i),'8800','8800','02', '11000003','00','Request by Mr. Omair Ali 25-Sep-2024 allocation no 24Sep240082 ');</v>
      </c>
      <c r="H484" s="84" t="str">
        <f t="shared" si="30"/>
        <v>insert into ins_premium_det (premium_rcv_code,assorted_code, rec_amount,premium_rcv_detail_code,remaining_amt, payrec, mode_code,coinsurance_code,class_cd,it_remarks) values('24Sep240082','040000178917','8800',(select max(to_number(i.premium_rcv_detail_code))+1
from ins_premium_det i),'8800','8800','02', '11000003','00','Request by Mr. Omair Ali 25-Sep-2024 allocation no 24Sep240082 ');</v>
      </c>
    </row>
    <row r="485" spans="1:8" ht="105" x14ac:dyDescent="0.25">
      <c r="A485" t="s">
        <v>597</v>
      </c>
      <c r="B485" s="80" t="str">
        <f>VLOOKUP(A485,[1]Sheet1!$B:$C,2,0)</f>
        <v>040000178919</v>
      </c>
      <c r="C485" s="46">
        <v>8800</v>
      </c>
      <c r="D485" s="81">
        <f t="shared" si="31"/>
        <v>8800</v>
      </c>
      <c r="E485" s="79" t="s">
        <v>2492</v>
      </c>
      <c r="F485" s="82" t="str">
        <f t="shared" si="28"/>
        <v>insert into ins_premium_det (premium_rcv_code,assorted_code, rec_amount,premium_rcv_detail_code,remaining_amt, payrec, mode_code,coinsurance_code,class_cd,it_remarks) values</v>
      </c>
      <c r="G485" s="83" t="str">
        <f t="shared" si="29"/>
        <v>('24Sep240082','040000178919','8800',(select max(to_number(i.premium_rcv_detail_code))+1
from ins_premium_det i),'8800','8800','02', '11000003','00','Request by Mr. Omair Ali 25-Sep-2024 allocation no 24Sep240082 ');</v>
      </c>
      <c r="H485" s="84" t="str">
        <f t="shared" si="30"/>
        <v>insert into ins_premium_det (premium_rcv_code,assorted_code, rec_amount,premium_rcv_detail_code,remaining_amt, payrec, mode_code,coinsurance_code,class_cd,it_remarks) values('24Sep240082','040000178919','8800',(select max(to_number(i.premium_rcv_detail_code))+1
from ins_premium_det i),'8800','8800','02', '11000003','00','Request by Mr. Omair Ali 25-Sep-2024 allocation no 24Sep240082 ');</v>
      </c>
    </row>
    <row r="486" spans="1:8" ht="105" x14ac:dyDescent="0.25">
      <c r="A486" t="s">
        <v>598</v>
      </c>
      <c r="B486" s="80" t="str">
        <f>VLOOKUP(A486,[1]Sheet1!$B:$C,2,0)</f>
        <v>040000178920</v>
      </c>
      <c r="C486" s="46">
        <v>8800</v>
      </c>
      <c r="D486" s="81">
        <f t="shared" si="31"/>
        <v>8800</v>
      </c>
      <c r="E486" s="79" t="s">
        <v>2492</v>
      </c>
      <c r="F486" s="82" t="str">
        <f t="shared" si="28"/>
        <v>insert into ins_premium_det (premium_rcv_code,assorted_code, rec_amount,premium_rcv_detail_code,remaining_amt, payrec, mode_code,coinsurance_code,class_cd,it_remarks) values</v>
      </c>
      <c r="G486" s="83" t="str">
        <f t="shared" si="29"/>
        <v>('24Sep240082','040000178920','8800',(select max(to_number(i.premium_rcv_detail_code))+1
from ins_premium_det i),'8800','8800','02', '11000003','00','Request by Mr. Omair Ali 25-Sep-2024 allocation no 24Sep240082 ');</v>
      </c>
      <c r="H486" s="84" t="str">
        <f t="shared" si="30"/>
        <v>insert into ins_premium_det (premium_rcv_code,assorted_code, rec_amount,premium_rcv_detail_code,remaining_amt, payrec, mode_code,coinsurance_code,class_cd,it_remarks) values('24Sep240082','040000178920','8800',(select max(to_number(i.premium_rcv_detail_code))+1
from ins_premium_det i),'8800','8800','02', '11000003','00','Request by Mr. Omair Ali 25-Sep-2024 allocation no 24Sep240082 ');</v>
      </c>
    </row>
    <row r="487" spans="1:8" ht="105" x14ac:dyDescent="0.25">
      <c r="A487" t="s">
        <v>599</v>
      </c>
      <c r="B487" s="80" t="str">
        <f>VLOOKUP(A487,[1]Sheet1!$B:$C,2,0)</f>
        <v>040000178923</v>
      </c>
      <c r="C487" s="46">
        <v>13370</v>
      </c>
      <c r="D487" s="81">
        <f t="shared" si="31"/>
        <v>13370</v>
      </c>
      <c r="E487" s="79" t="s">
        <v>2492</v>
      </c>
      <c r="F487" s="82" t="str">
        <f t="shared" si="28"/>
        <v>insert into ins_premium_det (premium_rcv_code,assorted_code, rec_amount,premium_rcv_detail_code,remaining_amt, payrec, mode_code,coinsurance_code,class_cd,it_remarks) values</v>
      </c>
      <c r="G487" s="83" t="str">
        <f t="shared" si="29"/>
        <v>('24Sep240082','040000178923','13370',(select max(to_number(i.premium_rcv_detail_code))+1
from ins_premium_det i),'13370','13370','02', '11000003','00','Request by Mr. Omair Ali 25-Sep-2024 allocation no 24Sep240082 ');</v>
      </c>
      <c r="H487" s="84" t="str">
        <f t="shared" si="30"/>
        <v>insert into ins_premium_det (premium_rcv_code,assorted_code, rec_amount,premium_rcv_detail_code,remaining_amt, payrec, mode_code,coinsurance_code,class_cd,it_remarks) values('24Sep240082','040000178923','13370',(select max(to_number(i.premium_rcv_detail_code))+1
from ins_premium_det i),'13370','13370','02', '11000003','00','Request by Mr. Omair Ali 25-Sep-2024 allocation no 24Sep240082 ');</v>
      </c>
    </row>
    <row r="488" spans="1:8" ht="105" x14ac:dyDescent="0.25">
      <c r="A488" t="s">
        <v>600</v>
      </c>
      <c r="B488" s="80" t="str">
        <f>VLOOKUP(A488,[1]Sheet1!$B:$C,2,0)</f>
        <v>040000178924</v>
      </c>
      <c r="C488" s="46">
        <v>12475</v>
      </c>
      <c r="D488" s="81">
        <f t="shared" si="31"/>
        <v>12475</v>
      </c>
      <c r="E488" s="79" t="s">
        <v>2492</v>
      </c>
      <c r="F488" s="82" t="str">
        <f t="shared" si="28"/>
        <v>insert into ins_premium_det (premium_rcv_code,assorted_code, rec_amount,premium_rcv_detail_code,remaining_amt, payrec, mode_code,coinsurance_code,class_cd,it_remarks) values</v>
      </c>
      <c r="G488" s="83" t="str">
        <f t="shared" si="29"/>
        <v>('24Sep240082','040000178924','12475',(select max(to_number(i.premium_rcv_detail_code))+1
from ins_premium_det i),'12475','12475','02', '11000003','00','Request by Mr. Omair Ali 25-Sep-2024 allocation no 24Sep240082 ');</v>
      </c>
      <c r="H488" s="84" t="str">
        <f t="shared" si="30"/>
        <v>insert into ins_premium_det (premium_rcv_code,assorted_code, rec_amount,premium_rcv_detail_code,remaining_amt, payrec, mode_code,coinsurance_code,class_cd,it_remarks) values('24Sep240082','040000178924','12475',(select max(to_number(i.premium_rcv_detail_code))+1
from ins_premium_det i),'12475','12475','02', '11000003','00','Request by Mr. Omair Ali 25-Sep-2024 allocation no 24Sep240082 ');</v>
      </c>
    </row>
    <row r="489" spans="1:8" ht="105" x14ac:dyDescent="0.25">
      <c r="A489" t="s">
        <v>601</v>
      </c>
      <c r="B489" s="80" t="str">
        <f>VLOOKUP(A489,[1]Sheet1!$B:$C,2,0)</f>
        <v>040000178929</v>
      </c>
      <c r="C489" s="46">
        <v>8800</v>
      </c>
      <c r="D489" s="81">
        <f t="shared" si="31"/>
        <v>8800</v>
      </c>
      <c r="E489" s="79" t="s">
        <v>2492</v>
      </c>
      <c r="F489" s="82" t="str">
        <f t="shared" si="28"/>
        <v>insert into ins_premium_det (premium_rcv_code,assorted_code, rec_amount,premium_rcv_detail_code,remaining_amt, payrec, mode_code,coinsurance_code,class_cd,it_remarks) values</v>
      </c>
      <c r="G489" s="83" t="str">
        <f t="shared" si="29"/>
        <v>('24Sep240082','040000178929','8800',(select max(to_number(i.premium_rcv_detail_code))+1
from ins_premium_det i),'8800','8800','02', '11000003','00','Request by Mr. Omair Ali 25-Sep-2024 allocation no 24Sep240082 ');</v>
      </c>
      <c r="H489" s="84" t="str">
        <f t="shared" si="30"/>
        <v>insert into ins_premium_det (premium_rcv_code,assorted_code, rec_amount,premium_rcv_detail_code,remaining_amt, payrec, mode_code,coinsurance_code,class_cd,it_remarks) values('24Sep240082','040000178929','8800',(select max(to_number(i.premium_rcv_detail_code))+1
from ins_premium_det i),'8800','8800','02', '11000003','00','Request by Mr. Omair Ali 25-Sep-2024 allocation no 24Sep240082 ');</v>
      </c>
    </row>
    <row r="490" spans="1:8" ht="105" x14ac:dyDescent="0.25">
      <c r="A490" t="s">
        <v>602</v>
      </c>
      <c r="B490" s="80" t="str">
        <f>VLOOKUP(A490,[1]Sheet1!$B:$C,2,0)</f>
        <v>040000178933</v>
      </c>
      <c r="C490" s="46">
        <v>9550</v>
      </c>
      <c r="D490" s="81">
        <f t="shared" si="31"/>
        <v>9550</v>
      </c>
      <c r="E490" s="79" t="s">
        <v>2492</v>
      </c>
      <c r="F490" s="82" t="str">
        <f t="shared" si="28"/>
        <v>insert into ins_premium_det (premium_rcv_code,assorted_code, rec_amount,premium_rcv_detail_code,remaining_amt, payrec, mode_code,coinsurance_code,class_cd,it_remarks) values</v>
      </c>
      <c r="G490" s="83" t="str">
        <f t="shared" si="29"/>
        <v>('24Sep240082','040000178933','9550',(select max(to_number(i.premium_rcv_detail_code))+1
from ins_premium_det i),'9550','9550','02', '11000003','00','Request by Mr. Omair Ali 25-Sep-2024 allocation no 24Sep240082 ');</v>
      </c>
      <c r="H490" s="84" t="str">
        <f t="shared" si="30"/>
        <v>insert into ins_premium_det (premium_rcv_code,assorted_code, rec_amount,premium_rcv_detail_code,remaining_amt, payrec, mode_code,coinsurance_code,class_cd,it_remarks) values('24Sep240082','040000178933','9550',(select max(to_number(i.premium_rcv_detail_code))+1
from ins_premium_det i),'9550','9550','02', '11000003','00','Request by Mr. Omair Ali 25-Sep-2024 allocation no 24Sep240082 ');</v>
      </c>
    </row>
    <row r="491" spans="1:8" ht="105" x14ac:dyDescent="0.25">
      <c r="A491" t="s">
        <v>603</v>
      </c>
      <c r="B491" s="80" t="str">
        <f>VLOOKUP(A491,[1]Sheet1!$B:$C,2,0)</f>
        <v>040000178934</v>
      </c>
      <c r="C491" s="46">
        <v>8800</v>
      </c>
      <c r="D491" s="81">
        <f t="shared" si="31"/>
        <v>8800</v>
      </c>
      <c r="E491" s="79" t="s">
        <v>2492</v>
      </c>
      <c r="F491" s="82" t="str">
        <f t="shared" si="28"/>
        <v>insert into ins_premium_det (premium_rcv_code,assorted_code, rec_amount,premium_rcv_detail_code,remaining_amt, payrec, mode_code,coinsurance_code,class_cd,it_remarks) values</v>
      </c>
      <c r="G491" s="83" t="str">
        <f t="shared" si="29"/>
        <v>('24Sep240082','040000178934','8800',(select max(to_number(i.premium_rcv_detail_code))+1
from ins_premium_det i),'8800','8800','02', '11000003','00','Request by Mr. Omair Ali 25-Sep-2024 allocation no 24Sep240082 ');</v>
      </c>
      <c r="H491" s="84" t="str">
        <f t="shared" si="30"/>
        <v>insert into ins_premium_det (premium_rcv_code,assorted_code, rec_amount,premium_rcv_detail_code,remaining_amt, payrec, mode_code,coinsurance_code,class_cd,it_remarks) values('24Sep240082','040000178934','8800',(select max(to_number(i.premium_rcv_detail_code))+1
from ins_premium_det i),'8800','8800','02', '11000003','00','Request by Mr. Omair Ali 25-Sep-2024 allocation no 24Sep240082 ');</v>
      </c>
    </row>
    <row r="492" spans="1:8" ht="105" x14ac:dyDescent="0.25">
      <c r="A492" t="s">
        <v>604</v>
      </c>
      <c r="B492" s="80" t="str">
        <f>VLOOKUP(A492,[1]Sheet1!$B:$C,2,0)</f>
        <v>040000178936</v>
      </c>
      <c r="C492" s="46">
        <v>8800</v>
      </c>
      <c r="D492" s="81">
        <f t="shared" si="31"/>
        <v>8800</v>
      </c>
      <c r="E492" s="79" t="s">
        <v>2492</v>
      </c>
      <c r="F492" s="82" t="str">
        <f t="shared" si="28"/>
        <v>insert into ins_premium_det (premium_rcv_code,assorted_code, rec_amount,premium_rcv_detail_code,remaining_amt, payrec, mode_code,coinsurance_code,class_cd,it_remarks) values</v>
      </c>
      <c r="G492" s="83" t="str">
        <f t="shared" si="29"/>
        <v>('24Sep240082','040000178936','8800',(select max(to_number(i.premium_rcv_detail_code))+1
from ins_premium_det i),'8800','8800','02', '11000003','00','Request by Mr. Omair Ali 25-Sep-2024 allocation no 24Sep240082 ');</v>
      </c>
      <c r="H492" s="84" t="str">
        <f t="shared" si="30"/>
        <v>insert into ins_premium_det (premium_rcv_code,assorted_code, rec_amount,premium_rcv_detail_code,remaining_amt, payrec, mode_code,coinsurance_code,class_cd,it_remarks) values('24Sep240082','040000178936','8800',(select max(to_number(i.premium_rcv_detail_code))+1
from ins_premium_det i),'8800','8800','02', '11000003','00','Request by Mr. Omair Ali 25-Sep-2024 allocation no 24Sep240082 ');</v>
      </c>
    </row>
    <row r="493" spans="1:8" ht="105" x14ac:dyDescent="0.25">
      <c r="A493" t="s">
        <v>605</v>
      </c>
      <c r="B493" s="80" t="str">
        <f>VLOOKUP(A493,[1]Sheet1!$B:$C,2,0)</f>
        <v>040000178938</v>
      </c>
      <c r="C493" s="46">
        <v>8800</v>
      </c>
      <c r="D493" s="81">
        <f t="shared" si="31"/>
        <v>8800</v>
      </c>
      <c r="E493" s="79" t="s">
        <v>2492</v>
      </c>
      <c r="F493" s="82" t="str">
        <f t="shared" si="28"/>
        <v>insert into ins_premium_det (premium_rcv_code,assorted_code, rec_amount,premium_rcv_detail_code,remaining_amt, payrec, mode_code,coinsurance_code,class_cd,it_remarks) values</v>
      </c>
      <c r="G493" s="83" t="str">
        <f t="shared" si="29"/>
        <v>('24Sep240082','040000178938','8800',(select max(to_number(i.premium_rcv_detail_code))+1
from ins_premium_det i),'8800','8800','02', '11000003','00','Request by Mr. Omair Ali 25-Sep-2024 allocation no 24Sep240082 ');</v>
      </c>
      <c r="H493" s="84" t="str">
        <f t="shared" si="30"/>
        <v>insert into ins_premium_det (premium_rcv_code,assorted_code, rec_amount,premium_rcv_detail_code,remaining_amt, payrec, mode_code,coinsurance_code,class_cd,it_remarks) values('24Sep240082','040000178938','8800',(select max(to_number(i.premium_rcv_detail_code))+1
from ins_premium_det i),'8800','8800','02', '11000003','00','Request by Mr. Omair Ali 25-Sep-2024 allocation no 24Sep240082 ');</v>
      </c>
    </row>
    <row r="494" spans="1:8" ht="105" x14ac:dyDescent="0.25">
      <c r="A494" t="s">
        <v>606</v>
      </c>
      <c r="B494" s="80" t="str">
        <f>VLOOKUP(A494,[1]Sheet1!$B:$C,2,0)</f>
        <v>040000178945</v>
      </c>
      <c r="C494" s="46">
        <v>12320</v>
      </c>
      <c r="D494" s="81">
        <f t="shared" si="31"/>
        <v>12320</v>
      </c>
      <c r="E494" s="79" t="s">
        <v>2492</v>
      </c>
      <c r="F494" s="82" t="str">
        <f t="shared" si="28"/>
        <v>insert into ins_premium_det (premium_rcv_code,assorted_code, rec_amount,premium_rcv_detail_code,remaining_amt, payrec, mode_code,coinsurance_code,class_cd,it_remarks) values</v>
      </c>
      <c r="G494" s="83" t="str">
        <f t="shared" si="29"/>
        <v>('24Sep240082','040000178945','12320',(select max(to_number(i.premium_rcv_detail_code))+1
from ins_premium_det i),'12320','12320','02', '11000003','00','Request by Mr. Omair Ali 25-Sep-2024 allocation no 24Sep240082 ');</v>
      </c>
      <c r="H494" s="84" t="str">
        <f t="shared" si="30"/>
        <v>insert into ins_premium_det (premium_rcv_code,assorted_code, rec_amount,premium_rcv_detail_code,remaining_amt, payrec, mode_code,coinsurance_code,class_cd,it_remarks) values('24Sep240082','040000178945','12320',(select max(to_number(i.premium_rcv_detail_code))+1
from ins_premium_det i),'12320','12320','02', '11000003','00','Request by Mr. Omair Ali 25-Sep-2024 allocation no 24Sep240082 ');</v>
      </c>
    </row>
    <row r="495" spans="1:8" ht="105" x14ac:dyDescent="0.25">
      <c r="A495" t="s">
        <v>607</v>
      </c>
      <c r="B495" s="80" t="str">
        <f>VLOOKUP(A495,[1]Sheet1!$B:$C,2,0)</f>
        <v>040000178947</v>
      </c>
      <c r="C495" s="46">
        <v>8800</v>
      </c>
      <c r="D495" s="81">
        <f t="shared" si="31"/>
        <v>8800</v>
      </c>
      <c r="E495" s="79" t="s">
        <v>2492</v>
      </c>
      <c r="F495" s="82" t="str">
        <f t="shared" si="28"/>
        <v>insert into ins_premium_det (premium_rcv_code,assorted_code, rec_amount,premium_rcv_detail_code,remaining_amt, payrec, mode_code,coinsurance_code,class_cd,it_remarks) values</v>
      </c>
      <c r="G495" s="83" t="str">
        <f t="shared" si="29"/>
        <v>('24Sep240082','040000178947','8800',(select max(to_number(i.premium_rcv_detail_code))+1
from ins_premium_det i),'8800','8800','02', '11000003','00','Request by Mr. Omair Ali 25-Sep-2024 allocation no 24Sep240082 ');</v>
      </c>
      <c r="H495" s="84" t="str">
        <f t="shared" si="30"/>
        <v>insert into ins_premium_det (premium_rcv_code,assorted_code, rec_amount,premium_rcv_detail_code,remaining_amt, payrec, mode_code,coinsurance_code,class_cd,it_remarks) values('24Sep240082','040000178947','8800',(select max(to_number(i.premium_rcv_detail_code))+1
from ins_premium_det i),'8800','8800','02', '11000003','00','Request by Mr. Omair Ali 25-Sep-2024 allocation no 24Sep240082 ');</v>
      </c>
    </row>
    <row r="496" spans="1:8" ht="105" x14ac:dyDescent="0.25">
      <c r="A496" t="s">
        <v>608</v>
      </c>
      <c r="B496" s="80" t="str">
        <f>VLOOKUP(A496,[1]Sheet1!$B:$C,2,0)</f>
        <v>040000178949</v>
      </c>
      <c r="C496" s="46">
        <v>8800</v>
      </c>
      <c r="D496" s="81">
        <f t="shared" si="31"/>
        <v>8800</v>
      </c>
      <c r="E496" s="79" t="s">
        <v>2492</v>
      </c>
      <c r="F496" s="82" t="str">
        <f t="shared" si="28"/>
        <v>insert into ins_premium_det (premium_rcv_code,assorted_code, rec_amount,premium_rcv_detail_code,remaining_amt, payrec, mode_code,coinsurance_code,class_cd,it_remarks) values</v>
      </c>
      <c r="G496" s="83" t="str">
        <f t="shared" si="29"/>
        <v>('24Sep240082','040000178949','8800',(select max(to_number(i.premium_rcv_detail_code))+1
from ins_premium_det i),'8800','8800','02', '11000003','00','Request by Mr. Omair Ali 25-Sep-2024 allocation no 24Sep240082 ');</v>
      </c>
      <c r="H496" s="84" t="str">
        <f t="shared" si="30"/>
        <v>insert into ins_premium_det (premium_rcv_code,assorted_code, rec_amount,premium_rcv_detail_code,remaining_amt, payrec, mode_code,coinsurance_code,class_cd,it_remarks) values('24Sep240082','040000178949','8800',(select max(to_number(i.premium_rcv_detail_code))+1
from ins_premium_det i),'8800','8800','02', '11000003','00','Request by Mr. Omair Ali 25-Sep-2024 allocation no 24Sep240082 ');</v>
      </c>
    </row>
    <row r="497" spans="1:8" ht="105" x14ac:dyDescent="0.25">
      <c r="A497" t="s">
        <v>609</v>
      </c>
      <c r="B497" s="80" t="str">
        <f>VLOOKUP(A497,[1]Sheet1!$B:$C,2,0)</f>
        <v>040000178951</v>
      </c>
      <c r="C497" s="46">
        <v>8800</v>
      </c>
      <c r="D497" s="81">
        <f t="shared" si="31"/>
        <v>8800</v>
      </c>
      <c r="E497" s="79" t="s">
        <v>2492</v>
      </c>
      <c r="F497" s="82" t="str">
        <f t="shared" si="28"/>
        <v>insert into ins_premium_det (premium_rcv_code,assorted_code, rec_amount,premium_rcv_detail_code,remaining_amt, payrec, mode_code,coinsurance_code,class_cd,it_remarks) values</v>
      </c>
      <c r="G497" s="83" t="str">
        <f t="shared" si="29"/>
        <v>('24Sep240082','040000178951','8800',(select max(to_number(i.premium_rcv_detail_code))+1
from ins_premium_det i),'8800','8800','02', '11000003','00','Request by Mr. Omair Ali 25-Sep-2024 allocation no 24Sep240082 ');</v>
      </c>
      <c r="H497" s="84" t="str">
        <f t="shared" si="30"/>
        <v>insert into ins_premium_det (premium_rcv_code,assorted_code, rec_amount,premium_rcv_detail_code,remaining_amt, payrec, mode_code,coinsurance_code,class_cd,it_remarks) values('24Sep240082','040000178951','8800',(select max(to_number(i.premium_rcv_detail_code))+1
from ins_premium_det i),'8800','8800','02', '11000003','00','Request by Mr. Omair Ali 25-Sep-2024 allocation no 24Sep240082 ');</v>
      </c>
    </row>
    <row r="498" spans="1:8" ht="105" x14ac:dyDescent="0.25">
      <c r="A498" t="s">
        <v>610</v>
      </c>
      <c r="B498" s="80" t="str">
        <f>VLOOKUP(A498,[1]Sheet1!$B:$C,2,0)</f>
        <v>040000178952</v>
      </c>
      <c r="C498" s="46">
        <v>8800</v>
      </c>
      <c r="D498" s="81">
        <f t="shared" si="31"/>
        <v>8800</v>
      </c>
      <c r="E498" s="79" t="s">
        <v>2492</v>
      </c>
      <c r="F498" s="82" t="str">
        <f t="shared" si="28"/>
        <v>insert into ins_premium_det (premium_rcv_code,assorted_code, rec_amount,premium_rcv_detail_code,remaining_amt, payrec, mode_code,coinsurance_code,class_cd,it_remarks) values</v>
      </c>
      <c r="G498" s="83" t="str">
        <f t="shared" si="29"/>
        <v>('24Sep240082','040000178952','8800',(select max(to_number(i.premium_rcv_detail_code))+1
from ins_premium_det i),'8800','8800','02', '11000003','00','Request by Mr. Omair Ali 25-Sep-2024 allocation no 24Sep240082 ');</v>
      </c>
      <c r="H498" s="84" t="str">
        <f t="shared" si="30"/>
        <v>insert into ins_premium_det (premium_rcv_code,assorted_code, rec_amount,premium_rcv_detail_code,remaining_amt, payrec, mode_code,coinsurance_code,class_cd,it_remarks) values('24Sep240082','040000178952','8800',(select max(to_number(i.premium_rcv_detail_code))+1
from ins_premium_det i),'8800','8800','02', '11000003','00','Request by Mr. Omair Ali 25-Sep-2024 allocation no 24Sep240082 ');</v>
      </c>
    </row>
    <row r="499" spans="1:8" ht="105" x14ac:dyDescent="0.25">
      <c r="A499" t="s">
        <v>611</v>
      </c>
      <c r="B499" s="80" t="str">
        <f>VLOOKUP(A499,[1]Sheet1!$B:$C,2,0)</f>
        <v>040000178953</v>
      </c>
      <c r="C499" s="46">
        <v>8800</v>
      </c>
      <c r="D499" s="81">
        <f t="shared" si="31"/>
        <v>8800</v>
      </c>
      <c r="E499" s="79" t="s">
        <v>2492</v>
      </c>
      <c r="F499" s="82" t="str">
        <f t="shared" si="28"/>
        <v>insert into ins_premium_det (premium_rcv_code,assorted_code, rec_amount,premium_rcv_detail_code,remaining_amt, payrec, mode_code,coinsurance_code,class_cd,it_remarks) values</v>
      </c>
      <c r="G499" s="83" t="str">
        <f t="shared" si="29"/>
        <v>('24Sep240082','040000178953','8800',(select max(to_number(i.premium_rcv_detail_code))+1
from ins_premium_det i),'8800','8800','02', '11000003','00','Request by Mr. Omair Ali 25-Sep-2024 allocation no 24Sep240082 ');</v>
      </c>
      <c r="H499" s="84" t="str">
        <f t="shared" si="30"/>
        <v>insert into ins_premium_det (premium_rcv_code,assorted_code, rec_amount,premium_rcv_detail_code,remaining_amt, payrec, mode_code,coinsurance_code,class_cd,it_remarks) values('24Sep240082','040000178953','8800',(select max(to_number(i.premium_rcv_detail_code))+1
from ins_premium_det i),'8800','8800','02', '11000003','00','Request by Mr. Omair Ali 25-Sep-2024 allocation no 24Sep240082 ');</v>
      </c>
    </row>
    <row r="500" spans="1:8" ht="105" x14ac:dyDescent="0.25">
      <c r="A500" t="s">
        <v>612</v>
      </c>
      <c r="B500" s="80" t="str">
        <f>VLOOKUP(A500,[1]Sheet1!$B:$C,2,0)</f>
        <v>040000178954</v>
      </c>
      <c r="C500" s="46">
        <v>9550</v>
      </c>
      <c r="D500" s="81">
        <f t="shared" si="31"/>
        <v>9550</v>
      </c>
      <c r="E500" s="79" t="s">
        <v>2492</v>
      </c>
      <c r="F500" s="82" t="str">
        <f t="shared" si="28"/>
        <v>insert into ins_premium_det (premium_rcv_code,assorted_code, rec_amount,premium_rcv_detail_code,remaining_amt, payrec, mode_code,coinsurance_code,class_cd,it_remarks) values</v>
      </c>
      <c r="G500" s="83" t="str">
        <f t="shared" si="29"/>
        <v>('24Sep240082','040000178954','9550',(select max(to_number(i.premium_rcv_detail_code))+1
from ins_premium_det i),'9550','9550','02', '11000003','00','Request by Mr. Omair Ali 25-Sep-2024 allocation no 24Sep240082 ');</v>
      </c>
      <c r="H500" s="84" t="str">
        <f t="shared" si="30"/>
        <v>insert into ins_premium_det (premium_rcv_code,assorted_code, rec_amount,premium_rcv_detail_code,remaining_amt, payrec, mode_code,coinsurance_code,class_cd,it_remarks) values('24Sep240082','040000178954','9550',(select max(to_number(i.premium_rcv_detail_code))+1
from ins_premium_det i),'9550','9550','02', '11000003','00','Request by Mr. Omair Ali 25-Sep-2024 allocation no 24Sep240082 ');</v>
      </c>
    </row>
    <row r="501" spans="1:8" ht="105" x14ac:dyDescent="0.25">
      <c r="A501" t="s">
        <v>613</v>
      </c>
      <c r="B501" s="80" t="str">
        <f>VLOOKUP(A501,[1]Sheet1!$B:$C,2,0)</f>
        <v>040000178955</v>
      </c>
      <c r="C501" s="46">
        <v>8800</v>
      </c>
      <c r="D501" s="81">
        <f t="shared" si="31"/>
        <v>8800</v>
      </c>
      <c r="E501" s="79" t="s">
        <v>2492</v>
      </c>
      <c r="F501" s="82" t="str">
        <f t="shared" si="28"/>
        <v>insert into ins_premium_det (premium_rcv_code,assorted_code, rec_amount,premium_rcv_detail_code,remaining_amt, payrec, mode_code,coinsurance_code,class_cd,it_remarks) values</v>
      </c>
      <c r="G501" s="83" t="str">
        <f t="shared" si="29"/>
        <v>('24Sep240082','040000178955','8800',(select max(to_number(i.premium_rcv_detail_code))+1
from ins_premium_det i),'8800','8800','02', '11000003','00','Request by Mr. Omair Ali 25-Sep-2024 allocation no 24Sep240082 ');</v>
      </c>
      <c r="H501" s="84" t="str">
        <f t="shared" si="30"/>
        <v>insert into ins_premium_det (premium_rcv_code,assorted_code, rec_amount,premium_rcv_detail_code,remaining_amt, payrec, mode_code,coinsurance_code,class_cd,it_remarks) values('24Sep240082','040000178955','8800',(select max(to_number(i.premium_rcv_detail_code))+1
from ins_premium_det i),'8800','8800','02', '11000003','00','Request by Mr. Omair Ali 25-Sep-2024 allocation no 24Sep240082 ');</v>
      </c>
    </row>
    <row r="502" spans="1:8" ht="105" x14ac:dyDescent="0.25">
      <c r="A502" t="s">
        <v>614</v>
      </c>
      <c r="B502" s="80" t="str">
        <f>VLOOKUP(A502,[1]Sheet1!$B:$C,2,0)</f>
        <v>040000178958</v>
      </c>
      <c r="C502" s="46">
        <v>12320</v>
      </c>
      <c r="D502" s="81">
        <f t="shared" si="31"/>
        <v>12320</v>
      </c>
      <c r="E502" s="79" t="s">
        <v>2492</v>
      </c>
      <c r="F502" s="82" t="str">
        <f t="shared" si="28"/>
        <v>insert into ins_premium_det (premium_rcv_code,assorted_code, rec_amount,premium_rcv_detail_code,remaining_amt, payrec, mode_code,coinsurance_code,class_cd,it_remarks) values</v>
      </c>
      <c r="G502" s="83" t="str">
        <f t="shared" si="29"/>
        <v>('24Sep240082','040000178958','12320',(select max(to_number(i.premium_rcv_detail_code))+1
from ins_premium_det i),'12320','12320','02', '11000003','00','Request by Mr. Omair Ali 25-Sep-2024 allocation no 24Sep240082 ');</v>
      </c>
      <c r="H502" s="84" t="str">
        <f t="shared" si="30"/>
        <v>insert into ins_premium_det (premium_rcv_code,assorted_code, rec_amount,premium_rcv_detail_code,remaining_amt, payrec, mode_code,coinsurance_code,class_cd,it_remarks) values('24Sep240082','040000178958','12320',(select max(to_number(i.premium_rcv_detail_code))+1
from ins_premium_det i),'12320','12320','02', '11000003','00','Request by Mr. Omair Ali 25-Sep-2024 allocation no 24Sep240082 ');</v>
      </c>
    </row>
    <row r="503" spans="1:8" ht="105" x14ac:dyDescent="0.25">
      <c r="A503" t="s">
        <v>615</v>
      </c>
      <c r="B503" s="80" t="str">
        <f>VLOOKUP(A503,[1]Sheet1!$B:$C,2,0)</f>
        <v>040000178959</v>
      </c>
      <c r="C503" s="46">
        <v>12320</v>
      </c>
      <c r="D503" s="81">
        <f t="shared" si="31"/>
        <v>12320</v>
      </c>
      <c r="E503" s="79" t="s">
        <v>2492</v>
      </c>
      <c r="F503" s="82" t="str">
        <f t="shared" si="28"/>
        <v>insert into ins_premium_det (premium_rcv_code,assorted_code, rec_amount,premium_rcv_detail_code,remaining_amt, payrec, mode_code,coinsurance_code,class_cd,it_remarks) values</v>
      </c>
      <c r="G503" s="83" t="str">
        <f t="shared" si="29"/>
        <v>('24Sep240082','040000178959','12320',(select max(to_number(i.premium_rcv_detail_code))+1
from ins_premium_det i),'12320','12320','02', '11000003','00','Request by Mr. Omair Ali 25-Sep-2024 allocation no 24Sep240082 ');</v>
      </c>
      <c r="H503" s="84" t="str">
        <f t="shared" si="30"/>
        <v>insert into ins_premium_det (premium_rcv_code,assorted_code, rec_amount,premium_rcv_detail_code,remaining_amt, payrec, mode_code,coinsurance_code,class_cd,it_remarks) values('24Sep240082','040000178959','12320',(select max(to_number(i.premium_rcv_detail_code))+1
from ins_premium_det i),'12320','12320','02', '11000003','00','Request by Mr. Omair Ali 25-Sep-2024 allocation no 24Sep240082 ');</v>
      </c>
    </row>
    <row r="504" spans="1:8" ht="105" x14ac:dyDescent="0.25">
      <c r="A504" t="s">
        <v>616</v>
      </c>
      <c r="B504" s="80" t="str">
        <f>VLOOKUP(A504,[1]Sheet1!$B:$C,2,0)</f>
        <v>040000178963</v>
      </c>
      <c r="C504" s="46">
        <v>8800</v>
      </c>
      <c r="D504" s="81">
        <f t="shared" si="31"/>
        <v>8800</v>
      </c>
      <c r="E504" s="79" t="s">
        <v>2492</v>
      </c>
      <c r="F504" s="82" t="str">
        <f t="shared" si="28"/>
        <v>insert into ins_premium_det (premium_rcv_code,assorted_code, rec_amount,premium_rcv_detail_code,remaining_amt, payrec, mode_code,coinsurance_code,class_cd,it_remarks) values</v>
      </c>
      <c r="G504" s="83" t="str">
        <f t="shared" si="29"/>
        <v>('24Sep240082','040000178963','8800',(select max(to_number(i.premium_rcv_detail_code))+1
from ins_premium_det i),'8800','8800','02', '11000003','00','Request by Mr. Omair Ali 25-Sep-2024 allocation no 24Sep240082 ');</v>
      </c>
      <c r="H504" s="84" t="str">
        <f t="shared" si="30"/>
        <v>insert into ins_premium_det (premium_rcv_code,assorted_code, rec_amount,premium_rcv_detail_code,remaining_amt, payrec, mode_code,coinsurance_code,class_cd,it_remarks) values('24Sep240082','040000178963','8800',(select max(to_number(i.premium_rcv_detail_code))+1
from ins_premium_det i),'8800','8800','02', '11000003','00','Request by Mr. Omair Ali 25-Sep-2024 allocation no 24Sep240082 ');</v>
      </c>
    </row>
    <row r="505" spans="1:8" ht="105" x14ac:dyDescent="0.25">
      <c r="A505" t="s">
        <v>617</v>
      </c>
      <c r="B505" s="80" t="str">
        <f>VLOOKUP(A505,[1]Sheet1!$B:$C,2,0)</f>
        <v>040000178965</v>
      </c>
      <c r="C505" s="46">
        <v>8800</v>
      </c>
      <c r="D505" s="81">
        <f t="shared" si="31"/>
        <v>8800</v>
      </c>
      <c r="E505" s="79" t="s">
        <v>2492</v>
      </c>
      <c r="F505" s="82" t="str">
        <f t="shared" si="28"/>
        <v>insert into ins_premium_det (premium_rcv_code,assorted_code, rec_amount,premium_rcv_detail_code,remaining_amt, payrec, mode_code,coinsurance_code,class_cd,it_remarks) values</v>
      </c>
      <c r="G505" s="83" t="str">
        <f t="shared" si="29"/>
        <v>('24Sep240082','040000178965','8800',(select max(to_number(i.premium_rcv_detail_code))+1
from ins_premium_det i),'8800','8800','02', '11000003','00','Request by Mr. Omair Ali 25-Sep-2024 allocation no 24Sep240082 ');</v>
      </c>
      <c r="H505" s="84" t="str">
        <f t="shared" si="30"/>
        <v>insert into ins_premium_det (premium_rcv_code,assorted_code, rec_amount,premium_rcv_detail_code,remaining_amt, payrec, mode_code,coinsurance_code,class_cd,it_remarks) values('24Sep240082','040000178965','8800',(select max(to_number(i.premium_rcv_detail_code))+1
from ins_premium_det i),'8800','8800','02', '11000003','00','Request by Mr. Omair Ali 25-Sep-2024 allocation no 24Sep240082 ');</v>
      </c>
    </row>
    <row r="506" spans="1:8" ht="105" x14ac:dyDescent="0.25">
      <c r="A506" t="s">
        <v>618</v>
      </c>
      <c r="B506" s="80" t="str">
        <f>VLOOKUP(A506,[1]Sheet1!$B:$C,2,0)</f>
        <v>040000178966</v>
      </c>
      <c r="C506" s="46">
        <v>8800</v>
      </c>
      <c r="D506" s="81">
        <f t="shared" si="31"/>
        <v>8800</v>
      </c>
      <c r="E506" s="79" t="s">
        <v>2492</v>
      </c>
      <c r="F506" s="82" t="str">
        <f t="shared" si="28"/>
        <v>insert into ins_premium_det (premium_rcv_code,assorted_code, rec_amount,premium_rcv_detail_code,remaining_amt, payrec, mode_code,coinsurance_code,class_cd,it_remarks) values</v>
      </c>
      <c r="G506" s="83" t="str">
        <f t="shared" si="29"/>
        <v>('24Sep240082','040000178966','8800',(select max(to_number(i.premium_rcv_detail_code))+1
from ins_premium_det i),'8800','8800','02', '11000003','00','Request by Mr. Omair Ali 25-Sep-2024 allocation no 24Sep240082 ');</v>
      </c>
      <c r="H506" s="84" t="str">
        <f t="shared" si="30"/>
        <v>insert into ins_premium_det (premium_rcv_code,assorted_code, rec_amount,premium_rcv_detail_code,remaining_amt, payrec, mode_code,coinsurance_code,class_cd,it_remarks) values('24Sep240082','040000178966','8800',(select max(to_number(i.premium_rcv_detail_code))+1
from ins_premium_det i),'8800','8800','02', '11000003','00','Request by Mr. Omair Ali 25-Sep-2024 allocation no 24Sep240082 ');</v>
      </c>
    </row>
    <row r="507" spans="1:8" ht="105" x14ac:dyDescent="0.25">
      <c r="A507" t="s">
        <v>619</v>
      </c>
      <c r="B507" s="80" t="str">
        <f>VLOOKUP(A507,[1]Sheet1!$B:$C,2,0)</f>
        <v>040000178967</v>
      </c>
      <c r="C507" s="46">
        <v>12320</v>
      </c>
      <c r="D507" s="81">
        <f t="shared" si="31"/>
        <v>12320</v>
      </c>
      <c r="E507" s="79" t="s">
        <v>2492</v>
      </c>
      <c r="F507" s="82" t="str">
        <f t="shared" si="28"/>
        <v>insert into ins_premium_det (premium_rcv_code,assorted_code, rec_amount,premium_rcv_detail_code,remaining_amt, payrec, mode_code,coinsurance_code,class_cd,it_remarks) values</v>
      </c>
      <c r="G507" s="83" t="str">
        <f t="shared" si="29"/>
        <v>('24Sep240082','040000178967','12320',(select max(to_number(i.premium_rcv_detail_code))+1
from ins_premium_det i),'12320','12320','02', '11000003','00','Request by Mr. Omair Ali 25-Sep-2024 allocation no 24Sep240082 ');</v>
      </c>
      <c r="H507" s="84" t="str">
        <f t="shared" si="30"/>
        <v>insert into ins_premium_det (premium_rcv_code,assorted_code, rec_amount,premium_rcv_detail_code,remaining_amt, payrec, mode_code,coinsurance_code,class_cd,it_remarks) values('24Sep240082','040000178967','12320',(select max(to_number(i.premium_rcv_detail_code))+1
from ins_premium_det i),'12320','12320','02', '11000003','00','Request by Mr. Omair Ali 25-Sep-2024 allocation no 24Sep240082 ');</v>
      </c>
    </row>
    <row r="508" spans="1:8" ht="105" x14ac:dyDescent="0.25">
      <c r="A508" t="s">
        <v>620</v>
      </c>
      <c r="B508" s="80" t="str">
        <f>VLOOKUP(A508,[1]Sheet1!$B:$C,2,0)</f>
        <v>040000178968</v>
      </c>
      <c r="C508" s="46">
        <v>12320</v>
      </c>
      <c r="D508" s="81">
        <f t="shared" si="31"/>
        <v>12320</v>
      </c>
      <c r="E508" s="79" t="s">
        <v>2492</v>
      </c>
      <c r="F508" s="82" t="str">
        <f t="shared" si="28"/>
        <v>insert into ins_premium_det (premium_rcv_code,assorted_code, rec_amount,premium_rcv_detail_code,remaining_amt, payrec, mode_code,coinsurance_code,class_cd,it_remarks) values</v>
      </c>
      <c r="G508" s="83" t="str">
        <f t="shared" si="29"/>
        <v>('24Sep240082','040000178968','12320',(select max(to_number(i.premium_rcv_detail_code))+1
from ins_premium_det i),'12320','12320','02', '11000003','00','Request by Mr. Omair Ali 25-Sep-2024 allocation no 24Sep240082 ');</v>
      </c>
      <c r="H508" s="84" t="str">
        <f t="shared" si="30"/>
        <v>insert into ins_premium_det (premium_rcv_code,assorted_code, rec_amount,premium_rcv_detail_code,remaining_amt, payrec, mode_code,coinsurance_code,class_cd,it_remarks) values('24Sep240082','040000178968','12320',(select max(to_number(i.premium_rcv_detail_code))+1
from ins_premium_det i),'12320','12320','02', '11000003','00','Request by Mr. Omair Ali 25-Sep-2024 allocation no 24Sep240082 ');</v>
      </c>
    </row>
    <row r="509" spans="1:8" ht="105" x14ac:dyDescent="0.25">
      <c r="A509" t="s">
        <v>621</v>
      </c>
      <c r="B509" s="80" t="str">
        <f>VLOOKUP(A509,[1]Sheet1!$B:$C,2,0)</f>
        <v>040000178970</v>
      </c>
      <c r="C509" s="46">
        <v>8800</v>
      </c>
      <c r="D509" s="81">
        <f t="shared" si="31"/>
        <v>8800</v>
      </c>
      <c r="E509" s="79" t="s">
        <v>2492</v>
      </c>
      <c r="F509" s="82" t="str">
        <f t="shared" si="28"/>
        <v>insert into ins_premium_det (premium_rcv_code,assorted_code, rec_amount,premium_rcv_detail_code,remaining_amt, payrec, mode_code,coinsurance_code,class_cd,it_remarks) values</v>
      </c>
      <c r="G509" s="83" t="str">
        <f t="shared" si="29"/>
        <v>('24Sep240082','040000178970','8800',(select max(to_number(i.premium_rcv_detail_code))+1
from ins_premium_det i),'8800','8800','02', '11000003','00','Request by Mr. Omair Ali 25-Sep-2024 allocation no 24Sep240082 ');</v>
      </c>
      <c r="H509" s="84" t="str">
        <f t="shared" si="30"/>
        <v>insert into ins_premium_det (premium_rcv_code,assorted_code, rec_amount,premium_rcv_detail_code,remaining_amt, payrec, mode_code,coinsurance_code,class_cd,it_remarks) values('24Sep240082','040000178970','8800',(select max(to_number(i.premium_rcv_detail_code))+1
from ins_premium_det i),'8800','8800','02', '11000003','00','Request by Mr. Omair Ali 25-Sep-2024 allocation no 24Sep240082 ');</v>
      </c>
    </row>
    <row r="510" spans="1:8" ht="105" x14ac:dyDescent="0.25">
      <c r="A510" t="s">
        <v>622</v>
      </c>
      <c r="B510" s="80" t="str">
        <f>VLOOKUP(A510,[1]Sheet1!$B:$C,2,0)</f>
        <v>040000178973</v>
      </c>
      <c r="C510" s="46">
        <v>12320</v>
      </c>
      <c r="D510" s="81">
        <f t="shared" si="31"/>
        <v>12320</v>
      </c>
      <c r="E510" s="79" t="s">
        <v>2492</v>
      </c>
      <c r="F510" s="82" t="str">
        <f t="shared" si="28"/>
        <v>insert into ins_premium_det (premium_rcv_code,assorted_code, rec_amount,premium_rcv_detail_code,remaining_amt, payrec, mode_code,coinsurance_code,class_cd,it_remarks) values</v>
      </c>
      <c r="G510" s="83" t="str">
        <f t="shared" si="29"/>
        <v>('24Sep240082','040000178973','12320',(select max(to_number(i.premium_rcv_detail_code))+1
from ins_premium_det i),'12320','12320','02', '11000003','00','Request by Mr. Omair Ali 25-Sep-2024 allocation no 24Sep240082 ');</v>
      </c>
      <c r="H510" s="84" t="str">
        <f t="shared" si="30"/>
        <v>insert into ins_premium_det (premium_rcv_code,assorted_code, rec_amount,premium_rcv_detail_code,remaining_amt, payrec, mode_code,coinsurance_code,class_cd,it_remarks) values('24Sep240082','040000178973','12320',(select max(to_number(i.premium_rcv_detail_code))+1
from ins_premium_det i),'12320','12320','02', '11000003','00','Request by Mr. Omair Ali 25-Sep-2024 allocation no 24Sep240082 ');</v>
      </c>
    </row>
    <row r="511" spans="1:8" ht="105" x14ac:dyDescent="0.25">
      <c r="A511" t="s">
        <v>623</v>
      </c>
      <c r="B511" s="80" t="str">
        <f>VLOOKUP(A511,[1]Sheet1!$B:$C,2,0)</f>
        <v>040000178974</v>
      </c>
      <c r="C511" s="46">
        <v>12320</v>
      </c>
      <c r="D511" s="81">
        <f t="shared" si="31"/>
        <v>12320</v>
      </c>
      <c r="E511" s="79" t="s">
        <v>2492</v>
      </c>
      <c r="F511" s="82" t="str">
        <f t="shared" si="28"/>
        <v>insert into ins_premium_det (premium_rcv_code,assorted_code, rec_amount,premium_rcv_detail_code,remaining_amt, payrec, mode_code,coinsurance_code,class_cd,it_remarks) values</v>
      </c>
      <c r="G511" s="83" t="str">
        <f t="shared" si="29"/>
        <v>('24Sep240082','040000178974','12320',(select max(to_number(i.premium_rcv_detail_code))+1
from ins_premium_det i),'12320','12320','02', '11000003','00','Request by Mr. Omair Ali 25-Sep-2024 allocation no 24Sep240082 ');</v>
      </c>
      <c r="H511" s="84" t="str">
        <f t="shared" si="30"/>
        <v>insert into ins_premium_det (premium_rcv_code,assorted_code, rec_amount,premium_rcv_detail_code,remaining_amt, payrec, mode_code,coinsurance_code,class_cd,it_remarks) values('24Sep240082','040000178974','12320',(select max(to_number(i.premium_rcv_detail_code))+1
from ins_premium_det i),'12320','12320','02', '11000003','00','Request by Mr. Omair Ali 25-Sep-2024 allocation no 24Sep240082 ');</v>
      </c>
    </row>
    <row r="512" spans="1:8" ht="105" x14ac:dyDescent="0.25">
      <c r="A512" t="s">
        <v>624</v>
      </c>
      <c r="B512" s="80" t="str">
        <f>VLOOKUP(A512,[1]Sheet1!$B:$C,2,0)</f>
        <v>040000178975</v>
      </c>
      <c r="C512" s="46">
        <v>8800</v>
      </c>
      <c r="D512" s="81">
        <f t="shared" si="31"/>
        <v>8800</v>
      </c>
      <c r="E512" s="79" t="s">
        <v>2492</v>
      </c>
      <c r="F512" s="82" t="str">
        <f t="shared" si="28"/>
        <v>insert into ins_premium_det (premium_rcv_code,assorted_code, rec_amount,premium_rcv_detail_code,remaining_amt, payrec, mode_code,coinsurance_code,class_cd,it_remarks) values</v>
      </c>
      <c r="G512" s="83" t="str">
        <f t="shared" si="29"/>
        <v>('24Sep240082','040000178975','8800',(select max(to_number(i.premium_rcv_detail_code))+1
from ins_premium_det i),'8800','8800','02', '11000003','00','Request by Mr. Omair Ali 25-Sep-2024 allocation no 24Sep240082 ');</v>
      </c>
      <c r="H512" s="84" t="str">
        <f t="shared" si="30"/>
        <v>insert into ins_premium_det (premium_rcv_code,assorted_code, rec_amount,premium_rcv_detail_code,remaining_amt, payrec, mode_code,coinsurance_code,class_cd,it_remarks) values('24Sep240082','040000178975','8800',(select max(to_number(i.premium_rcv_detail_code))+1
from ins_premium_det i),'8800','8800','02', '11000003','00','Request by Mr. Omair Ali 25-Sep-2024 allocation no 24Sep240082 ');</v>
      </c>
    </row>
    <row r="513" spans="1:8" ht="105" x14ac:dyDescent="0.25">
      <c r="A513" t="s">
        <v>625</v>
      </c>
      <c r="B513" s="80" t="str">
        <f>VLOOKUP(A513,[1]Sheet1!$B:$C,2,0)</f>
        <v>040000178977</v>
      </c>
      <c r="C513" s="46">
        <v>8800</v>
      </c>
      <c r="D513" s="81">
        <f t="shared" si="31"/>
        <v>8800</v>
      </c>
      <c r="E513" s="79" t="s">
        <v>2492</v>
      </c>
      <c r="F513" s="82" t="str">
        <f t="shared" si="28"/>
        <v>insert into ins_premium_det (premium_rcv_code,assorted_code, rec_amount,premium_rcv_detail_code,remaining_amt, payrec, mode_code,coinsurance_code,class_cd,it_remarks) values</v>
      </c>
      <c r="G513" s="83" t="str">
        <f t="shared" si="29"/>
        <v>('24Sep240082','040000178977','8800',(select max(to_number(i.premium_rcv_detail_code))+1
from ins_premium_det i),'8800','8800','02', '11000003','00','Request by Mr. Omair Ali 25-Sep-2024 allocation no 24Sep240082 ');</v>
      </c>
      <c r="H513" s="84" t="str">
        <f t="shared" si="30"/>
        <v>insert into ins_premium_det (premium_rcv_code,assorted_code, rec_amount,premium_rcv_detail_code,remaining_amt, payrec, mode_code,coinsurance_code,class_cd,it_remarks) values('24Sep240082','040000178977','8800',(select max(to_number(i.premium_rcv_detail_code))+1
from ins_premium_det i),'8800','8800','02', '11000003','00','Request by Mr. Omair Ali 25-Sep-2024 allocation no 24Sep240082 ');</v>
      </c>
    </row>
    <row r="514" spans="1:8" ht="105" x14ac:dyDescent="0.25">
      <c r="A514" t="s">
        <v>626</v>
      </c>
      <c r="B514" s="80" t="str">
        <f>VLOOKUP(A514,[1]Sheet1!$B:$C,2,0)</f>
        <v>040000178980</v>
      </c>
      <c r="C514" s="46">
        <v>12320</v>
      </c>
      <c r="D514" s="81">
        <f t="shared" si="31"/>
        <v>12320</v>
      </c>
      <c r="E514" s="79" t="s">
        <v>2492</v>
      </c>
      <c r="F514" s="82" t="str">
        <f t="shared" ref="F514:F577" si="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83" t="str">
        <f t="shared" si="29"/>
        <v>('24Sep240082','040000178980','12320',(select max(to_number(i.premium_rcv_detail_code))+1
from ins_premium_det i),'12320','12320','02', '11000003','00','Request by Mr. Omair Ali 25-Sep-2024 allocation no 24Sep240082 ');</v>
      </c>
      <c r="H514" s="84" t="str">
        <f t="shared" si="30"/>
        <v>insert into ins_premium_det (premium_rcv_code,assorted_code, rec_amount,premium_rcv_detail_code,remaining_amt, payrec, mode_code,coinsurance_code,class_cd,it_remarks) values('24Sep240082','040000178980','12320',(select max(to_number(i.premium_rcv_detail_code))+1
from ins_premium_det i),'12320','12320','02', '11000003','00','Request by Mr. Omair Ali 25-Sep-2024 allocation no 24Sep240082 ');</v>
      </c>
    </row>
    <row r="515" spans="1:8" ht="105" x14ac:dyDescent="0.25">
      <c r="A515" t="s">
        <v>627</v>
      </c>
      <c r="B515" s="80" t="str">
        <f>VLOOKUP(A515,[1]Sheet1!$B:$C,2,0)</f>
        <v>040000178981</v>
      </c>
      <c r="C515" s="46">
        <v>12320</v>
      </c>
      <c r="D515" s="81">
        <f t="shared" si="31"/>
        <v>12320</v>
      </c>
      <c r="E515" s="79" t="s">
        <v>2492</v>
      </c>
      <c r="F515" s="82" t="str">
        <f t="shared" si="32"/>
        <v>insert into ins_premium_det (premium_rcv_code,assorted_code, rec_amount,premium_rcv_detail_code,remaining_amt, payrec, mode_code,coinsurance_code,class_cd,it_remarks) values</v>
      </c>
      <c r="G515" s="83" t="str">
        <f t="shared" ref="G515:G578" si="33">"('"&amp;E515&amp;"','"&amp;B515&amp;"','"&amp;D515&amp;"',(select max(to_number(i.premium_rcv_detail_code))+1
from ins_premium_det i),'"&amp;D515&amp;"','"&amp;D515&amp;"','02', '11000003','00','Request by Mr. Omair Ali 25-Sep-2024 allocation no 24Sep240082 ');"</f>
        <v>('24Sep240082','040000178981','12320',(select max(to_number(i.premium_rcv_detail_code))+1
from ins_premium_det i),'12320','12320','02', '11000003','00','Request by Mr. Omair Ali 25-Sep-2024 allocation no 24Sep240082 ');</v>
      </c>
      <c r="H515" s="84" t="str">
        <f t="shared" ref="H515:H578" si="34">F515&amp;G515</f>
        <v>insert into ins_premium_det (premium_rcv_code,assorted_code, rec_amount,premium_rcv_detail_code,remaining_amt, payrec, mode_code,coinsurance_code,class_cd,it_remarks) values('24Sep240082','040000178981','12320',(select max(to_number(i.premium_rcv_detail_code))+1
from ins_premium_det i),'12320','12320','02', '11000003','00','Request by Mr. Omair Ali 25-Sep-2024 allocation no 24Sep240082 ');</v>
      </c>
    </row>
    <row r="516" spans="1:8" ht="105" x14ac:dyDescent="0.25">
      <c r="A516" t="s">
        <v>628</v>
      </c>
      <c r="B516" s="80" t="str">
        <f>VLOOKUP(A516,[1]Sheet1!$B:$C,2,0)</f>
        <v>040000178982</v>
      </c>
      <c r="C516" s="46">
        <v>13370</v>
      </c>
      <c r="D516" s="81">
        <f t="shared" ref="D516:D579" si="35">ROUND(C516,0)</f>
        <v>13370</v>
      </c>
      <c r="E516" s="79" t="s">
        <v>2492</v>
      </c>
      <c r="F516" s="82" t="str">
        <f t="shared" si="32"/>
        <v>insert into ins_premium_det (premium_rcv_code,assorted_code, rec_amount,premium_rcv_detail_code,remaining_amt, payrec, mode_code,coinsurance_code,class_cd,it_remarks) values</v>
      </c>
      <c r="G516" s="83" t="str">
        <f t="shared" si="33"/>
        <v>('24Sep240082','040000178982','13370',(select max(to_number(i.premium_rcv_detail_code))+1
from ins_premium_det i),'13370','13370','02', '11000003','00','Request by Mr. Omair Ali 25-Sep-2024 allocation no 24Sep240082 ');</v>
      </c>
      <c r="H516" s="84" t="str">
        <f t="shared" si="34"/>
        <v>insert into ins_premium_det (premium_rcv_code,assorted_code, rec_amount,premium_rcv_detail_code,remaining_amt, payrec, mode_code,coinsurance_code,class_cd,it_remarks) values('24Sep240082','040000178982','13370',(select max(to_number(i.premium_rcv_detail_code))+1
from ins_premium_det i),'13370','13370','02', '11000003','00','Request by Mr. Omair Ali 25-Sep-2024 allocation no 24Sep240082 ');</v>
      </c>
    </row>
    <row r="517" spans="1:8" ht="105" x14ac:dyDescent="0.25">
      <c r="A517" t="s">
        <v>629</v>
      </c>
      <c r="B517" s="80" t="str">
        <f>VLOOKUP(A517,[1]Sheet1!$B:$C,2,0)</f>
        <v>040000178986</v>
      </c>
      <c r="C517" s="46">
        <v>8800</v>
      </c>
      <c r="D517" s="81">
        <f t="shared" si="35"/>
        <v>8800</v>
      </c>
      <c r="E517" s="79" t="s">
        <v>2492</v>
      </c>
      <c r="F517" s="82" t="str">
        <f t="shared" si="32"/>
        <v>insert into ins_premium_det (premium_rcv_code,assorted_code, rec_amount,premium_rcv_detail_code,remaining_amt, payrec, mode_code,coinsurance_code,class_cd,it_remarks) values</v>
      </c>
      <c r="G517" s="83" t="str">
        <f t="shared" si="33"/>
        <v>('24Sep240082','040000178986','8800',(select max(to_number(i.premium_rcv_detail_code))+1
from ins_premium_det i),'8800','8800','02', '11000003','00','Request by Mr. Omair Ali 25-Sep-2024 allocation no 24Sep240082 ');</v>
      </c>
      <c r="H517" s="84" t="str">
        <f t="shared" si="34"/>
        <v>insert into ins_premium_det (premium_rcv_code,assorted_code, rec_amount,premium_rcv_detail_code,remaining_amt, payrec, mode_code,coinsurance_code,class_cd,it_remarks) values('24Sep240082','040000178986','8800',(select max(to_number(i.premium_rcv_detail_code))+1
from ins_premium_det i),'8800','8800','02', '11000003','00','Request by Mr. Omair Ali 25-Sep-2024 allocation no 24Sep240082 ');</v>
      </c>
    </row>
    <row r="518" spans="1:8" ht="105" x14ac:dyDescent="0.25">
      <c r="A518" t="s">
        <v>630</v>
      </c>
      <c r="B518" s="80" t="str">
        <f>VLOOKUP(A518,[1]Sheet1!$B:$C,2,0)</f>
        <v>040000178988</v>
      </c>
      <c r="C518" s="46">
        <v>8800</v>
      </c>
      <c r="D518" s="81">
        <f t="shared" si="35"/>
        <v>8800</v>
      </c>
      <c r="E518" s="79" t="s">
        <v>2492</v>
      </c>
      <c r="F518" s="82" t="str">
        <f t="shared" si="32"/>
        <v>insert into ins_premium_det (premium_rcv_code,assorted_code, rec_amount,premium_rcv_detail_code,remaining_amt, payrec, mode_code,coinsurance_code,class_cd,it_remarks) values</v>
      </c>
      <c r="G518" s="83" t="str">
        <f t="shared" si="33"/>
        <v>('24Sep240082','040000178988','8800',(select max(to_number(i.premium_rcv_detail_code))+1
from ins_premium_det i),'8800','8800','02', '11000003','00','Request by Mr. Omair Ali 25-Sep-2024 allocation no 24Sep240082 ');</v>
      </c>
      <c r="H518" s="84" t="str">
        <f t="shared" si="34"/>
        <v>insert into ins_premium_det (premium_rcv_code,assorted_code, rec_amount,premium_rcv_detail_code,remaining_amt, payrec, mode_code,coinsurance_code,class_cd,it_remarks) values('24Sep240082','040000178988','8800',(select max(to_number(i.premium_rcv_detail_code))+1
from ins_premium_det i),'8800','8800','02', '11000003','00','Request by Mr. Omair Ali 25-Sep-2024 allocation no 24Sep240082 ');</v>
      </c>
    </row>
    <row r="519" spans="1:8" ht="105" x14ac:dyDescent="0.25">
      <c r="A519" t="s">
        <v>631</v>
      </c>
      <c r="B519" s="80" t="str">
        <f>VLOOKUP(A519,[1]Sheet1!$B:$C,2,0)</f>
        <v>040000178989</v>
      </c>
      <c r="C519" s="46">
        <v>8800</v>
      </c>
      <c r="D519" s="81">
        <f t="shared" si="35"/>
        <v>8800</v>
      </c>
      <c r="E519" s="79" t="s">
        <v>2492</v>
      </c>
      <c r="F519" s="82" t="str">
        <f t="shared" si="32"/>
        <v>insert into ins_premium_det (premium_rcv_code,assorted_code, rec_amount,premium_rcv_detail_code,remaining_amt, payrec, mode_code,coinsurance_code,class_cd,it_remarks) values</v>
      </c>
      <c r="G519" s="83" t="str">
        <f t="shared" si="33"/>
        <v>('24Sep240082','040000178989','8800',(select max(to_number(i.premium_rcv_detail_code))+1
from ins_premium_det i),'8800','8800','02', '11000003','00','Request by Mr. Omair Ali 25-Sep-2024 allocation no 24Sep240082 ');</v>
      </c>
      <c r="H519" s="84" t="str">
        <f t="shared" si="34"/>
        <v>insert into ins_premium_det (premium_rcv_code,assorted_code, rec_amount,premium_rcv_detail_code,remaining_amt, payrec, mode_code,coinsurance_code,class_cd,it_remarks) values('24Sep240082','040000178989','8800',(select max(to_number(i.premium_rcv_detail_code))+1
from ins_premium_det i),'8800','8800','02', '11000003','00','Request by Mr. Omair Ali 25-Sep-2024 allocation no 24Sep240082 ');</v>
      </c>
    </row>
    <row r="520" spans="1:8" ht="105" x14ac:dyDescent="0.25">
      <c r="A520" t="s">
        <v>632</v>
      </c>
      <c r="B520" s="80" t="str">
        <f>VLOOKUP(A520,[1]Sheet1!$B:$C,2,0)</f>
        <v>040000178991</v>
      </c>
      <c r="C520" s="46">
        <v>12320</v>
      </c>
      <c r="D520" s="81">
        <f t="shared" si="35"/>
        <v>12320</v>
      </c>
      <c r="E520" s="79" t="s">
        <v>2492</v>
      </c>
      <c r="F520" s="82" t="str">
        <f t="shared" si="32"/>
        <v>insert into ins_premium_det (premium_rcv_code,assorted_code, rec_amount,premium_rcv_detail_code,remaining_amt, payrec, mode_code,coinsurance_code,class_cd,it_remarks) values</v>
      </c>
      <c r="G520" s="83" t="str">
        <f t="shared" si="33"/>
        <v>('24Sep240082','040000178991','12320',(select max(to_number(i.premium_rcv_detail_code))+1
from ins_premium_det i),'12320','12320','02', '11000003','00','Request by Mr. Omair Ali 25-Sep-2024 allocation no 24Sep240082 ');</v>
      </c>
      <c r="H520" s="84" t="str">
        <f t="shared" si="34"/>
        <v>insert into ins_premium_det (premium_rcv_code,assorted_code, rec_amount,premium_rcv_detail_code,remaining_amt, payrec, mode_code,coinsurance_code,class_cd,it_remarks) values('24Sep240082','040000178991','12320',(select max(to_number(i.premium_rcv_detail_code))+1
from ins_premium_det i),'12320','12320','02', '11000003','00','Request by Mr. Omair Ali 25-Sep-2024 allocation no 24Sep240082 ');</v>
      </c>
    </row>
    <row r="521" spans="1:8" ht="105" x14ac:dyDescent="0.25">
      <c r="A521" t="s">
        <v>633</v>
      </c>
      <c r="B521" s="80" t="str">
        <f>VLOOKUP(A521,[1]Sheet1!$B:$C,2,0)</f>
        <v>040000178992</v>
      </c>
      <c r="C521" s="46">
        <v>13675</v>
      </c>
      <c r="D521" s="81">
        <f t="shared" si="35"/>
        <v>13675</v>
      </c>
      <c r="E521" s="79" t="s">
        <v>2492</v>
      </c>
      <c r="F521" s="82" t="str">
        <f t="shared" si="32"/>
        <v>insert into ins_premium_det (premium_rcv_code,assorted_code, rec_amount,premium_rcv_detail_code,remaining_amt, payrec, mode_code,coinsurance_code,class_cd,it_remarks) values</v>
      </c>
      <c r="G521" s="83" t="str">
        <f t="shared" si="33"/>
        <v>('24Sep240082','040000178992','13675',(select max(to_number(i.premium_rcv_detail_code))+1
from ins_premium_det i),'13675','13675','02', '11000003','00','Request by Mr. Omair Ali 25-Sep-2024 allocation no 24Sep240082 ');</v>
      </c>
      <c r="H521" s="84" t="str">
        <f t="shared" si="34"/>
        <v>insert into ins_premium_det (premium_rcv_code,assorted_code, rec_amount,premium_rcv_detail_code,remaining_amt, payrec, mode_code,coinsurance_code,class_cd,it_remarks) values('24Sep240082','040000178992','13675',(select max(to_number(i.premium_rcv_detail_code))+1
from ins_premium_det i),'13675','13675','02', '11000003','00','Request by Mr. Omair Ali 25-Sep-2024 allocation no 24Sep240082 ');</v>
      </c>
    </row>
    <row r="522" spans="1:8" ht="105" x14ac:dyDescent="0.25">
      <c r="A522" t="s">
        <v>634</v>
      </c>
      <c r="B522" s="80" t="str">
        <f>VLOOKUP(A522,[1]Sheet1!$B:$C,2,0)</f>
        <v>040000178993</v>
      </c>
      <c r="C522" s="46">
        <v>8800</v>
      </c>
      <c r="D522" s="81">
        <f t="shared" si="35"/>
        <v>8800</v>
      </c>
      <c r="E522" s="79" t="s">
        <v>2492</v>
      </c>
      <c r="F522" s="82" t="str">
        <f t="shared" si="32"/>
        <v>insert into ins_premium_det (premium_rcv_code,assorted_code, rec_amount,premium_rcv_detail_code,remaining_amt, payrec, mode_code,coinsurance_code,class_cd,it_remarks) values</v>
      </c>
      <c r="G522" s="83" t="str">
        <f t="shared" si="33"/>
        <v>('24Sep240082','040000178993','8800',(select max(to_number(i.premium_rcv_detail_code))+1
from ins_premium_det i),'8800','8800','02', '11000003','00','Request by Mr. Omair Ali 25-Sep-2024 allocation no 24Sep240082 ');</v>
      </c>
      <c r="H522" s="84" t="str">
        <f t="shared" si="34"/>
        <v>insert into ins_premium_det (premium_rcv_code,assorted_code, rec_amount,premium_rcv_detail_code,remaining_amt, payrec, mode_code,coinsurance_code,class_cd,it_remarks) values('24Sep240082','040000178993','8800',(select max(to_number(i.premium_rcv_detail_code))+1
from ins_premium_det i),'8800','8800','02', '11000003','00','Request by Mr. Omair Ali 25-Sep-2024 allocation no 24Sep240082 ');</v>
      </c>
    </row>
    <row r="523" spans="1:8" ht="105" x14ac:dyDescent="0.25">
      <c r="A523" t="s">
        <v>635</v>
      </c>
      <c r="B523" s="80" t="str">
        <f>VLOOKUP(A523,[1]Sheet1!$B:$C,2,0)</f>
        <v>040000178994</v>
      </c>
      <c r="C523" s="46">
        <v>12475</v>
      </c>
      <c r="D523" s="81">
        <f t="shared" si="35"/>
        <v>12475</v>
      </c>
      <c r="E523" s="79" t="s">
        <v>2492</v>
      </c>
      <c r="F523" s="82" t="str">
        <f t="shared" si="32"/>
        <v>insert into ins_premium_det (premium_rcv_code,assorted_code, rec_amount,premium_rcv_detail_code,remaining_amt, payrec, mode_code,coinsurance_code,class_cd,it_remarks) values</v>
      </c>
      <c r="G523" s="83" t="str">
        <f t="shared" si="33"/>
        <v>('24Sep240082','040000178994','12475',(select max(to_number(i.premium_rcv_detail_code))+1
from ins_premium_det i),'12475','12475','02', '11000003','00','Request by Mr. Omair Ali 25-Sep-2024 allocation no 24Sep240082 ');</v>
      </c>
      <c r="H523" s="84" t="str">
        <f t="shared" si="34"/>
        <v>insert into ins_premium_det (premium_rcv_code,assorted_code, rec_amount,premium_rcv_detail_code,remaining_amt, payrec, mode_code,coinsurance_code,class_cd,it_remarks) values('24Sep240082','040000178994','12475',(select max(to_number(i.premium_rcv_detail_code))+1
from ins_premium_det i),'12475','12475','02', '11000003','00','Request by Mr. Omair Ali 25-Sep-2024 allocation no 24Sep240082 ');</v>
      </c>
    </row>
    <row r="524" spans="1:8" ht="105" x14ac:dyDescent="0.25">
      <c r="A524" t="s">
        <v>636</v>
      </c>
      <c r="B524" s="80" t="str">
        <f>VLOOKUP(A524,[1]Sheet1!$B:$C,2,0)</f>
        <v>040000178995</v>
      </c>
      <c r="C524" s="46">
        <v>8800</v>
      </c>
      <c r="D524" s="81">
        <f t="shared" si="35"/>
        <v>8800</v>
      </c>
      <c r="E524" s="79" t="s">
        <v>2492</v>
      </c>
      <c r="F524" s="82" t="str">
        <f t="shared" si="32"/>
        <v>insert into ins_premium_det (premium_rcv_code,assorted_code, rec_amount,premium_rcv_detail_code,remaining_amt, payrec, mode_code,coinsurance_code,class_cd,it_remarks) values</v>
      </c>
      <c r="G524" s="83" t="str">
        <f t="shared" si="33"/>
        <v>('24Sep240082','040000178995','8800',(select max(to_number(i.premium_rcv_detail_code))+1
from ins_premium_det i),'8800','8800','02', '11000003','00','Request by Mr. Omair Ali 25-Sep-2024 allocation no 24Sep240082 ');</v>
      </c>
      <c r="H524" s="84" t="str">
        <f t="shared" si="34"/>
        <v>insert into ins_premium_det (premium_rcv_code,assorted_code, rec_amount,premium_rcv_detail_code,remaining_amt, payrec, mode_code,coinsurance_code,class_cd,it_remarks) values('24Sep240082','040000178995','8800',(select max(to_number(i.premium_rcv_detail_code))+1
from ins_premium_det i),'8800','8800','02', '11000003','00','Request by Mr. Omair Ali 25-Sep-2024 allocation no 24Sep240082 ');</v>
      </c>
    </row>
    <row r="525" spans="1:8" ht="105" x14ac:dyDescent="0.25">
      <c r="A525" t="s">
        <v>637</v>
      </c>
      <c r="B525" s="80" t="str">
        <f>VLOOKUP(A525,[1]Sheet1!$B:$C,2,0)</f>
        <v>040000178996</v>
      </c>
      <c r="C525" s="46">
        <v>13370</v>
      </c>
      <c r="D525" s="81">
        <f t="shared" si="35"/>
        <v>13370</v>
      </c>
      <c r="E525" s="79" t="s">
        <v>2492</v>
      </c>
      <c r="F525" s="82" t="str">
        <f t="shared" si="32"/>
        <v>insert into ins_premium_det (premium_rcv_code,assorted_code, rec_amount,premium_rcv_detail_code,remaining_amt, payrec, mode_code,coinsurance_code,class_cd,it_remarks) values</v>
      </c>
      <c r="G525" s="83" t="str">
        <f t="shared" si="33"/>
        <v>('24Sep240082','040000178996','13370',(select max(to_number(i.premium_rcv_detail_code))+1
from ins_premium_det i),'13370','13370','02', '11000003','00','Request by Mr. Omair Ali 25-Sep-2024 allocation no 24Sep240082 ');</v>
      </c>
      <c r="H525" s="84" t="str">
        <f t="shared" si="34"/>
        <v>insert into ins_premium_det (premium_rcv_code,assorted_code, rec_amount,premium_rcv_detail_code,remaining_amt, payrec, mode_code,coinsurance_code,class_cd,it_remarks) values('24Sep240082','040000178996','13370',(select max(to_number(i.premium_rcv_detail_code))+1
from ins_premium_det i),'13370','13370','02', '11000003','00','Request by Mr. Omair Ali 25-Sep-2024 allocation no 24Sep240082 ');</v>
      </c>
    </row>
    <row r="526" spans="1:8" ht="105" x14ac:dyDescent="0.25">
      <c r="A526" t="s">
        <v>638</v>
      </c>
      <c r="B526" s="80" t="str">
        <f>VLOOKUP(A526,[1]Sheet1!$B:$C,2,0)</f>
        <v>040000178997</v>
      </c>
      <c r="C526" s="46">
        <v>13370</v>
      </c>
      <c r="D526" s="81">
        <f t="shared" si="35"/>
        <v>13370</v>
      </c>
      <c r="E526" s="79" t="s">
        <v>2492</v>
      </c>
      <c r="F526" s="82" t="str">
        <f t="shared" si="32"/>
        <v>insert into ins_premium_det (premium_rcv_code,assorted_code, rec_amount,premium_rcv_detail_code,remaining_amt, payrec, mode_code,coinsurance_code,class_cd,it_remarks) values</v>
      </c>
      <c r="G526" s="83" t="str">
        <f t="shared" si="33"/>
        <v>('24Sep240082','040000178997','13370',(select max(to_number(i.premium_rcv_detail_code))+1
from ins_premium_det i),'13370','13370','02', '11000003','00','Request by Mr. Omair Ali 25-Sep-2024 allocation no 24Sep240082 ');</v>
      </c>
      <c r="H526" s="84" t="str">
        <f t="shared" si="34"/>
        <v>insert into ins_premium_det (premium_rcv_code,assorted_code, rec_amount,premium_rcv_detail_code,remaining_amt, payrec, mode_code,coinsurance_code,class_cd,it_remarks) values('24Sep240082','040000178997','13370',(select max(to_number(i.premium_rcv_detail_code))+1
from ins_premium_det i),'13370','13370','02', '11000003','00','Request by Mr. Omair Ali 25-Sep-2024 allocation no 24Sep240082 ');</v>
      </c>
    </row>
    <row r="527" spans="1:8" ht="105" x14ac:dyDescent="0.25">
      <c r="A527" t="s">
        <v>639</v>
      </c>
      <c r="B527" s="80" t="str">
        <f>VLOOKUP(A527,[1]Sheet1!$B:$C,2,0)</f>
        <v>040000178998</v>
      </c>
      <c r="C527" s="46">
        <v>13370</v>
      </c>
      <c r="D527" s="81">
        <f t="shared" si="35"/>
        <v>13370</v>
      </c>
      <c r="E527" s="79" t="s">
        <v>2492</v>
      </c>
      <c r="F527" s="82" t="str">
        <f t="shared" si="32"/>
        <v>insert into ins_premium_det (premium_rcv_code,assorted_code, rec_amount,premium_rcv_detail_code,remaining_amt, payrec, mode_code,coinsurance_code,class_cd,it_remarks) values</v>
      </c>
      <c r="G527" s="83" t="str">
        <f t="shared" si="33"/>
        <v>('24Sep240082','040000178998','13370',(select max(to_number(i.premium_rcv_detail_code))+1
from ins_premium_det i),'13370','13370','02', '11000003','00','Request by Mr. Omair Ali 25-Sep-2024 allocation no 24Sep240082 ');</v>
      </c>
      <c r="H527" s="84" t="str">
        <f t="shared" si="34"/>
        <v>insert into ins_premium_det (premium_rcv_code,assorted_code, rec_amount,premium_rcv_detail_code,remaining_amt, payrec, mode_code,coinsurance_code,class_cd,it_remarks) values('24Sep240082','040000178998','13370',(select max(to_number(i.premium_rcv_detail_code))+1
from ins_premium_det i),'13370','13370','02', '11000003','00','Request by Mr. Omair Ali 25-Sep-2024 allocation no 24Sep240082 ');</v>
      </c>
    </row>
    <row r="528" spans="1:8" ht="105" x14ac:dyDescent="0.25">
      <c r="A528" t="s">
        <v>640</v>
      </c>
      <c r="B528" s="80" t="str">
        <f>VLOOKUP(A528,[1]Sheet1!$B:$C,2,0)</f>
        <v>040000178999</v>
      </c>
      <c r="C528" s="46">
        <v>13370</v>
      </c>
      <c r="D528" s="81">
        <f t="shared" si="35"/>
        <v>13370</v>
      </c>
      <c r="E528" s="79" t="s">
        <v>2492</v>
      </c>
      <c r="F528" s="82" t="str">
        <f t="shared" si="32"/>
        <v>insert into ins_premium_det (premium_rcv_code,assorted_code, rec_amount,premium_rcv_detail_code,remaining_amt, payrec, mode_code,coinsurance_code,class_cd,it_remarks) values</v>
      </c>
      <c r="G528" s="83" t="str">
        <f t="shared" si="33"/>
        <v>('24Sep240082','040000178999','13370',(select max(to_number(i.premium_rcv_detail_code))+1
from ins_premium_det i),'13370','13370','02', '11000003','00','Request by Mr. Omair Ali 25-Sep-2024 allocation no 24Sep240082 ');</v>
      </c>
      <c r="H528" s="84" t="str">
        <f t="shared" si="34"/>
        <v>insert into ins_premium_det (premium_rcv_code,assorted_code, rec_amount,premium_rcv_detail_code,remaining_amt, payrec, mode_code,coinsurance_code,class_cd,it_remarks) values('24Sep240082','040000178999','13370',(select max(to_number(i.premium_rcv_detail_code))+1
from ins_premium_det i),'13370','13370','02', '11000003','00','Request by Mr. Omair Ali 25-Sep-2024 allocation no 24Sep240082 ');</v>
      </c>
    </row>
    <row r="529" spans="1:8" ht="105" x14ac:dyDescent="0.25">
      <c r="A529" t="s">
        <v>641</v>
      </c>
      <c r="B529" s="80" t="str">
        <f>VLOOKUP(A529,[1]Sheet1!$B:$C,2,0)</f>
        <v>040000179000</v>
      </c>
      <c r="C529" s="46">
        <v>12320</v>
      </c>
      <c r="D529" s="81">
        <f t="shared" si="35"/>
        <v>12320</v>
      </c>
      <c r="E529" s="79" t="s">
        <v>2492</v>
      </c>
      <c r="F529" s="82" t="str">
        <f t="shared" si="32"/>
        <v>insert into ins_premium_det (premium_rcv_code,assorted_code, rec_amount,premium_rcv_detail_code,remaining_amt, payrec, mode_code,coinsurance_code,class_cd,it_remarks) values</v>
      </c>
      <c r="G529" s="83" t="str">
        <f t="shared" si="33"/>
        <v>('24Sep240082','040000179000','12320',(select max(to_number(i.premium_rcv_detail_code))+1
from ins_premium_det i),'12320','12320','02', '11000003','00','Request by Mr. Omair Ali 25-Sep-2024 allocation no 24Sep240082 ');</v>
      </c>
      <c r="H529" s="84" t="str">
        <f t="shared" si="34"/>
        <v>insert into ins_premium_det (premium_rcv_code,assorted_code, rec_amount,premium_rcv_detail_code,remaining_amt, payrec, mode_code,coinsurance_code,class_cd,it_remarks) values('24Sep240082','040000179000','12320',(select max(to_number(i.premium_rcv_detail_code))+1
from ins_premium_det i),'12320','12320','02', '11000003','00','Request by Mr. Omair Ali 25-Sep-2024 allocation no 24Sep240082 ');</v>
      </c>
    </row>
    <row r="530" spans="1:8" ht="105" x14ac:dyDescent="0.25">
      <c r="A530" t="s">
        <v>642</v>
      </c>
      <c r="B530" s="80" t="str">
        <f>VLOOKUP(A530,[1]Sheet1!$B:$C,2,0)</f>
        <v>040000179001</v>
      </c>
      <c r="C530" s="46">
        <v>12320</v>
      </c>
      <c r="D530" s="81">
        <f t="shared" si="35"/>
        <v>12320</v>
      </c>
      <c r="E530" s="79" t="s">
        <v>2492</v>
      </c>
      <c r="F530" s="82" t="str">
        <f t="shared" si="32"/>
        <v>insert into ins_premium_det (premium_rcv_code,assorted_code, rec_amount,premium_rcv_detail_code,remaining_amt, payrec, mode_code,coinsurance_code,class_cd,it_remarks) values</v>
      </c>
      <c r="G530" s="83" t="str">
        <f t="shared" si="33"/>
        <v>('24Sep240082','040000179001','12320',(select max(to_number(i.premium_rcv_detail_code))+1
from ins_premium_det i),'12320','12320','02', '11000003','00','Request by Mr. Omair Ali 25-Sep-2024 allocation no 24Sep240082 ');</v>
      </c>
      <c r="H530" s="84" t="str">
        <f t="shared" si="34"/>
        <v>insert into ins_premium_det (premium_rcv_code,assorted_code, rec_amount,premium_rcv_detail_code,remaining_amt, payrec, mode_code,coinsurance_code,class_cd,it_remarks) values('24Sep240082','040000179001','12320',(select max(to_number(i.premium_rcv_detail_code))+1
from ins_premium_det i),'12320','12320','02', '11000003','00','Request by Mr. Omair Ali 25-Sep-2024 allocation no 24Sep240082 ');</v>
      </c>
    </row>
    <row r="531" spans="1:8" ht="105" x14ac:dyDescent="0.25">
      <c r="A531" t="s">
        <v>643</v>
      </c>
      <c r="B531" s="80" t="str">
        <f>VLOOKUP(A531,[1]Sheet1!$B:$C,2,0)</f>
        <v>040000179037</v>
      </c>
      <c r="C531" s="46">
        <v>8800</v>
      </c>
      <c r="D531" s="81">
        <f t="shared" si="35"/>
        <v>8800</v>
      </c>
      <c r="E531" s="79" t="s">
        <v>2492</v>
      </c>
      <c r="F531" s="82" t="str">
        <f t="shared" si="32"/>
        <v>insert into ins_premium_det (premium_rcv_code,assorted_code, rec_amount,premium_rcv_detail_code,remaining_amt, payrec, mode_code,coinsurance_code,class_cd,it_remarks) values</v>
      </c>
      <c r="G531" s="83" t="str">
        <f t="shared" si="33"/>
        <v>('24Sep240082','040000179037','8800',(select max(to_number(i.premium_rcv_detail_code))+1
from ins_premium_det i),'8800','8800','02', '11000003','00','Request by Mr. Omair Ali 25-Sep-2024 allocation no 24Sep240082 ');</v>
      </c>
      <c r="H531" s="84" t="str">
        <f t="shared" si="34"/>
        <v>insert into ins_premium_det (premium_rcv_code,assorted_code, rec_amount,premium_rcv_detail_code,remaining_amt, payrec, mode_code,coinsurance_code,class_cd,it_remarks) values('24Sep240082','040000179037','8800',(select max(to_number(i.premium_rcv_detail_code))+1
from ins_premium_det i),'8800','8800','02', '11000003','00','Request by Mr. Omair Ali 25-Sep-2024 allocation no 24Sep240082 ');</v>
      </c>
    </row>
    <row r="532" spans="1:8" ht="105" x14ac:dyDescent="0.25">
      <c r="A532" t="s">
        <v>644</v>
      </c>
      <c r="B532" s="80" t="str">
        <f>VLOOKUP(A532,[1]Sheet1!$B:$C,2,0)</f>
        <v>040000179038</v>
      </c>
      <c r="C532" s="46">
        <v>19145</v>
      </c>
      <c r="D532" s="81">
        <f t="shared" si="35"/>
        <v>19145</v>
      </c>
      <c r="E532" s="79" t="s">
        <v>2492</v>
      </c>
      <c r="F532" s="82" t="str">
        <f t="shared" si="32"/>
        <v>insert into ins_premium_det (premium_rcv_code,assorted_code, rec_amount,premium_rcv_detail_code,remaining_amt, payrec, mode_code,coinsurance_code,class_cd,it_remarks) values</v>
      </c>
      <c r="G532" s="83" t="str">
        <f t="shared" si="33"/>
        <v>('24Sep240082','040000179038','19145',(select max(to_number(i.premium_rcv_detail_code))+1
from ins_premium_det i),'19145','19145','02', '11000003','00','Request by Mr. Omair Ali 25-Sep-2024 allocation no 24Sep240082 ');</v>
      </c>
      <c r="H532" s="84" t="str">
        <f t="shared" si="34"/>
        <v>insert into ins_premium_det (premium_rcv_code,assorted_code, rec_amount,premium_rcv_detail_code,remaining_amt, payrec, mode_code,coinsurance_code,class_cd,it_remarks) values('24Sep240082','040000179038','19145',(select max(to_number(i.premium_rcv_detail_code))+1
from ins_premium_det i),'19145','19145','02', '11000003','00','Request by Mr. Omair Ali 25-Sep-2024 allocation no 24Sep240082 ');</v>
      </c>
    </row>
    <row r="533" spans="1:8" ht="105" x14ac:dyDescent="0.25">
      <c r="A533" t="s">
        <v>645</v>
      </c>
      <c r="B533" s="80" t="str">
        <f>VLOOKUP(A533,[1]Sheet1!$B:$C,2,0)</f>
        <v>040000179042</v>
      </c>
      <c r="C533" s="46">
        <v>12320</v>
      </c>
      <c r="D533" s="81">
        <f t="shared" si="35"/>
        <v>12320</v>
      </c>
      <c r="E533" s="79" t="s">
        <v>2492</v>
      </c>
      <c r="F533" s="82" t="str">
        <f t="shared" si="32"/>
        <v>insert into ins_premium_det (premium_rcv_code,assorted_code, rec_amount,premium_rcv_detail_code,remaining_amt, payrec, mode_code,coinsurance_code,class_cd,it_remarks) values</v>
      </c>
      <c r="G533" s="83" t="str">
        <f t="shared" si="33"/>
        <v>('24Sep240082','040000179042','12320',(select max(to_number(i.premium_rcv_detail_code))+1
from ins_premium_det i),'12320','12320','02', '11000003','00','Request by Mr. Omair Ali 25-Sep-2024 allocation no 24Sep240082 ');</v>
      </c>
      <c r="H533" s="84" t="str">
        <f t="shared" si="34"/>
        <v>insert into ins_premium_det (premium_rcv_code,assorted_code, rec_amount,premium_rcv_detail_code,remaining_amt, payrec, mode_code,coinsurance_code,class_cd,it_remarks) values('24Sep240082','040000179042','12320',(select max(to_number(i.premium_rcv_detail_code))+1
from ins_premium_det i),'12320','12320','02', '11000003','00','Request by Mr. Omair Ali 25-Sep-2024 allocation no 24Sep240082 ');</v>
      </c>
    </row>
    <row r="534" spans="1:8" ht="105" x14ac:dyDescent="0.25">
      <c r="A534" t="s">
        <v>646</v>
      </c>
      <c r="B534" s="80" t="str">
        <f>VLOOKUP(A534,[1]Sheet1!$B:$C,2,0)</f>
        <v>040000179043</v>
      </c>
      <c r="C534" s="46">
        <v>12320</v>
      </c>
      <c r="D534" s="81">
        <f t="shared" si="35"/>
        <v>12320</v>
      </c>
      <c r="E534" s="79" t="s">
        <v>2492</v>
      </c>
      <c r="F534" s="82" t="str">
        <f t="shared" si="32"/>
        <v>insert into ins_premium_det (premium_rcv_code,assorted_code, rec_amount,premium_rcv_detail_code,remaining_amt, payrec, mode_code,coinsurance_code,class_cd,it_remarks) values</v>
      </c>
      <c r="G534" s="83" t="str">
        <f t="shared" si="33"/>
        <v>('24Sep240082','040000179043','12320',(select max(to_number(i.premium_rcv_detail_code))+1
from ins_premium_det i),'12320','12320','02', '11000003','00','Request by Mr. Omair Ali 25-Sep-2024 allocation no 24Sep240082 ');</v>
      </c>
      <c r="H534" s="84" t="str">
        <f t="shared" si="34"/>
        <v>insert into ins_premium_det (premium_rcv_code,assorted_code, rec_amount,premium_rcv_detail_code,remaining_amt, payrec, mode_code,coinsurance_code,class_cd,it_remarks) values('24Sep240082','040000179043','12320',(select max(to_number(i.premium_rcv_detail_code))+1
from ins_premium_det i),'12320','12320','02', '11000003','00','Request by Mr. Omair Ali 25-Sep-2024 allocation no 24Sep240082 ');</v>
      </c>
    </row>
    <row r="535" spans="1:8" ht="105" x14ac:dyDescent="0.25">
      <c r="A535" t="s">
        <v>647</v>
      </c>
      <c r="B535" s="80" t="str">
        <f>VLOOKUP(A535,[1]Sheet1!$B:$C,2,0)</f>
        <v>040000179046</v>
      </c>
      <c r="C535" s="46">
        <v>13370</v>
      </c>
      <c r="D535" s="81">
        <f t="shared" si="35"/>
        <v>13370</v>
      </c>
      <c r="E535" s="79" t="s">
        <v>2492</v>
      </c>
      <c r="F535" s="82" t="str">
        <f t="shared" si="32"/>
        <v>insert into ins_premium_det (premium_rcv_code,assorted_code, rec_amount,premium_rcv_detail_code,remaining_amt, payrec, mode_code,coinsurance_code,class_cd,it_remarks) values</v>
      </c>
      <c r="G535" s="83" t="str">
        <f t="shared" si="33"/>
        <v>('24Sep240082','040000179046','13370',(select max(to_number(i.premium_rcv_detail_code))+1
from ins_premium_det i),'13370','13370','02', '11000003','00','Request by Mr. Omair Ali 25-Sep-2024 allocation no 24Sep240082 ');</v>
      </c>
      <c r="H535" s="84" t="str">
        <f t="shared" si="34"/>
        <v>insert into ins_premium_det (premium_rcv_code,assorted_code, rec_amount,premium_rcv_detail_code,remaining_amt, payrec, mode_code,coinsurance_code,class_cd,it_remarks) values('24Sep240082','040000179046','13370',(select max(to_number(i.premium_rcv_detail_code))+1
from ins_premium_det i),'13370','13370','02', '11000003','00','Request by Mr. Omair Ali 25-Sep-2024 allocation no 24Sep240082 ');</v>
      </c>
    </row>
    <row r="536" spans="1:8" ht="105" x14ac:dyDescent="0.25">
      <c r="A536" t="s">
        <v>648</v>
      </c>
      <c r="B536" s="80" t="str">
        <f>VLOOKUP(A536,[1]Sheet1!$B:$C,2,0)</f>
        <v>040000179049</v>
      </c>
      <c r="C536" s="46">
        <v>12320</v>
      </c>
      <c r="D536" s="81">
        <f t="shared" si="35"/>
        <v>12320</v>
      </c>
      <c r="E536" s="79" t="s">
        <v>2492</v>
      </c>
      <c r="F536" s="82" t="str">
        <f t="shared" si="32"/>
        <v>insert into ins_premium_det (premium_rcv_code,assorted_code, rec_amount,premium_rcv_detail_code,remaining_amt, payrec, mode_code,coinsurance_code,class_cd,it_remarks) values</v>
      </c>
      <c r="G536" s="83" t="str">
        <f t="shared" si="33"/>
        <v>('24Sep240082','040000179049','12320',(select max(to_number(i.premium_rcv_detail_code))+1
from ins_premium_det i),'12320','12320','02', '11000003','00','Request by Mr. Omair Ali 25-Sep-2024 allocation no 24Sep240082 ');</v>
      </c>
      <c r="H536" s="84" t="str">
        <f t="shared" si="34"/>
        <v>insert into ins_premium_det (premium_rcv_code,assorted_code, rec_amount,premium_rcv_detail_code,remaining_amt, payrec, mode_code,coinsurance_code,class_cd,it_remarks) values('24Sep240082','040000179049','12320',(select max(to_number(i.premium_rcv_detail_code))+1
from ins_premium_det i),'12320','12320','02', '11000003','00','Request by Mr. Omair Ali 25-Sep-2024 allocation no 24Sep240082 ');</v>
      </c>
    </row>
    <row r="537" spans="1:8" ht="105" x14ac:dyDescent="0.25">
      <c r="A537" t="s">
        <v>649</v>
      </c>
      <c r="B537" s="80" t="str">
        <f>VLOOKUP(A537,[1]Sheet1!$B:$C,2,0)</f>
        <v>040000179057</v>
      </c>
      <c r="C537" s="46">
        <v>13370</v>
      </c>
      <c r="D537" s="81">
        <f t="shared" si="35"/>
        <v>13370</v>
      </c>
      <c r="E537" s="79" t="s">
        <v>2492</v>
      </c>
      <c r="F537" s="82" t="str">
        <f t="shared" si="32"/>
        <v>insert into ins_premium_det (premium_rcv_code,assorted_code, rec_amount,premium_rcv_detail_code,remaining_amt, payrec, mode_code,coinsurance_code,class_cd,it_remarks) values</v>
      </c>
      <c r="G537" s="83" t="str">
        <f t="shared" si="33"/>
        <v>('24Sep240082','040000179057','13370',(select max(to_number(i.premium_rcv_detail_code))+1
from ins_premium_det i),'13370','13370','02', '11000003','00','Request by Mr. Omair Ali 25-Sep-2024 allocation no 24Sep240082 ');</v>
      </c>
      <c r="H537" s="84" t="str">
        <f t="shared" si="34"/>
        <v>insert into ins_premium_det (premium_rcv_code,assorted_code, rec_amount,premium_rcv_detail_code,remaining_amt, payrec, mode_code,coinsurance_code,class_cd,it_remarks) values('24Sep240082','040000179057','13370',(select max(to_number(i.premium_rcv_detail_code))+1
from ins_premium_det i),'13370','13370','02', '11000003','00','Request by Mr. Omair Ali 25-Sep-2024 allocation no 24Sep240082 ');</v>
      </c>
    </row>
    <row r="538" spans="1:8" ht="105" x14ac:dyDescent="0.25">
      <c r="A538" t="s">
        <v>650</v>
      </c>
      <c r="B538" s="80" t="str">
        <f>VLOOKUP(A538,[1]Sheet1!$B:$C,2,0)</f>
        <v>040000179058</v>
      </c>
      <c r="C538" s="46">
        <v>13370</v>
      </c>
      <c r="D538" s="81">
        <f t="shared" si="35"/>
        <v>13370</v>
      </c>
      <c r="E538" s="79" t="s">
        <v>2492</v>
      </c>
      <c r="F538" s="82" t="str">
        <f t="shared" si="32"/>
        <v>insert into ins_premium_det (premium_rcv_code,assorted_code, rec_amount,premium_rcv_detail_code,remaining_amt, payrec, mode_code,coinsurance_code,class_cd,it_remarks) values</v>
      </c>
      <c r="G538" s="83" t="str">
        <f t="shared" si="33"/>
        <v>('24Sep240082','040000179058','13370',(select max(to_number(i.premium_rcv_detail_code))+1
from ins_premium_det i),'13370','13370','02', '11000003','00','Request by Mr. Omair Ali 25-Sep-2024 allocation no 24Sep240082 ');</v>
      </c>
      <c r="H538" s="84" t="str">
        <f t="shared" si="34"/>
        <v>insert into ins_premium_det (premium_rcv_code,assorted_code, rec_amount,premium_rcv_detail_code,remaining_amt, payrec, mode_code,coinsurance_code,class_cd,it_remarks) values('24Sep240082','040000179058','13370',(select max(to_number(i.premium_rcv_detail_code))+1
from ins_premium_det i),'13370','13370','02', '11000003','00','Request by Mr. Omair Ali 25-Sep-2024 allocation no 24Sep240082 ');</v>
      </c>
    </row>
    <row r="539" spans="1:8" ht="105" x14ac:dyDescent="0.25">
      <c r="A539" t="s">
        <v>651</v>
      </c>
      <c r="B539" s="80" t="str">
        <f>VLOOKUP(A539,[1]Sheet1!$B:$C,2,0)</f>
        <v>040000179062</v>
      </c>
      <c r="C539" s="46">
        <v>8800</v>
      </c>
      <c r="D539" s="81">
        <f t="shared" si="35"/>
        <v>8800</v>
      </c>
      <c r="E539" s="79" t="s">
        <v>2492</v>
      </c>
      <c r="F539" s="82" t="str">
        <f t="shared" si="32"/>
        <v>insert into ins_premium_det (premium_rcv_code,assorted_code, rec_amount,premium_rcv_detail_code,remaining_amt, payrec, mode_code,coinsurance_code,class_cd,it_remarks) values</v>
      </c>
      <c r="G539" s="83" t="str">
        <f t="shared" si="33"/>
        <v>('24Sep240082','040000179062','8800',(select max(to_number(i.premium_rcv_detail_code))+1
from ins_premium_det i),'8800','8800','02', '11000003','00','Request by Mr. Omair Ali 25-Sep-2024 allocation no 24Sep240082 ');</v>
      </c>
      <c r="H539" s="84" t="str">
        <f t="shared" si="34"/>
        <v>insert into ins_premium_det (premium_rcv_code,assorted_code, rec_amount,premium_rcv_detail_code,remaining_amt, payrec, mode_code,coinsurance_code,class_cd,it_remarks) values('24Sep240082','040000179062','8800',(select max(to_number(i.premium_rcv_detail_code))+1
from ins_premium_det i),'8800','8800','02', '11000003','00','Request by Mr. Omair Ali 25-Sep-2024 allocation no 24Sep240082 ');</v>
      </c>
    </row>
    <row r="540" spans="1:8" ht="105" x14ac:dyDescent="0.25">
      <c r="A540" t="s">
        <v>652</v>
      </c>
      <c r="B540" s="80" t="str">
        <f>VLOOKUP(A540,[1]Sheet1!$B:$C,2,0)</f>
        <v>040000179063</v>
      </c>
      <c r="C540" s="46">
        <v>12320</v>
      </c>
      <c r="D540" s="81">
        <f t="shared" si="35"/>
        <v>12320</v>
      </c>
      <c r="E540" s="79" t="s">
        <v>2492</v>
      </c>
      <c r="F540" s="82" t="str">
        <f t="shared" si="32"/>
        <v>insert into ins_premium_det (premium_rcv_code,assorted_code, rec_amount,premium_rcv_detail_code,remaining_amt, payrec, mode_code,coinsurance_code,class_cd,it_remarks) values</v>
      </c>
      <c r="G540" s="83" t="str">
        <f t="shared" si="33"/>
        <v>('24Sep240082','040000179063','12320',(select max(to_number(i.premium_rcv_detail_code))+1
from ins_premium_det i),'12320','12320','02', '11000003','00','Request by Mr. Omair Ali 25-Sep-2024 allocation no 24Sep240082 ');</v>
      </c>
      <c r="H540" s="84" t="str">
        <f t="shared" si="34"/>
        <v>insert into ins_premium_det (premium_rcv_code,assorted_code, rec_amount,premium_rcv_detail_code,remaining_amt, payrec, mode_code,coinsurance_code,class_cd,it_remarks) values('24Sep240082','040000179063','12320',(select max(to_number(i.premium_rcv_detail_code))+1
from ins_premium_det i),'12320','12320','02', '11000003','00','Request by Mr. Omair Ali 25-Sep-2024 allocation no 24Sep240082 ');</v>
      </c>
    </row>
    <row r="541" spans="1:8" ht="105" x14ac:dyDescent="0.25">
      <c r="A541" t="s">
        <v>653</v>
      </c>
      <c r="B541" s="80" t="str">
        <f>VLOOKUP(A541,[1]Sheet1!$B:$C,2,0)</f>
        <v>040000179064</v>
      </c>
      <c r="C541" s="46">
        <v>12320</v>
      </c>
      <c r="D541" s="81">
        <f t="shared" si="35"/>
        <v>12320</v>
      </c>
      <c r="E541" s="79" t="s">
        <v>2492</v>
      </c>
      <c r="F541" s="82" t="str">
        <f t="shared" si="32"/>
        <v>insert into ins_premium_det (premium_rcv_code,assorted_code, rec_amount,premium_rcv_detail_code,remaining_amt, payrec, mode_code,coinsurance_code,class_cd,it_remarks) values</v>
      </c>
      <c r="G541" s="83" t="str">
        <f t="shared" si="33"/>
        <v>('24Sep240082','040000179064','12320',(select max(to_number(i.premium_rcv_detail_code))+1
from ins_premium_det i),'12320','12320','02', '11000003','00','Request by Mr. Omair Ali 25-Sep-2024 allocation no 24Sep240082 ');</v>
      </c>
      <c r="H541" s="84" t="str">
        <f t="shared" si="34"/>
        <v>insert into ins_premium_det (premium_rcv_code,assorted_code, rec_amount,premium_rcv_detail_code,remaining_amt, payrec, mode_code,coinsurance_code,class_cd,it_remarks) values('24Sep240082','040000179064','12320',(select max(to_number(i.premium_rcv_detail_code))+1
from ins_premium_det i),'12320','12320','02', '11000003','00','Request by Mr. Omair Ali 25-Sep-2024 allocation no 24Sep240082 ');</v>
      </c>
    </row>
    <row r="542" spans="1:8" ht="105" x14ac:dyDescent="0.25">
      <c r="A542" t="s">
        <v>654</v>
      </c>
      <c r="B542" s="80" t="str">
        <f>VLOOKUP(A542,[1]Sheet1!$B:$C,2,0)</f>
        <v>040000179066</v>
      </c>
      <c r="C542" s="46">
        <v>12320</v>
      </c>
      <c r="D542" s="81">
        <f t="shared" si="35"/>
        <v>12320</v>
      </c>
      <c r="E542" s="79" t="s">
        <v>2492</v>
      </c>
      <c r="F542" s="82" t="str">
        <f t="shared" si="32"/>
        <v>insert into ins_premium_det (premium_rcv_code,assorted_code, rec_amount,premium_rcv_detail_code,remaining_amt, payrec, mode_code,coinsurance_code,class_cd,it_remarks) values</v>
      </c>
      <c r="G542" s="83" t="str">
        <f t="shared" si="33"/>
        <v>('24Sep240082','040000179066','12320',(select max(to_number(i.premium_rcv_detail_code))+1
from ins_premium_det i),'12320','12320','02', '11000003','00','Request by Mr. Omair Ali 25-Sep-2024 allocation no 24Sep240082 ');</v>
      </c>
      <c r="H542" s="84" t="str">
        <f t="shared" si="34"/>
        <v>insert into ins_premium_det (premium_rcv_code,assorted_code, rec_amount,premium_rcv_detail_code,remaining_amt, payrec, mode_code,coinsurance_code,class_cd,it_remarks) values('24Sep240082','040000179066','12320',(select max(to_number(i.premium_rcv_detail_code))+1
from ins_premium_det i),'12320','12320','02', '11000003','00','Request by Mr. Omair Ali 25-Sep-2024 allocation no 24Sep240082 ');</v>
      </c>
    </row>
    <row r="543" spans="1:8" ht="105" x14ac:dyDescent="0.25">
      <c r="A543" t="s">
        <v>655</v>
      </c>
      <c r="B543" s="80" t="str">
        <f>VLOOKUP(A543,[1]Sheet1!$B:$C,2,0)</f>
        <v>040000179067</v>
      </c>
      <c r="C543" s="46">
        <v>12320</v>
      </c>
      <c r="D543" s="81">
        <f t="shared" si="35"/>
        <v>12320</v>
      </c>
      <c r="E543" s="79" t="s">
        <v>2492</v>
      </c>
      <c r="F543" s="82" t="str">
        <f t="shared" si="32"/>
        <v>insert into ins_premium_det (premium_rcv_code,assorted_code, rec_amount,premium_rcv_detail_code,remaining_amt, payrec, mode_code,coinsurance_code,class_cd,it_remarks) values</v>
      </c>
      <c r="G543" s="83" t="str">
        <f t="shared" si="33"/>
        <v>('24Sep240082','040000179067','12320',(select max(to_number(i.premium_rcv_detail_code))+1
from ins_premium_det i),'12320','12320','02', '11000003','00','Request by Mr. Omair Ali 25-Sep-2024 allocation no 24Sep240082 ');</v>
      </c>
      <c r="H543" s="84" t="str">
        <f t="shared" si="34"/>
        <v>insert into ins_premium_det (premium_rcv_code,assorted_code, rec_amount,premium_rcv_detail_code,remaining_amt, payrec, mode_code,coinsurance_code,class_cd,it_remarks) values('24Sep240082','040000179067','12320',(select max(to_number(i.premium_rcv_detail_code))+1
from ins_premium_det i),'12320','12320','02', '11000003','00','Request by Mr. Omair Ali 25-Sep-2024 allocation no 24Sep240082 ');</v>
      </c>
    </row>
    <row r="544" spans="1:8" ht="105" x14ac:dyDescent="0.25">
      <c r="A544" t="s">
        <v>656</v>
      </c>
      <c r="B544" s="80" t="str">
        <f>VLOOKUP(A544,[1]Sheet1!$B:$C,2,0)</f>
        <v>040000179071</v>
      </c>
      <c r="C544" s="46">
        <v>8800</v>
      </c>
      <c r="D544" s="81">
        <f t="shared" si="35"/>
        <v>8800</v>
      </c>
      <c r="E544" s="79" t="s">
        <v>2492</v>
      </c>
      <c r="F544" s="82" t="str">
        <f t="shared" si="32"/>
        <v>insert into ins_premium_det (premium_rcv_code,assorted_code, rec_amount,premium_rcv_detail_code,remaining_amt, payrec, mode_code,coinsurance_code,class_cd,it_remarks) values</v>
      </c>
      <c r="G544" s="83" t="str">
        <f t="shared" si="33"/>
        <v>('24Sep240082','040000179071','8800',(select max(to_number(i.premium_rcv_detail_code))+1
from ins_premium_det i),'8800','8800','02', '11000003','00','Request by Mr. Omair Ali 25-Sep-2024 allocation no 24Sep240082 ');</v>
      </c>
      <c r="H544" s="84" t="str">
        <f t="shared" si="34"/>
        <v>insert into ins_premium_det (premium_rcv_code,assorted_code, rec_amount,premium_rcv_detail_code,remaining_amt, payrec, mode_code,coinsurance_code,class_cd,it_remarks) values('24Sep240082','040000179071','8800',(select max(to_number(i.premium_rcv_detail_code))+1
from ins_premium_det i),'8800','8800','02', '11000003','00','Request by Mr. Omair Ali 25-Sep-2024 allocation no 24Sep240082 ');</v>
      </c>
    </row>
    <row r="545" spans="1:8" ht="105" x14ac:dyDescent="0.25">
      <c r="A545" t="s">
        <v>657</v>
      </c>
      <c r="B545" s="80" t="str">
        <f>VLOOKUP(A545,[1]Sheet1!$B:$C,2,0)</f>
        <v>040000179076</v>
      </c>
      <c r="C545" s="46">
        <v>8800</v>
      </c>
      <c r="D545" s="81">
        <f t="shared" si="35"/>
        <v>8800</v>
      </c>
      <c r="E545" s="79" t="s">
        <v>2492</v>
      </c>
      <c r="F545" s="82" t="str">
        <f t="shared" si="32"/>
        <v>insert into ins_premium_det (premium_rcv_code,assorted_code, rec_amount,premium_rcv_detail_code,remaining_amt, payrec, mode_code,coinsurance_code,class_cd,it_remarks) values</v>
      </c>
      <c r="G545" s="83" t="str">
        <f t="shared" si="33"/>
        <v>('24Sep240082','040000179076','8800',(select max(to_number(i.premium_rcv_detail_code))+1
from ins_premium_det i),'8800','8800','02', '11000003','00','Request by Mr. Omair Ali 25-Sep-2024 allocation no 24Sep240082 ');</v>
      </c>
      <c r="H545" s="84" t="str">
        <f t="shared" si="34"/>
        <v>insert into ins_premium_det (premium_rcv_code,assorted_code, rec_amount,premium_rcv_detail_code,remaining_amt, payrec, mode_code,coinsurance_code,class_cd,it_remarks) values('24Sep240082','040000179076','8800',(select max(to_number(i.premium_rcv_detail_code))+1
from ins_premium_det i),'8800','8800','02', '11000003','00','Request by Mr. Omair Ali 25-Sep-2024 allocation no 24Sep240082 ');</v>
      </c>
    </row>
    <row r="546" spans="1:8" ht="105" x14ac:dyDescent="0.25">
      <c r="A546" t="s">
        <v>658</v>
      </c>
      <c r="B546" s="80" t="str">
        <f>VLOOKUP(A546,[1]Sheet1!$B:$C,2,0)</f>
        <v>040000179080</v>
      </c>
      <c r="C546" s="46">
        <v>8800</v>
      </c>
      <c r="D546" s="81">
        <f t="shared" si="35"/>
        <v>8800</v>
      </c>
      <c r="E546" s="79" t="s">
        <v>2492</v>
      </c>
      <c r="F546" s="82" t="str">
        <f t="shared" si="32"/>
        <v>insert into ins_premium_det (premium_rcv_code,assorted_code, rec_amount,premium_rcv_detail_code,remaining_amt, payrec, mode_code,coinsurance_code,class_cd,it_remarks) values</v>
      </c>
      <c r="G546" s="83" t="str">
        <f t="shared" si="33"/>
        <v>('24Sep240082','040000179080','8800',(select max(to_number(i.premium_rcv_detail_code))+1
from ins_premium_det i),'8800','8800','02', '11000003','00','Request by Mr. Omair Ali 25-Sep-2024 allocation no 24Sep240082 ');</v>
      </c>
      <c r="H546" s="84" t="str">
        <f t="shared" si="34"/>
        <v>insert into ins_premium_det (premium_rcv_code,assorted_code, rec_amount,premium_rcv_detail_code,remaining_amt, payrec, mode_code,coinsurance_code,class_cd,it_remarks) values('24Sep240082','040000179080','8800',(select max(to_number(i.premium_rcv_detail_code))+1
from ins_premium_det i),'8800','8800','02', '11000003','00','Request by Mr. Omair Ali 25-Sep-2024 allocation no 24Sep240082 ');</v>
      </c>
    </row>
    <row r="547" spans="1:8" ht="105" x14ac:dyDescent="0.25">
      <c r="A547" t="s">
        <v>659</v>
      </c>
      <c r="B547" s="80" t="str">
        <f>VLOOKUP(A547,[1]Sheet1!$B:$C,2,0)</f>
        <v>040000179086</v>
      </c>
      <c r="C547" s="46">
        <v>13370</v>
      </c>
      <c r="D547" s="81">
        <f t="shared" si="35"/>
        <v>13370</v>
      </c>
      <c r="E547" s="79" t="s">
        <v>2492</v>
      </c>
      <c r="F547" s="82" t="str">
        <f t="shared" si="32"/>
        <v>insert into ins_premium_det (premium_rcv_code,assorted_code, rec_amount,premium_rcv_detail_code,remaining_amt, payrec, mode_code,coinsurance_code,class_cd,it_remarks) values</v>
      </c>
      <c r="G547" s="83" t="str">
        <f t="shared" si="33"/>
        <v>('24Sep240082','040000179086','13370',(select max(to_number(i.premium_rcv_detail_code))+1
from ins_premium_det i),'13370','13370','02', '11000003','00','Request by Mr. Omair Ali 25-Sep-2024 allocation no 24Sep240082 ');</v>
      </c>
      <c r="H547" s="84" t="str">
        <f t="shared" si="34"/>
        <v>insert into ins_premium_det (premium_rcv_code,assorted_code, rec_amount,premium_rcv_detail_code,remaining_amt, payrec, mode_code,coinsurance_code,class_cd,it_remarks) values('24Sep240082','040000179086','13370',(select max(to_number(i.premium_rcv_detail_code))+1
from ins_premium_det i),'13370','13370','02', '11000003','00','Request by Mr. Omair Ali 25-Sep-2024 allocation no 24Sep240082 ');</v>
      </c>
    </row>
    <row r="548" spans="1:8" ht="105" x14ac:dyDescent="0.25">
      <c r="A548" t="s">
        <v>660</v>
      </c>
      <c r="B548" s="80" t="str">
        <f>VLOOKUP(A548,[1]Sheet1!$B:$C,2,0)</f>
        <v>040000179093</v>
      </c>
      <c r="C548" s="46">
        <v>12320</v>
      </c>
      <c r="D548" s="81">
        <f t="shared" si="35"/>
        <v>12320</v>
      </c>
      <c r="E548" s="79" t="s">
        <v>2492</v>
      </c>
      <c r="F548" s="82" t="str">
        <f t="shared" si="32"/>
        <v>insert into ins_premium_det (premium_rcv_code,assorted_code, rec_amount,premium_rcv_detail_code,remaining_amt, payrec, mode_code,coinsurance_code,class_cd,it_remarks) values</v>
      </c>
      <c r="G548" s="83" t="str">
        <f t="shared" si="33"/>
        <v>('24Sep240082','040000179093','12320',(select max(to_number(i.premium_rcv_detail_code))+1
from ins_premium_det i),'12320','12320','02', '11000003','00','Request by Mr. Omair Ali 25-Sep-2024 allocation no 24Sep240082 ');</v>
      </c>
      <c r="H548" s="84" t="str">
        <f t="shared" si="34"/>
        <v>insert into ins_premium_det (premium_rcv_code,assorted_code, rec_amount,premium_rcv_detail_code,remaining_amt, payrec, mode_code,coinsurance_code,class_cd,it_remarks) values('24Sep240082','040000179093','12320',(select max(to_number(i.premium_rcv_detail_code))+1
from ins_premium_det i),'12320','12320','02', '11000003','00','Request by Mr. Omair Ali 25-Sep-2024 allocation no 24Sep240082 ');</v>
      </c>
    </row>
    <row r="549" spans="1:8" ht="105" x14ac:dyDescent="0.25">
      <c r="A549" t="s">
        <v>661</v>
      </c>
      <c r="B549" s="80" t="str">
        <f>VLOOKUP(A549,[1]Sheet1!$B:$C,2,0)</f>
        <v>040000179094</v>
      </c>
      <c r="C549" s="46">
        <v>12320</v>
      </c>
      <c r="D549" s="81">
        <f t="shared" si="35"/>
        <v>12320</v>
      </c>
      <c r="E549" s="79" t="s">
        <v>2492</v>
      </c>
      <c r="F549" s="82" t="str">
        <f t="shared" si="32"/>
        <v>insert into ins_premium_det (premium_rcv_code,assorted_code, rec_amount,premium_rcv_detail_code,remaining_amt, payrec, mode_code,coinsurance_code,class_cd,it_remarks) values</v>
      </c>
      <c r="G549" s="83" t="str">
        <f t="shared" si="33"/>
        <v>('24Sep240082','040000179094','12320',(select max(to_number(i.premium_rcv_detail_code))+1
from ins_premium_det i),'12320','12320','02', '11000003','00','Request by Mr. Omair Ali 25-Sep-2024 allocation no 24Sep240082 ');</v>
      </c>
      <c r="H549" s="84" t="str">
        <f t="shared" si="34"/>
        <v>insert into ins_premium_det (premium_rcv_code,assorted_code, rec_amount,premium_rcv_detail_code,remaining_amt, payrec, mode_code,coinsurance_code,class_cd,it_remarks) values('24Sep240082','040000179094','12320',(select max(to_number(i.premium_rcv_detail_code))+1
from ins_premium_det i),'12320','12320','02', '11000003','00','Request by Mr. Omair Ali 25-Sep-2024 allocation no 24Sep240082 ');</v>
      </c>
    </row>
    <row r="550" spans="1:8" ht="105" x14ac:dyDescent="0.25">
      <c r="A550" t="s">
        <v>662</v>
      </c>
      <c r="B550" s="80" t="str">
        <f>VLOOKUP(A550,[1]Sheet1!$B:$C,2,0)</f>
        <v>040000179096</v>
      </c>
      <c r="C550" s="46">
        <v>12320</v>
      </c>
      <c r="D550" s="81">
        <f t="shared" si="35"/>
        <v>12320</v>
      </c>
      <c r="E550" s="79" t="s">
        <v>2492</v>
      </c>
      <c r="F550" s="82" t="str">
        <f t="shared" si="32"/>
        <v>insert into ins_premium_det (premium_rcv_code,assorted_code, rec_amount,premium_rcv_detail_code,remaining_amt, payrec, mode_code,coinsurance_code,class_cd,it_remarks) values</v>
      </c>
      <c r="G550" s="83" t="str">
        <f t="shared" si="33"/>
        <v>('24Sep240082','040000179096','12320',(select max(to_number(i.premium_rcv_detail_code))+1
from ins_premium_det i),'12320','12320','02', '11000003','00','Request by Mr. Omair Ali 25-Sep-2024 allocation no 24Sep240082 ');</v>
      </c>
      <c r="H550" s="84" t="str">
        <f t="shared" si="34"/>
        <v>insert into ins_premium_det (premium_rcv_code,assorted_code, rec_amount,premium_rcv_detail_code,remaining_amt, payrec, mode_code,coinsurance_code,class_cd,it_remarks) values('24Sep240082','040000179096','12320',(select max(to_number(i.premium_rcv_detail_code))+1
from ins_premium_det i),'12320','12320','02', '11000003','00','Request by Mr. Omair Ali 25-Sep-2024 allocation no 24Sep240082 ');</v>
      </c>
    </row>
    <row r="551" spans="1:8" ht="105" x14ac:dyDescent="0.25">
      <c r="A551" t="s">
        <v>663</v>
      </c>
      <c r="B551" s="80" t="str">
        <f>VLOOKUP(A551,[1]Sheet1!$B:$C,2,0)</f>
        <v>040000179097</v>
      </c>
      <c r="C551" s="46">
        <v>12320</v>
      </c>
      <c r="D551" s="81">
        <f t="shared" si="35"/>
        <v>12320</v>
      </c>
      <c r="E551" s="79" t="s">
        <v>2492</v>
      </c>
      <c r="F551" s="82" t="str">
        <f t="shared" si="32"/>
        <v>insert into ins_premium_det (premium_rcv_code,assorted_code, rec_amount,premium_rcv_detail_code,remaining_amt, payrec, mode_code,coinsurance_code,class_cd,it_remarks) values</v>
      </c>
      <c r="G551" s="83" t="str">
        <f t="shared" si="33"/>
        <v>('24Sep240082','040000179097','12320',(select max(to_number(i.premium_rcv_detail_code))+1
from ins_premium_det i),'12320','12320','02', '11000003','00','Request by Mr. Omair Ali 25-Sep-2024 allocation no 24Sep240082 ');</v>
      </c>
      <c r="H551" s="84" t="str">
        <f t="shared" si="34"/>
        <v>insert into ins_premium_det (premium_rcv_code,assorted_code, rec_amount,premium_rcv_detail_code,remaining_amt, payrec, mode_code,coinsurance_code,class_cd,it_remarks) values('24Sep240082','040000179097','12320',(select max(to_number(i.premium_rcv_detail_code))+1
from ins_premium_det i),'12320','12320','02', '11000003','00','Request by Mr. Omair Ali 25-Sep-2024 allocation no 24Sep240082 ');</v>
      </c>
    </row>
    <row r="552" spans="1:8" ht="105" x14ac:dyDescent="0.25">
      <c r="A552" t="s">
        <v>664</v>
      </c>
      <c r="B552" s="80" t="str">
        <f>VLOOKUP(A552,[1]Sheet1!$B:$C,2,0)</f>
        <v>040000179100</v>
      </c>
      <c r="C552" s="46">
        <v>9550</v>
      </c>
      <c r="D552" s="81">
        <f t="shared" si="35"/>
        <v>9550</v>
      </c>
      <c r="E552" s="79" t="s">
        <v>2492</v>
      </c>
      <c r="F552" s="82" t="str">
        <f t="shared" si="32"/>
        <v>insert into ins_premium_det (premium_rcv_code,assorted_code, rec_amount,premium_rcv_detail_code,remaining_amt, payrec, mode_code,coinsurance_code,class_cd,it_remarks) values</v>
      </c>
      <c r="G552" s="83" t="str">
        <f t="shared" si="33"/>
        <v>('24Sep240082','040000179100','9550',(select max(to_number(i.premium_rcv_detail_code))+1
from ins_premium_det i),'9550','9550','02', '11000003','00','Request by Mr. Omair Ali 25-Sep-2024 allocation no 24Sep240082 ');</v>
      </c>
      <c r="H552" s="84" t="str">
        <f t="shared" si="34"/>
        <v>insert into ins_premium_det (premium_rcv_code,assorted_code, rec_amount,premium_rcv_detail_code,remaining_amt, payrec, mode_code,coinsurance_code,class_cd,it_remarks) values('24Sep240082','040000179100','9550',(select max(to_number(i.premium_rcv_detail_code))+1
from ins_premium_det i),'9550','9550','02', '11000003','00','Request by Mr. Omair Ali 25-Sep-2024 allocation no 24Sep240082 ');</v>
      </c>
    </row>
    <row r="553" spans="1:8" ht="105" x14ac:dyDescent="0.25">
      <c r="A553" t="s">
        <v>665</v>
      </c>
      <c r="B553" s="80" t="str">
        <f>VLOOKUP(A553,[1]Sheet1!$B:$C,2,0)</f>
        <v>040000179101</v>
      </c>
      <c r="C553" s="46">
        <v>12320</v>
      </c>
      <c r="D553" s="81">
        <f t="shared" si="35"/>
        <v>12320</v>
      </c>
      <c r="E553" s="79" t="s">
        <v>2492</v>
      </c>
      <c r="F553" s="82" t="str">
        <f t="shared" si="32"/>
        <v>insert into ins_premium_det (premium_rcv_code,assorted_code, rec_amount,premium_rcv_detail_code,remaining_amt, payrec, mode_code,coinsurance_code,class_cd,it_remarks) values</v>
      </c>
      <c r="G553" s="83" t="str">
        <f t="shared" si="33"/>
        <v>('24Sep240082','040000179101','12320',(select max(to_number(i.premium_rcv_detail_code))+1
from ins_premium_det i),'12320','12320','02', '11000003','00','Request by Mr. Omair Ali 25-Sep-2024 allocation no 24Sep240082 ');</v>
      </c>
      <c r="H553" s="84" t="str">
        <f t="shared" si="34"/>
        <v>insert into ins_premium_det (premium_rcv_code,assorted_code, rec_amount,premium_rcv_detail_code,remaining_amt, payrec, mode_code,coinsurance_code,class_cd,it_remarks) values('24Sep240082','040000179101','12320',(select max(to_number(i.premium_rcv_detail_code))+1
from ins_premium_det i),'12320','12320','02', '11000003','00','Request by Mr. Omair Ali 25-Sep-2024 allocation no 24Sep240082 ');</v>
      </c>
    </row>
    <row r="554" spans="1:8" ht="105" x14ac:dyDescent="0.25">
      <c r="A554" t="s">
        <v>666</v>
      </c>
      <c r="B554" s="80" t="str">
        <f>VLOOKUP(A554,[1]Sheet1!$B:$C,2,0)</f>
        <v>040000179102</v>
      </c>
      <c r="C554" s="46">
        <v>12320</v>
      </c>
      <c r="D554" s="81">
        <f t="shared" si="35"/>
        <v>12320</v>
      </c>
      <c r="E554" s="79" t="s">
        <v>2492</v>
      </c>
      <c r="F554" s="82" t="str">
        <f t="shared" si="32"/>
        <v>insert into ins_premium_det (premium_rcv_code,assorted_code, rec_amount,premium_rcv_detail_code,remaining_amt, payrec, mode_code,coinsurance_code,class_cd,it_remarks) values</v>
      </c>
      <c r="G554" s="83" t="str">
        <f t="shared" si="33"/>
        <v>('24Sep240082','040000179102','12320',(select max(to_number(i.premium_rcv_detail_code))+1
from ins_premium_det i),'12320','12320','02', '11000003','00','Request by Mr. Omair Ali 25-Sep-2024 allocation no 24Sep240082 ');</v>
      </c>
      <c r="H554" s="84" t="str">
        <f t="shared" si="34"/>
        <v>insert into ins_premium_det (premium_rcv_code,assorted_code, rec_amount,premium_rcv_detail_code,remaining_amt, payrec, mode_code,coinsurance_code,class_cd,it_remarks) values('24Sep240082','040000179102','12320',(select max(to_number(i.premium_rcv_detail_code))+1
from ins_premium_det i),'12320','12320','02', '11000003','00','Request by Mr. Omair Ali 25-Sep-2024 allocation no 24Sep240082 ');</v>
      </c>
    </row>
    <row r="555" spans="1:8" ht="105" x14ac:dyDescent="0.25">
      <c r="A555" t="s">
        <v>667</v>
      </c>
      <c r="B555" s="80" t="str">
        <f>VLOOKUP(A555,[1]Sheet1!$B:$C,2,0)</f>
        <v>040000179103</v>
      </c>
      <c r="C555" s="46">
        <v>12320</v>
      </c>
      <c r="D555" s="81">
        <f t="shared" si="35"/>
        <v>12320</v>
      </c>
      <c r="E555" s="79" t="s">
        <v>2492</v>
      </c>
      <c r="F555" s="82" t="str">
        <f t="shared" si="32"/>
        <v>insert into ins_premium_det (premium_rcv_code,assorted_code, rec_amount,premium_rcv_detail_code,remaining_amt, payrec, mode_code,coinsurance_code,class_cd,it_remarks) values</v>
      </c>
      <c r="G555" s="83" t="str">
        <f t="shared" si="33"/>
        <v>('24Sep240082','040000179103','12320',(select max(to_number(i.premium_rcv_detail_code))+1
from ins_premium_det i),'12320','12320','02', '11000003','00','Request by Mr. Omair Ali 25-Sep-2024 allocation no 24Sep240082 ');</v>
      </c>
      <c r="H555" s="84" t="str">
        <f t="shared" si="34"/>
        <v>insert into ins_premium_det (premium_rcv_code,assorted_code, rec_amount,premium_rcv_detail_code,remaining_amt, payrec, mode_code,coinsurance_code,class_cd,it_remarks) values('24Sep240082','040000179103','12320',(select max(to_number(i.premium_rcv_detail_code))+1
from ins_premium_det i),'12320','12320','02', '11000003','00','Request by Mr. Omair Ali 25-Sep-2024 allocation no 24Sep240082 ');</v>
      </c>
    </row>
    <row r="556" spans="1:8" ht="105" x14ac:dyDescent="0.25">
      <c r="A556" t="s">
        <v>668</v>
      </c>
      <c r="B556" s="80" t="str">
        <f>VLOOKUP(A556,[1]Sheet1!$B:$C,2,0)</f>
        <v>040000179104</v>
      </c>
      <c r="C556" s="46">
        <v>13370</v>
      </c>
      <c r="D556" s="81">
        <f t="shared" si="35"/>
        <v>13370</v>
      </c>
      <c r="E556" s="79" t="s">
        <v>2492</v>
      </c>
      <c r="F556" s="82" t="str">
        <f t="shared" si="32"/>
        <v>insert into ins_premium_det (premium_rcv_code,assorted_code, rec_amount,premium_rcv_detail_code,remaining_amt, payrec, mode_code,coinsurance_code,class_cd,it_remarks) values</v>
      </c>
      <c r="G556" s="83" t="str">
        <f t="shared" si="33"/>
        <v>('24Sep240082','040000179104','13370',(select max(to_number(i.premium_rcv_detail_code))+1
from ins_premium_det i),'13370','13370','02', '11000003','00','Request by Mr. Omair Ali 25-Sep-2024 allocation no 24Sep240082 ');</v>
      </c>
      <c r="H556" s="84" t="str">
        <f t="shared" si="34"/>
        <v>insert into ins_premium_det (premium_rcv_code,assorted_code, rec_amount,premium_rcv_detail_code,remaining_amt, payrec, mode_code,coinsurance_code,class_cd,it_remarks) values('24Sep240082','040000179104','13370',(select max(to_number(i.premium_rcv_detail_code))+1
from ins_premium_det i),'13370','13370','02', '11000003','00','Request by Mr. Omair Ali 25-Sep-2024 allocation no 24Sep240082 ');</v>
      </c>
    </row>
    <row r="557" spans="1:8" ht="105" x14ac:dyDescent="0.25">
      <c r="A557" t="s">
        <v>669</v>
      </c>
      <c r="B557" s="80" t="str">
        <f>VLOOKUP(A557,[1]Sheet1!$B:$C,2,0)</f>
        <v>040000179105</v>
      </c>
      <c r="C557" s="46">
        <v>13370</v>
      </c>
      <c r="D557" s="81">
        <f t="shared" si="35"/>
        <v>13370</v>
      </c>
      <c r="E557" s="79" t="s">
        <v>2492</v>
      </c>
      <c r="F557" s="82" t="str">
        <f t="shared" si="32"/>
        <v>insert into ins_premium_det (premium_rcv_code,assorted_code, rec_amount,premium_rcv_detail_code,remaining_amt, payrec, mode_code,coinsurance_code,class_cd,it_remarks) values</v>
      </c>
      <c r="G557" s="83" t="str">
        <f t="shared" si="33"/>
        <v>('24Sep240082','040000179105','13370',(select max(to_number(i.premium_rcv_detail_code))+1
from ins_premium_det i),'13370','13370','02', '11000003','00','Request by Mr. Omair Ali 25-Sep-2024 allocation no 24Sep240082 ');</v>
      </c>
      <c r="H557" s="84" t="str">
        <f t="shared" si="34"/>
        <v>insert into ins_premium_det (premium_rcv_code,assorted_code, rec_amount,premium_rcv_detail_code,remaining_amt, payrec, mode_code,coinsurance_code,class_cd,it_remarks) values('24Sep240082','040000179105','13370',(select max(to_number(i.premium_rcv_detail_code))+1
from ins_premium_det i),'13370','13370','02', '11000003','00','Request by Mr. Omair Ali 25-Sep-2024 allocation no 24Sep240082 ');</v>
      </c>
    </row>
    <row r="558" spans="1:8" ht="105" x14ac:dyDescent="0.25">
      <c r="A558" t="s">
        <v>670</v>
      </c>
      <c r="B558" s="80" t="str">
        <f>VLOOKUP(A558,[1]Sheet1!$B:$C,2,0)</f>
        <v>040000179107</v>
      </c>
      <c r="C558" s="46">
        <v>9550</v>
      </c>
      <c r="D558" s="81">
        <f t="shared" si="35"/>
        <v>9550</v>
      </c>
      <c r="E558" s="79" t="s">
        <v>2492</v>
      </c>
      <c r="F558" s="82" t="str">
        <f t="shared" si="32"/>
        <v>insert into ins_premium_det (premium_rcv_code,assorted_code, rec_amount,premium_rcv_detail_code,remaining_amt, payrec, mode_code,coinsurance_code,class_cd,it_remarks) values</v>
      </c>
      <c r="G558" s="83" t="str">
        <f t="shared" si="33"/>
        <v>('24Sep240082','040000179107','9550',(select max(to_number(i.premium_rcv_detail_code))+1
from ins_premium_det i),'9550','9550','02', '11000003','00','Request by Mr. Omair Ali 25-Sep-2024 allocation no 24Sep240082 ');</v>
      </c>
      <c r="H558" s="84" t="str">
        <f t="shared" si="34"/>
        <v>insert into ins_premium_det (premium_rcv_code,assorted_code, rec_amount,premium_rcv_detail_code,remaining_amt, payrec, mode_code,coinsurance_code,class_cd,it_remarks) values('24Sep240082','040000179107','9550',(select max(to_number(i.premium_rcv_detail_code))+1
from ins_premium_det i),'9550','9550','02', '11000003','00','Request by Mr. Omair Ali 25-Sep-2024 allocation no 24Sep240082 ');</v>
      </c>
    </row>
    <row r="559" spans="1:8" ht="105" x14ac:dyDescent="0.25">
      <c r="A559" t="s">
        <v>671</v>
      </c>
      <c r="B559" s="80" t="str">
        <f>VLOOKUP(A559,[1]Sheet1!$B:$C,2,0)</f>
        <v>040000179108</v>
      </c>
      <c r="C559" s="46">
        <v>13370</v>
      </c>
      <c r="D559" s="81">
        <f t="shared" si="35"/>
        <v>13370</v>
      </c>
      <c r="E559" s="79" t="s">
        <v>2492</v>
      </c>
      <c r="F559" s="82" t="str">
        <f t="shared" si="32"/>
        <v>insert into ins_premium_det (premium_rcv_code,assorted_code, rec_amount,premium_rcv_detail_code,remaining_amt, payrec, mode_code,coinsurance_code,class_cd,it_remarks) values</v>
      </c>
      <c r="G559" s="83" t="str">
        <f t="shared" si="33"/>
        <v>('24Sep240082','040000179108','13370',(select max(to_number(i.premium_rcv_detail_code))+1
from ins_premium_det i),'13370','13370','02', '11000003','00','Request by Mr. Omair Ali 25-Sep-2024 allocation no 24Sep240082 ');</v>
      </c>
      <c r="H559" s="84" t="str">
        <f t="shared" si="34"/>
        <v>insert into ins_premium_det (premium_rcv_code,assorted_code, rec_amount,premium_rcv_detail_code,remaining_amt, payrec, mode_code,coinsurance_code,class_cd,it_remarks) values('24Sep240082','040000179108','13370',(select max(to_number(i.premium_rcv_detail_code))+1
from ins_premium_det i),'13370','13370','02', '11000003','00','Request by Mr. Omair Ali 25-Sep-2024 allocation no 24Sep240082 ');</v>
      </c>
    </row>
    <row r="560" spans="1:8" ht="105" x14ac:dyDescent="0.25">
      <c r="A560" t="s">
        <v>672</v>
      </c>
      <c r="B560" s="80" t="str">
        <f>VLOOKUP(A560,[1]Sheet1!$B:$C,2,0)</f>
        <v>040000179109</v>
      </c>
      <c r="C560" s="46">
        <v>13370</v>
      </c>
      <c r="D560" s="81">
        <f t="shared" si="35"/>
        <v>13370</v>
      </c>
      <c r="E560" s="79" t="s">
        <v>2492</v>
      </c>
      <c r="F560" s="82" t="str">
        <f t="shared" si="32"/>
        <v>insert into ins_premium_det (premium_rcv_code,assorted_code, rec_amount,premium_rcv_detail_code,remaining_amt, payrec, mode_code,coinsurance_code,class_cd,it_remarks) values</v>
      </c>
      <c r="G560" s="83" t="str">
        <f t="shared" si="33"/>
        <v>('24Sep240082','040000179109','13370',(select max(to_number(i.premium_rcv_detail_code))+1
from ins_premium_det i),'13370','13370','02', '11000003','00','Request by Mr. Omair Ali 25-Sep-2024 allocation no 24Sep240082 ');</v>
      </c>
      <c r="H560" s="84" t="str">
        <f t="shared" si="34"/>
        <v>insert into ins_premium_det (premium_rcv_code,assorted_code, rec_amount,premium_rcv_detail_code,remaining_amt, payrec, mode_code,coinsurance_code,class_cd,it_remarks) values('24Sep240082','040000179109','13370',(select max(to_number(i.premium_rcv_detail_code))+1
from ins_premium_det i),'13370','13370','02', '11000003','00','Request by Mr. Omair Ali 25-Sep-2024 allocation no 24Sep240082 ');</v>
      </c>
    </row>
    <row r="561" spans="1:8" ht="105" x14ac:dyDescent="0.25">
      <c r="A561" t="s">
        <v>673</v>
      </c>
      <c r="B561" s="80" t="str">
        <f>VLOOKUP(A561,[1]Sheet1!$B:$C,2,0)</f>
        <v>040000179111</v>
      </c>
      <c r="C561" s="46">
        <v>13370</v>
      </c>
      <c r="D561" s="81">
        <f t="shared" si="35"/>
        <v>13370</v>
      </c>
      <c r="E561" s="79" t="s">
        <v>2492</v>
      </c>
      <c r="F561" s="82" t="str">
        <f t="shared" si="32"/>
        <v>insert into ins_premium_det (premium_rcv_code,assorted_code, rec_amount,premium_rcv_detail_code,remaining_amt, payrec, mode_code,coinsurance_code,class_cd,it_remarks) values</v>
      </c>
      <c r="G561" s="83" t="str">
        <f t="shared" si="33"/>
        <v>('24Sep240082','040000179111','13370',(select max(to_number(i.premium_rcv_detail_code))+1
from ins_premium_det i),'13370','13370','02', '11000003','00','Request by Mr. Omair Ali 25-Sep-2024 allocation no 24Sep240082 ');</v>
      </c>
      <c r="H561" s="84" t="str">
        <f t="shared" si="34"/>
        <v>insert into ins_premium_det (premium_rcv_code,assorted_code, rec_amount,premium_rcv_detail_code,remaining_amt, payrec, mode_code,coinsurance_code,class_cd,it_remarks) values('24Sep240082','040000179111','13370',(select max(to_number(i.premium_rcv_detail_code))+1
from ins_premium_det i),'13370','13370','02', '11000003','00','Request by Mr. Omair Ali 25-Sep-2024 allocation no 24Sep240082 ');</v>
      </c>
    </row>
    <row r="562" spans="1:8" ht="105" x14ac:dyDescent="0.25">
      <c r="A562" t="s">
        <v>674</v>
      </c>
      <c r="B562" s="80" t="str">
        <f>VLOOKUP(A562,[1]Sheet1!$B:$C,2,0)</f>
        <v>040000179112</v>
      </c>
      <c r="C562" s="46">
        <v>13370</v>
      </c>
      <c r="D562" s="81">
        <f t="shared" si="35"/>
        <v>13370</v>
      </c>
      <c r="E562" s="79" t="s">
        <v>2492</v>
      </c>
      <c r="F562" s="82" t="str">
        <f t="shared" si="32"/>
        <v>insert into ins_premium_det (premium_rcv_code,assorted_code, rec_amount,premium_rcv_detail_code,remaining_amt, payrec, mode_code,coinsurance_code,class_cd,it_remarks) values</v>
      </c>
      <c r="G562" s="83" t="str">
        <f t="shared" si="33"/>
        <v>('24Sep240082','040000179112','13370',(select max(to_number(i.premium_rcv_detail_code))+1
from ins_premium_det i),'13370','13370','02', '11000003','00','Request by Mr. Omair Ali 25-Sep-2024 allocation no 24Sep240082 ');</v>
      </c>
      <c r="H562" s="84" t="str">
        <f t="shared" si="34"/>
        <v>insert into ins_premium_det (premium_rcv_code,assorted_code, rec_amount,premium_rcv_detail_code,remaining_amt, payrec, mode_code,coinsurance_code,class_cd,it_remarks) values('24Sep240082','040000179112','13370',(select max(to_number(i.premium_rcv_detail_code))+1
from ins_premium_det i),'13370','13370','02', '11000003','00','Request by Mr. Omair Ali 25-Sep-2024 allocation no 24Sep240082 ');</v>
      </c>
    </row>
    <row r="563" spans="1:8" ht="105" x14ac:dyDescent="0.25">
      <c r="A563" t="s">
        <v>675</v>
      </c>
      <c r="B563" s="80" t="str">
        <f>VLOOKUP(A563,[1]Sheet1!$B:$C,2,0)</f>
        <v>040000179124</v>
      </c>
      <c r="C563" s="46">
        <v>9550</v>
      </c>
      <c r="D563" s="81">
        <f t="shared" si="35"/>
        <v>9550</v>
      </c>
      <c r="E563" s="79" t="s">
        <v>2492</v>
      </c>
      <c r="F563" s="82" t="str">
        <f t="shared" si="32"/>
        <v>insert into ins_premium_det (premium_rcv_code,assorted_code, rec_amount,premium_rcv_detail_code,remaining_amt, payrec, mode_code,coinsurance_code,class_cd,it_remarks) values</v>
      </c>
      <c r="G563" s="83" t="str">
        <f t="shared" si="33"/>
        <v>('24Sep240082','040000179124','9550',(select max(to_number(i.premium_rcv_detail_code))+1
from ins_premium_det i),'9550','9550','02', '11000003','00','Request by Mr. Omair Ali 25-Sep-2024 allocation no 24Sep240082 ');</v>
      </c>
      <c r="H563" s="84" t="str">
        <f t="shared" si="34"/>
        <v>insert into ins_premium_det (premium_rcv_code,assorted_code, rec_amount,premium_rcv_detail_code,remaining_amt, payrec, mode_code,coinsurance_code,class_cd,it_remarks) values('24Sep240082','040000179124','9550',(select max(to_number(i.premium_rcv_detail_code))+1
from ins_premium_det i),'9550','9550','02', '11000003','00','Request by Mr. Omair Ali 25-Sep-2024 allocation no 24Sep240082 ');</v>
      </c>
    </row>
    <row r="564" spans="1:8" ht="105" x14ac:dyDescent="0.25">
      <c r="A564" t="s">
        <v>676</v>
      </c>
      <c r="B564" s="80" t="str">
        <f>VLOOKUP(A564,[1]Sheet1!$B:$C,2,0)</f>
        <v>040000179129</v>
      </c>
      <c r="C564" s="46">
        <v>9550</v>
      </c>
      <c r="D564" s="81">
        <f t="shared" si="35"/>
        <v>9550</v>
      </c>
      <c r="E564" s="79" t="s">
        <v>2492</v>
      </c>
      <c r="F564" s="82" t="str">
        <f t="shared" si="32"/>
        <v>insert into ins_premium_det (premium_rcv_code,assorted_code, rec_amount,premium_rcv_detail_code,remaining_amt, payrec, mode_code,coinsurance_code,class_cd,it_remarks) values</v>
      </c>
      <c r="G564" s="83" t="str">
        <f t="shared" si="33"/>
        <v>('24Sep240082','040000179129','9550',(select max(to_number(i.premium_rcv_detail_code))+1
from ins_premium_det i),'9550','9550','02', '11000003','00','Request by Mr. Omair Ali 25-Sep-2024 allocation no 24Sep240082 ');</v>
      </c>
      <c r="H564" s="84" t="str">
        <f t="shared" si="34"/>
        <v>insert into ins_premium_det (premium_rcv_code,assorted_code, rec_amount,premium_rcv_detail_code,remaining_amt, payrec, mode_code,coinsurance_code,class_cd,it_remarks) values('24Sep240082','040000179129','9550',(select max(to_number(i.premium_rcv_detail_code))+1
from ins_premium_det i),'9550','9550','02', '11000003','00','Request by Mr. Omair Ali 25-Sep-2024 allocation no 24Sep240082 ');</v>
      </c>
    </row>
    <row r="565" spans="1:8" ht="105" x14ac:dyDescent="0.25">
      <c r="A565" t="s">
        <v>677</v>
      </c>
      <c r="B565" s="80" t="str">
        <f>VLOOKUP(A565,[1]Sheet1!$B:$C,2,0)</f>
        <v>040000179132</v>
      </c>
      <c r="C565" s="46">
        <v>8800</v>
      </c>
      <c r="D565" s="81">
        <f t="shared" si="35"/>
        <v>8800</v>
      </c>
      <c r="E565" s="79" t="s">
        <v>2492</v>
      </c>
      <c r="F565" s="82" t="str">
        <f t="shared" si="32"/>
        <v>insert into ins_premium_det (premium_rcv_code,assorted_code, rec_amount,premium_rcv_detail_code,remaining_amt, payrec, mode_code,coinsurance_code,class_cd,it_remarks) values</v>
      </c>
      <c r="G565" s="83" t="str">
        <f t="shared" si="33"/>
        <v>('24Sep240082','040000179132','8800',(select max(to_number(i.premium_rcv_detail_code))+1
from ins_premium_det i),'8800','8800','02', '11000003','00','Request by Mr. Omair Ali 25-Sep-2024 allocation no 24Sep240082 ');</v>
      </c>
      <c r="H565" s="84" t="str">
        <f t="shared" si="34"/>
        <v>insert into ins_premium_det (premium_rcv_code,assorted_code, rec_amount,premium_rcv_detail_code,remaining_amt, payrec, mode_code,coinsurance_code,class_cd,it_remarks) values('24Sep240082','040000179132','8800',(select max(to_number(i.premium_rcv_detail_code))+1
from ins_premium_det i),'8800','8800','02', '11000003','00','Request by Mr. Omair Ali 25-Sep-2024 allocation no 24Sep240082 ');</v>
      </c>
    </row>
    <row r="566" spans="1:8" ht="105" x14ac:dyDescent="0.25">
      <c r="A566" t="s">
        <v>678</v>
      </c>
      <c r="B566" s="80" t="str">
        <f>VLOOKUP(A566,[1]Sheet1!$B:$C,2,0)</f>
        <v>040000179136</v>
      </c>
      <c r="C566" s="46">
        <v>8800</v>
      </c>
      <c r="D566" s="81">
        <f t="shared" si="35"/>
        <v>8800</v>
      </c>
      <c r="E566" s="79" t="s">
        <v>2492</v>
      </c>
      <c r="F566" s="82" t="str">
        <f t="shared" si="32"/>
        <v>insert into ins_premium_det (premium_rcv_code,assorted_code, rec_amount,premium_rcv_detail_code,remaining_amt, payrec, mode_code,coinsurance_code,class_cd,it_remarks) values</v>
      </c>
      <c r="G566" s="83" t="str">
        <f t="shared" si="33"/>
        <v>('24Sep240082','040000179136','8800',(select max(to_number(i.premium_rcv_detail_code))+1
from ins_premium_det i),'8800','8800','02', '11000003','00','Request by Mr. Omair Ali 25-Sep-2024 allocation no 24Sep240082 ');</v>
      </c>
      <c r="H566" s="84" t="str">
        <f t="shared" si="34"/>
        <v>insert into ins_premium_det (premium_rcv_code,assorted_code, rec_amount,premium_rcv_detail_code,remaining_amt, payrec, mode_code,coinsurance_code,class_cd,it_remarks) values('24Sep240082','040000179136','8800',(select max(to_number(i.premium_rcv_detail_code))+1
from ins_premium_det i),'8800','8800','02', '11000003','00','Request by Mr. Omair Ali 25-Sep-2024 allocation no 24Sep240082 ');</v>
      </c>
    </row>
    <row r="567" spans="1:8" ht="105" x14ac:dyDescent="0.25">
      <c r="A567" t="s">
        <v>679</v>
      </c>
      <c r="B567" s="80" t="str">
        <f>VLOOKUP(A567,[1]Sheet1!$B:$C,2,0)</f>
        <v>040000179142</v>
      </c>
      <c r="C567" s="46">
        <v>13370</v>
      </c>
      <c r="D567" s="81">
        <f t="shared" si="35"/>
        <v>13370</v>
      </c>
      <c r="E567" s="79" t="s">
        <v>2492</v>
      </c>
      <c r="F567" s="82" t="str">
        <f t="shared" si="32"/>
        <v>insert into ins_premium_det (premium_rcv_code,assorted_code, rec_amount,premium_rcv_detail_code,remaining_amt, payrec, mode_code,coinsurance_code,class_cd,it_remarks) values</v>
      </c>
      <c r="G567" s="83" t="str">
        <f t="shared" si="33"/>
        <v>('24Sep240082','040000179142','13370',(select max(to_number(i.premium_rcv_detail_code))+1
from ins_premium_det i),'13370','13370','02', '11000003','00','Request by Mr. Omair Ali 25-Sep-2024 allocation no 24Sep240082 ');</v>
      </c>
      <c r="H567" s="84" t="str">
        <f t="shared" si="34"/>
        <v>insert into ins_premium_det (premium_rcv_code,assorted_code, rec_amount,premium_rcv_detail_code,remaining_amt, payrec, mode_code,coinsurance_code,class_cd,it_remarks) values('24Sep240082','040000179142','13370',(select max(to_number(i.premium_rcv_detail_code))+1
from ins_premium_det i),'13370','13370','02', '11000003','00','Request by Mr. Omair Ali 25-Sep-2024 allocation no 24Sep240082 ');</v>
      </c>
    </row>
    <row r="568" spans="1:8" ht="105" x14ac:dyDescent="0.25">
      <c r="A568" t="s">
        <v>680</v>
      </c>
      <c r="B568" s="80" t="str">
        <f>VLOOKUP(A568,[1]Sheet1!$B:$C,2,0)</f>
        <v>040000179143</v>
      </c>
      <c r="C568" s="46">
        <v>13370</v>
      </c>
      <c r="D568" s="81">
        <f t="shared" si="35"/>
        <v>13370</v>
      </c>
      <c r="E568" s="79" t="s">
        <v>2492</v>
      </c>
      <c r="F568" s="82" t="str">
        <f t="shared" si="32"/>
        <v>insert into ins_premium_det (premium_rcv_code,assorted_code, rec_amount,premium_rcv_detail_code,remaining_amt, payrec, mode_code,coinsurance_code,class_cd,it_remarks) values</v>
      </c>
      <c r="G568" s="83" t="str">
        <f t="shared" si="33"/>
        <v>('24Sep240082','040000179143','13370',(select max(to_number(i.premium_rcv_detail_code))+1
from ins_premium_det i),'13370','13370','02', '11000003','00','Request by Mr. Omair Ali 25-Sep-2024 allocation no 24Sep240082 ');</v>
      </c>
      <c r="H568" s="84" t="str">
        <f t="shared" si="34"/>
        <v>insert into ins_premium_det (premium_rcv_code,assorted_code, rec_amount,premium_rcv_detail_code,remaining_amt, payrec, mode_code,coinsurance_code,class_cd,it_remarks) values('24Sep240082','040000179143','13370',(select max(to_number(i.premium_rcv_detail_code))+1
from ins_premium_det i),'13370','13370','02', '11000003','00','Request by Mr. Omair Ali 25-Sep-2024 allocation no 24Sep240082 ');</v>
      </c>
    </row>
    <row r="569" spans="1:8" ht="105" x14ac:dyDescent="0.25">
      <c r="A569" t="s">
        <v>681</v>
      </c>
      <c r="B569" s="80" t="str">
        <f>VLOOKUP(A569,[1]Sheet1!$B:$C,2,0)</f>
        <v>040000179146</v>
      </c>
      <c r="C569" s="46">
        <v>12320</v>
      </c>
      <c r="D569" s="81">
        <f t="shared" si="35"/>
        <v>12320</v>
      </c>
      <c r="E569" s="79" t="s">
        <v>2492</v>
      </c>
      <c r="F569" s="82" t="str">
        <f t="shared" si="32"/>
        <v>insert into ins_premium_det (premium_rcv_code,assorted_code, rec_amount,premium_rcv_detail_code,remaining_amt, payrec, mode_code,coinsurance_code,class_cd,it_remarks) values</v>
      </c>
      <c r="G569" s="83" t="str">
        <f t="shared" si="33"/>
        <v>('24Sep240082','040000179146','12320',(select max(to_number(i.premium_rcv_detail_code))+1
from ins_premium_det i),'12320','12320','02', '11000003','00','Request by Mr. Omair Ali 25-Sep-2024 allocation no 24Sep240082 ');</v>
      </c>
      <c r="H569" s="84" t="str">
        <f t="shared" si="34"/>
        <v>insert into ins_premium_det (premium_rcv_code,assorted_code, rec_amount,premium_rcv_detail_code,remaining_amt, payrec, mode_code,coinsurance_code,class_cd,it_remarks) values('24Sep240082','040000179146','12320',(select max(to_number(i.premium_rcv_detail_code))+1
from ins_premium_det i),'12320','12320','02', '11000003','00','Request by Mr. Omair Ali 25-Sep-2024 allocation no 24Sep240082 ');</v>
      </c>
    </row>
    <row r="570" spans="1:8" ht="105" x14ac:dyDescent="0.25">
      <c r="A570" t="s">
        <v>682</v>
      </c>
      <c r="B570" s="80" t="str">
        <f>VLOOKUP(A570,[1]Sheet1!$B:$C,2,0)</f>
        <v>040000179147</v>
      </c>
      <c r="C570" s="46">
        <v>12320</v>
      </c>
      <c r="D570" s="81">
        <f t="shared" si="35"/>
        <v>12320</v>
      </c>
      <c r="E570" s="79" t="s">
        <v>2492</v>
      </c>
      <c r="F570" s="82" t="str">
        <f t="shared" si="32"/>
        <v>insert into ins_premium_det (premium_rcv_code,assorted_code, rec_amount,premium_rcv_detail_code,remaining_amt, payrec, mode_code,coinsurance_code,class_cd,it_remarks) values</v>
      </c>
      <c r="G570" s="83" t="str">
        <f t="shared" si="33"/>
        <v>('24Sep240082','040000179147','12320',(select max(to_number(i.premium_rcv_detail_code))+1
from ins_premium_det i),'12320','12320','02', '11000003','00','Request by Mr. Omair Ali 25-Sep-2024 allocation no 24Sep240082 ');</v>
      </c>
      <c r="H570" s="84" t="str">
        <f t="shared" si="34"/>
        <v>insert into ins_premium_det (premium_rcv_code,assorted_code, rec_amount,premium_rcv_detail_code,remaining_amt, payrec, mode_code,coinsurance_code,class_cd,it_remarks) values('24Sep240082','040000179147','12320',(select max(to_number(i.premium_rcv_detail_code))+1
from ins_premium_det i),'12320','12320','02', '11000003','00','Request by Mr. Omair Ali 25-Sep-2024 allocation no 24Sep240082 ');</v>
      </c>
    </row>
    <row r="571" spans="1:8" ht="105" x14ac:dyDescent="0.25">
      <c r="A571" t="s">
        <v>683</v>
      </c>
      <c r="B571" s="80" t="str">
        <f>VLOOKUP(A571,[1]Sheet1!$B:$C,2,0)</f>
        <v>040000179151</v>
      </c>
      <c r="C571" s="85">
        <v>31465</v>
      </c>
      <c r="D571" s="81">
        <f t="shared" si="35"/>
        <v>31465</v>
      </c>
      <c r="E571" s="79" t="s">
        <v>2492</v>
      </c>
      <c r="F571" s="82" t="str">
        <f t="shared" si="32"/>
        <v>insert into ins_premium_det (premium_rcv_code,assorted_code, rec_amount,premium_rcv_detail_code,remaining_amt, payrec, mode_code,coinsurance_code,class_cd,it_remarks) values</v>
      </c>
      <c r="G571" s="83" t="str">
        <f t="shared" si="33"/>
        <v>('24Sep240082','040000179151','31465',(select max(to_number(i.premium_rcv_detail_code))+1
from ins_premium_det i),'31465','31465','02', '11000003','00','Request by Mr. Omair Ali 25-Sep-2024 allocation no 24Sep240082 ');</v>
      </c>
      <c r="H571" s="84" t="str">
        <f t="shared" si="34"/>
        <v>insert into ins_premium_det (premium_rcv_code,assorted_code, rec_amount,premium_rcv_detail_code,remaining_amt, payrec, mode_code,coinsurance_code,class_cd,it_remarks) values('24Sep240082','040000179151','31465',(select max(to_number(i.premium_rcv_detail_code))+1
from ins_premium_det i),'31465','31465','02', '11000003','00','Request by Mr. Omair Ali 25-Sep-2024 allocation no 24Sep240082 ');</v>
      </c>
    </row>
    <row r="572" spans="1:8" ht="105" x14ac:dyDescent="0.25">
      <c r="A572" t="s">
        <v>684</v>
      </c>
      <c r="B572" s="80" t="str">
        <f>VLOOKUP(A572,[1]Sheet1!$B:$C,2,0)</f>
        <v>040000179153</v>
      </c>
      <c r="C572" s="85">
        <v>31465</v>
      </c>
      <c r="D572" s="81">
        <f t="shared" si="35"/>
        <v>31465</v>
      </c>
      <c r="E572" s="79" t="s">
        <v>2492</v>
      </c>
      <c r="F572" s="82" t="str">
        <f t="shared" si="32"/>
        <v>insert into ins_premium_det (premium_rcv_code,assorted_code, rec_amount,premium_rcv_detail_code,remaining_amt, payrec, mode_code,coinsurance_code,class_cd,it_remarks) values</v>
      </c>
      <c r="G572" s="83" t="str">
        <f t="shared" si="33"/>
        <v>('24Sep240082','040000179153','31465',(select max(to_number(i.premium_rcv_detail_code))+1
from ins_premium_det i),'31465','31465','02', '11000003','00','Request by Mr. Omair Ali 25-Sep-2024 allocation no 24Sep240082 ');</v>
      </c>
      <c r="H572" s="84" t="str">
        <f t="shared" si="34"/>
        <v>insert into ins_premium_det (premium_rcv_code,assorted_code, rec_amount,premium_rcv_detail_code,remaining_amt, payrec, mode_code,coinsurance_code,class_cd,it_remarks) values('24Sep240082','040000179153','31465',(select max(to_number(i.premium_rcv_detail_code))+1
from ins_premium_det i),'31465','31465','02', '11000003','00','Request by Mr. Omair Ali 25-Sep-2024 allocation no 24Sep240082 ');</v>
      </c>
    </row>
    <row r="573" spans="1:8" ht="105" x14ac:dyDescent="0.25">
      <c r="A573" t="s">
        <v>685</v>
      </c>
      <c r="B573" s="80" t="str">
        <f>VLOOKUP(A573,[1]Sheet1!$B:$C,2,0)</f>
        <v>040000179155</v>
      </c>
      <c r="C573" s="46">
        <v>12320</v>
      </c>
      <c r="D573" s="81">
        <f t="shared" si="35"/>
        <v>12320</v>
      </c>
      <c r="E573" s="79" t="s">
        <v>2492</v>
      </c>
      <c r="F573" s="82" t="str">
        <f t="shared" si="32"/>
        <v>insert into ins_premium_det (premium_rcv_code,assorted_code, rec_amount,premium_rcv_detail_code,remaining_amt, payrec, mode_code,coinsurance_code,class_cd,it_remarks) values</v>
      </c>
      <c r="G573" s="83" t="str">
        <f t="shared" si="33"/>
        <v>('24Sep240082','040000179155','12320',(select max(to_number(i.premium_rcv_detail_code))+1
from ins_premium_det i),'12320','12320','02', '11000003','00','Request by Mr. Omair Ali 25-Sep-2024 allocation no 24Sep240082 ');</v>
      </c>
      <c r="H573" s="84" t="str">
        <f t="shared" si="34"/>
        <v>insert into ins_premium_det (premium_rcv_code,assorted_code, rec_amount,premium_rcv_detail_code,remaining_amt, payrec, mode_code,coinsurance_code,class_cd,it_remarks) values('24Sep240082','040000179155','12320',(select max(to_number(i.premium_rcv_detail_code))+1
from ins_premium_det i),'12320','12320','02', '11000003','00','Request by Mr. Omair Ali 25-Sep-2024 allocation no 24Sep240082 ');</v>
      </c>
    </row>
    <row r="574" spans="1:8" ht="105" x14ac:dyDescent="0.25">
      <c r="A574" t="s">
        <v>686</v>
      </c>
      <c r="B574" s="80" t="str">
        <f>VLOOKUP(A574,[1]Sheet1!$B:$C,2,0)</f>
        <v>040000179156</v>
      </c>
      <c r="C574" s="46">
        <v>12320</v>
      </c>
      <c r="D574" s="81">
        <f t="shared" si="35"/>
        <v>12320</v>
      </c>
      <c r="E574" s="79" t="s">
        <v>2492</v>
      </c>
      <c r="F574" s="82" t="str">
        <f t="shared" si="32"/>
        <v>insert into ins_premium_det (premium_rcv_code,assorted_code, rec_amount,premium_rcv_detail_code,remaining_amt, payrec, mode_code,coinsurance_code,class_cd,it_remarks) values</v>
      </c>
      <c r="G574" s="83" t="str">
        <f t="shared" si="33"/>
        <v>('24Sep240082','040000179156','12320',(select max(to_number(i.premium_rcv_detail_code))+1
from ins_premium_det i),'12320','12320','02', '11000003','00','Request by Mr. Omair Ali 25-Sep-2024 allocation no 24Sep240082 ');</v>
      </c>
      <c r="H574" s="84" t="str">
        <f t="shared" si="34"/>
        <v>insert into ins_premium_det (premium_rcv_code,assorted_code, rec_amount,premium_rcv_detail_code,remaining_amt, payrec, mode_code,coinsurance_code,class_cd,it_remarks) values('24Sep240082','040000179156','12320',(select max(to_number(i.premium_rcv_detail_code))+1
from ins_premium_det i),'12320','12320','02', '11000003','00','Request by Mr. Omair Ali 25-Sep-2024 allocation no 24Sep240082 ');</v>
      </c>
    </row>
    <row r="575" spans="1:8" ht="105" x14ac:dyDescent="0.25">
      <c r="A575" t="s">
        <v>687</v>
      </c>
      <c r="B575" s="80" t="str">
        <f>VLOOKUP(A575,[1]Sheet1!$B:$C,2,0)</f>
        <v>040000179158</v>
      </c>
      <c r="C575" s="46">
        <v>12475</v>
      </c>
      <c r="D575" s="81">
        <f t="shared" si="35"/>
        <v>12475</v>
      </c>
      <c r="E575" s="79" t="s">
        <v>2492</v>
      </c>
      <c r="F575" s="82" t="str">
        <f t="shared" si="32"/>
        <v>insert into ins_premium_det (premium_rcv_code,assorted_code, rec_amount,premium_rcv_detail_code,remaining_amt, payrec, mode_code,coinsurance_code,class_cd,it_remarks) values</v>
      </c>
      <c r="G575" s="83" t="str">
        <f t="shared" si="33"/>
        <v>('24Sep240082','040000179158','12475',(select max(to_number(i.premium_rcv_detail_code))+1
from ins_premium_det i),'12475','12475','02', '11000003','00','Request by Mr. Omair Ali 25-Sep-2024 allocation no 24Sep240082 ');</v>
      </c>
      <c r="H575" s="84" t="str">
        <f t="shared" si="34"/>
        <v>insert into ins_premium_det (premium_rcv_code,assorted_code, rec_amount,premium_rcv_detail_code,remaining_amt, payrec, mode_code,coinsurance_code,class_cd,it_remarks) values('24Sep240082','040000179158','12475',(select max(to_number(i.premium_rcv_detail_code))+1
from ins_premium_det i),'12475','12475','02', '11000003','00','Request by Mr. Omair Ali 25-Sep-2024 allocation no 24Sep240082 ');</v>
      </c>
    </row>
    <row r="576" spans="1:8" ht="105" x14ac:dyDescent="0.25">
      <c r="A576" t="s">
        <v>688</v>
      </c>
      <c r="B576" s="80" t="str">
        <f>VLOOKUP(A576,[1]Sheet1!$B:$C,2,0)</f>
        <v>040000179159</v>
      </c>
      <c r="C576" s="46">
        <v>12320</v>
      </c>
      <c r="D576" s="81">
        <f t="shared" si="35"/>
        <v>12320</v>
      </c>
      <c r="E576" s="79" t="s">
        <v>2492</v>
      </c>
      <c r="F576" s="82" t="str">
        <f t="shared" si="32"/>
        <v>insert into ins_premium_det (premium_rcv_code,assorted_code, rec_amount,premium_rcv_detail_code,remaining_amt, payrec, mode_code,coinsurance_code,class_cd,it_remarks) values</v>
      </c>
      <c r="G576" s="83" t="str">
        <f t="shared" si="33"/>
        <v>('24Sep240082','040000179159','12320',(select max(to_number(i.premium_rcv_detail_code))+1
from ins_premium_det i),'12320','12320','02', '11000003','00','Request by Mr. Omair Ali 25-Sep-2024 allocation no 24Sep240082 ');</v>
      </c>
      <c r="H576" s="84" t="str">
        <f t="shared" si="34"/>
        <v>insert into ins_premium_det (premium_rcv_code,assorted_code, rec_amount,premium_rcv_detail_code,remaining_amt, payrec, mode_code,coinsurance_code,class_cd,it_remarks) values('24Sep240082','040000179159','12320',(select max(to_number(i.premium_rcv_detail_code))+1
from ins_premium_det i),'12320','12320','02', '11000003','00','Request by Mr. Omair Ali 25-Sep-2024 allocation no 24Sep240082 ');</v>
      </c>
    </row>
    <row r="577" spans="1:8" ht="105" x14ac:dyDescent="0.25">
      <c r="A577" t="s">
        <v>689</v>
      </c>
      <c r="B577" s="80" t="str">
        <f>VLOOKUP(A577,[1]Sheet1!$B:$C,2,0)</f>
        <v>040000179160</v>
      </c>
      <c r="C577" s="46">
        <v>12320</v>
      </c>
      <c r="D577" s="81">
        <f t="shared" si="35"/>
        <v>12320</v>
      </c>
      <c r="E577" s="79" t="s">
        <v>2492</v>
      </c>
      <c r="F577" s="82" t="str">
        <f t="shared" si="32"/>
        <v>insert into ins_premium_det (premium_rcv_code,assorted_code, rec_amount,premium_rcv_detail_code,remaining_amt, payrec, mode_code,coinsurance_code,class_cd,it_remarks) values</v>
      </c>
      <c r="G577" s="83" t="str">
        <f t="shared" si="33"/>
        <v>('24Sep240082','040000179160','12320',(select max(to_number(i.premium_rcv_detail_code))+1
from ins_premium_det i),'12320','12320','02', '11000003','00','Request by Mr. Omair Ali 25-Sep-2024 allocation no 24Sep240082 ');</v>
      </c>
      <c r="H577" s="84" t="str">
        <f t="shared" si="34"/>
        <v>insert into ins_premium_det (premium_rcv_code,assorted_code, rec_amount,premium_rcv_detail_code,remaining_amt, payrec, mode_code,coinsurance_code,class_cd,it_remarks) values('24Sep240082','040000179160','12320',(select max(to_number(i.premium_rcv_detail_code))+1
from ins_premium_det i),'12320','12320','02', '11000003','00','Request by Mr. Omair Ali 25-Sep-2024 allocation no 24Sep240082 ');</v>
      </c>
    </row>
    <row r="578" spans="1:8" ht="105" x14ac:dyDescent="0.25">
      <c r="A578" t="s">
        <v>690</v>
      </c>
      <c r="B578" s="80" t="str">
        <f>VLOOKUP(A578,[1]Sheet1!$B:$C,2,0)</f>
        <v>040000179164</v>
      </c>
      <c r="C578" s="46">
        <v>13370</v>
      </c>
      <c r="D578" s="81">
        <f t="shared" si="35"/>
        <v>13370</v>
      </c>
      <c r="E578" s="79" t="s">
        <v>2492</v>
      </c>
      <c r="F578" s="82" t="str">
        <f t="shared" ref="F578:F641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83" t="str">
        <f t="shared" si="33"/>
        <v>('24Sep240082','040000179164','13370',(select max(to_number(i.premium_rcv_detail_code))+1
from ins_premium_det i),'13370','13370','02', '11000003','00','Request by Mr. Omair Ali 25-Sep-2024 allocation no 24Sep240082 ');</v>
      </c>
      <c r="H578" s="84" t="str">
        <f t="shared" si="34"/>
        <v>insert into ins_premium_det (premium_rcv_code,assorted_code, rec_amount,premium_rcv_detail_code,remaining_amt, payrec, mode_code,coinsurance_code,class_cd,it_remarks) values('24Sep240082','040000179164','13370',(select max(to_number(i.premium_rcv_detail_code))+1
from ins_premium_det i),'13370','13370','02', '11000003','00','Request by Mr. Omair Ali 25-Sep-2024 allocation no 24Sep240082 ');</v>
      </c>
    </row>
    <row r="579" spans="1:8" ht="105" x14ac:dyDescent="0.25">
      <c r="A579" t="s">
        <v>691</v>
      </c>
      <c r="B579" s="80" t="str">
        <f>VLOOKUP(A579,[1]Sheet1!$B:$C,2,0)</f>
        <v>040000179165</v>
      </c>
      <c r="C579" s="46">
        <v>13370</v>
      </c>
      <c r="D579" s="81">
        <f t="shared" si="35"/>
        <v>13370</v>
      </c>
      <c r="E579" s="79" t="s">
        <v>2492</v>
      </c>
      <c r="F579" s="82" t="str">
        <f t="shared" si="36"/>
        <v>insert into ins_premium_det (premium_rcv_code,assorted_code, rec_amount,premium_rcv_detail_code,remaining_amt, payrec, mode_code,coinsurance_code,class_cd,it_remarks) values</v>
      </c>
      <c r="G579" s="83" t="str">
        <f t="shared" ref="G579:G642" si="37">"('"&amp;E579&amp;"','"&amp;B579&amp;"','"&amp;D579&amp;"',(select max(to_number(i.premium_rcv_detail_code))+1
from ins_premium_det i),'"&amp;D579&amp;"','"&amp;D579&amp;"','02', '11000003','00','Request by Mr. Omair Ali 25-Sep-2024 allocation no 24Sep240082 ');"</f>
        <v>('24Sep240082','040000179165','13370',(select max(to_number(i.premium_rcv_detail_code))+1
from ins_premium_det i),'13370','13370','02', '11000003','00','Request by Mr. Omair Ali 25-Sep-2024 allocation no 24Sep240082 ');</v>
      </c>
      <c r="H579" s="84" t="str">
        <f t="shared" ref="H579:H642" si="38">F579&amp;G579</f>
        <v>insert into ins_premium_det (premium_rcv_code,assorted_code, rec_amount,premium_rcv_detail_code,remaining_amt, payrec, mode_code,coinsurance_code,class_cd,it_remarks) values('24Sep240082','040000179165','13370',(select max(to_number(i.premium_rcv_detail_code))+1
from ins_premium_det i),'13370','13370','02', '11000003','00','Request by Mr. Omair Ali 25-Sep-2024 allocation no 24Sep240082 ');</v>
      </c>
    </row>
    <row r="580" spans="1:8" ht="105" x14ac:dyDescent="0.25">
      <c r="A580" t="s">
        <v>692</v>
      </c>
      <c r="B580" s="80" t="str">
        <f>VLOOKUP(A580,[1]Sheet1!$B:$C,2,0)</f>
        <v>040000179166</v>
      </c>
      <c r="C580" s="46">
        <v>13370</v>
      </c>
      <c r="D580" s="81">
        <f t="shared" ref="D580:D643" si="39">ROUND(C580,0)</f>
        <v>13370</v>
      </c>
      <c r="E580" s="79" t="s">
        <v>2492</v>
      </c>
      <c r="F580" s="82" t="str">
        <f t="shared" si="36"/>
        <v>insert into ins_premium_det (premium_rcv_code,assorted_code, rec_amount,premium_rcv_detail_code,remaining_amt, payrec, mode_code,coinsurance_code,class_cd,it_remarks) values</v>
      </c>
      <c r="G580" s="83" t="str">
        <f t="shared" si="37"/>
        <v>('24Sep240082','040000179166','13370',(select max(to_number(i.premium_rcv_detail_code))+1
from ins_premium_det i),'13370','13370','02', '11000003','00','Request by Mr. Omair Ali 25-Sep-2024 allocation no 24Sep240082 ');</v>
      </c>
      <c r="H580" s="84" t="str">
        <f t="shared" si="38"/>
        <v>insert into ins_premium_det (premium_rcv_code,assorted_code, rec_amount,premium_rcv_detail_code,remaining_amt, payrec, mode_code,coinsurance_code,class_cd,it_remarks) values('24Sep240082','040000179166','13370',(select max(to_number(i.premium_rcv_detail_code))+1
from ins_premium_det i),'13370','13370','02', '11000003','00','Request by Mr. Omair Ali 25-Sep-2024 allocation no 24Sep240082 ');</v>
      </c>
    </row>
    <row r="581" spans="1:8" ht="105" x14ac:dyDescent="0.25">
      <c r="A581" t="s">
        <v>693</v>
      </c>
      <c r="B581" s="80" t="str">
        <f>VLOOKUP(A581,[1]Sheet1!$B:$C,2,0)</f>
        <v>040000179167</v>
      </c>
      <c r="C581" s="46">
        <v>12320</v>
      </c>
      <c r="D581" s="81">
        <f t="shared" si="39"/>
        <v>12320</v>
      </c>
      <c r="E581" s="79" t="s">
        <v>2492</v>
      </c>
      <c r="F581" s="82" t="str">
        <f t="shared" si="36"/>
        <v>insert into ins_premium_det (premium_rcv_code,assorted_code, rec_amount,premium_rcv_detail_code,remaining_amt, payrec, mode_code,coinsurance_code,class_cd,it_remarks) values</v>
      </c>
      <c r="G581" s="83" t="str">
        <f t="shared" si="37"/>
        <v>('24Sep240082','040000179167','12320',(select max(to_number(i.premium_rcv_detail_code))+1
from ins_premium_det i),'12320','12320','02', '11000003','00','Request by Mr. Omair Ali 25-Sep-2024 allocation no 24Sep240082 ');</v>
      </c>
      <c r="H581" s="84" t="str">
        <f t="shared" si="38"/>
        <v>insert into ins_premium_det (premium_rcv_code,assorted_code, rec_amount,premium_rcv_detail_code,remaining_amt, payrec, mode_code,coinsurance_code,class_cd,it_remarks) values('24Sep240082','040000179167','12320',(select max(to_number(i.premium_rcv_detail_code))+1
from ins_premium_det i),'12320','12320','02', '11000003','00','Request by Mr. Omair Ali 25-Sep-2024 allocation no 24Sep240082 ');</v>
      </c>
    </row>
    <row r="582" spans="1:8" ht="105" x14ac:dyDescent="0.25">
      <c r="A582" t="s">
        <v>694</v>
      </c>
      <c r="B582" s="80" t="str">
        <f>VLOOKUP(A582,[1]Sheet1!$B:$C,2,0)</f>
        <v>040000179168</v>
      </c>
      <c r="C582" s="46">
        <v>12320</v>
      </c>
      <c r="D582" s="81">
        <f t="shared" si="39"/>
        <v>12320</v>
      </c>
      <c r="E582" s="79" t="s">
        <v>2492</v>
      </c>
      <c r="F582" s="82" t="str">
        <f t="shared" si="36"/>
        <v>insert into ins_premium_det (premium_rcv_code,assorted_code, rec_amount,premium_rcv_detail_code,remaining_amt, payrec, mode_code,coinsurance_code,class_cd,it_remarks) values</v>
      </c>
      <c r="G582" s="83" t="str">
        <f t="shared" si="37"/>
        <v>('24Sep240082','040000179168','12320',(select max(to_number(i.premium_rcv_detail_code))+1
from ins_premium_det i),'12320','12320','02', '11000003','00','Request by Mr. Omair Ali 25-Sep-2024 allocation no 24Sep240082 ');</v>
      </c>
      <c r="H582" s="84" t="str">
        <f t="shared" si="38"/>
        <v>insert into ins_premium_det (premium_rcv_code,assorted_code, rec_amount,premium_rcv_detail_code,remaining_amt, payrec, mode_code,coinsurance_code,class_cd,it_remarks) values('24Sep240082','040000179168','12320',(select max(to_number(i.premium_rcv_detail_code))+1
from ins_premium_det i),'12320','12320','02', '11000003','00','Request by Mr. Omair Ali 25-Sep-2024 allocation no 24Sep240082 ');</v>
      </c>
    </row>
    <row r="583" spans="1:8" ht="105" x14ac:dyDescent="0.25">
      <c r="A583" t="s">
        <v>695</v>
      </c>
      <c r="B583" s="80" t="str">
        <f>VLOOKUP(A583,[1]Sheet1!$B:$C,2,0)</f>
        <v>040000179173</v>
      </c>
      <c r="C583" s="46">
        <v>12475</v>
      </c>
      <c r="D583" s="81">
        <f t="shared" si="39"/>
        <v>12475</v>
      </c>
      <c r="E583" s="79" t="s">
        <v>2492</v>
      </c>
      <c r="F583" s="82" t="str">
        <f t="shared" si="36"/>
        <v>insert into ins_premium_det (premium_rcv_code,assorted_code, rec_amount,premium_rcv_detail_code,remaining_amt, payrec, mode_code,coinsurance_code,class_cd,it_remarks) values</v>
      </c>
      <c r="G583" s="83" t="str">
        <f t="shared" si="37"/>
        <v>('24Sep240082','040000179173','12475',(select max(to_number(i.premium_rcv_detail_code))+1
from ins_premium_det i),'12475','12475','02', '11000003','00','Request by Mr. Omair Ali 25-Sep-2024 allocation no 24Sep240082 ');</v>
      </c>
      <c r="H583" s="84" t="str">
        <f t="shared" si="38"/>
        <v>insert into ins_premium_det (premium_rcv_code,assorted_code, rec_amount,premium_rcv_detail_code,remaining_amt, payrec, mode_code,coinsurance_code,class_cd,it_remarks) values('24Sep240082','040000179173','12475',(select max(to_number(i.premium_rcv_detail_code))+1
from ins_premium_det i),'12475','12475','02', '11000003','00','Request by Mr. Omair Ali 25-Sep-2024 allocation no 24Sep240082 ');</v>
      </c>
    </row>
    <row r="584" spans="1:8" ht="105" x14ac:dyDescent="0.25">
      <c r="A584" t="s">
        <v>696</v>
      </c>
      <c r="B584" s="80" t="str">
        <f>VLOOKUP(A584,[1]Sheet1!$B:$C,2,0)</f>
        <v>040000179177</v>
      </c>
      <c r="C584" s="46">
        <v>8800</v>
      </c>
      <c r="D584" s="81">
        <f t="shared" si="39"/>
        <v>8800</v>
      </c>
      <c r="E584" s="79" t="s">
        <v>2492</v>
      </c>
      <c r="F584" s="82" t="str">
        <f t="shared" si="36"/>
        <v>insert into ins_premium_det (premium_rcv_code,assorted_code, rec_amount,premium_rcv_detail_code,remaining_amt, payrec, mode_code,coinsurance_code,class_cd,it_remarks) values</v>
      </c>
      <c r="G584" s="83" t="str">
        <f t="shared" si="37"/>
        <v>('24Sep240082','040000179177','8800',(select max(to_number(i.premium_rcv_detail_code))+1
from ins_premium_det i),'8800','8800','02', '11000003','00','Request by Mr. Omair Ali 25-Sep-2024 allocation no 24Sep240082 ');</v>
      </c>
      <c r="H584" s="84" t="str">
        <f t="shared" si="38"/>
        <v>insert into ins_premium_det (premium_rcv_code,assorted_code, rec_amount,premium_rcv_detail_code,remaining_amt, payrec, mode_code,coinsurance_code,class_cd,it_remarks) values('24Sep240082','040000179177','8800',(select max(to_number(i.premium_rcv_detail_code))+1
from ins_premium_det i),'8800','8800','02', '11000003','00','Request by Mr. Omair Ali 25-Sep-2024 allocation no 24Sep240082 ');</v>
      </c>
    </row>
    <row r="585" spans="1:8" ht="105" x14ac:dyDescent="0.25">
      <c r="A585" t="s">
        <v>697</v>
      </c>
      <c r="B585" s="80" t="str">
        <f>VLOOKUP(A585,[1]Sheet1!$B:$C,2,0)</f>
        <v>040000179179</v>
      </c>
      <c r="C585" s="46">
        <v>12320</v>
      </c>
      <c r="D585" s="81">
        <f t="shared" si="39"/>
        <v>12320</v>
      </c>
      <c r="E585" s="79" t="s">
        <v>2492</v>
      </c>
      <c r="F585" s="82" t="str">
        <f t="shared" si="36"/>
        <v>insert into ins_premium_det (premium_rcv_code,assorted_code, rec_amount,premium_rcv_detail_code,remaining_amt, payrec, mode_code,coinsurance_code,class_cd,it_remarks) values</v>
      </c>
      <c r="G585" s="83" t="str">
        <f t="shared" si="37"/>
        <v>('24Sep240082','040000179179','12320',(select max(to_number(i.premium_rcv_detail_code))+1
from ins_premium_det i),'12320','12320','02', '11000003','00','Request by Mr. Omair Ali 25-Sep-2024 allocation no 24Sep240082 ');</v>
      </c>
      <c r="H585" s="84" t="str">
        <f t="shared" si="38"/>
        <v>insert into ins_premium_det (premium_rcv_code,assorted_code, rec_amount,premium_rcv_detail_code,remaining_amt, payrec, mode_code,coinsurance_code,class_cd,it_remarks) values('24Sep240082','040000179179','12320',(select max(to_number(i.premium_rcv_detail_code))+1
from ins_premium_det i),'12320','12320','02', '11000003','00','Request by Mr. Omair Ali 25-Sep-2024 allocation no 24Sep240082 ');</v>
      </c>
    </row>
    <row r="586" spans="1:8" ht="105" x14ac:dyDescent="0.25">
      <c r="A586" t="s">
        <v>698</v>
      </c>
      <c r="B586" s="80" t="str">
        <f>VLOOKUP(A586,[1]Sheet1!$B:$C,2,0)</f>
        <v>040000179180</v>
      </c>
      <c r="C586" s="46">
        <v>12320</v>
      </c>
      <c r="D586" s="81">
        <f t="shared" si="39"/>
        <v>12320</v>
      </c>
      <c r="E586" s="79" t="s">
        <v>2492</v>
      </c>
      <c r="F586" s="82" t="str">
        <f t="shared" si="36"/>
        <v>insert into ins_premium_det (premium_rcv_code,assorted_code, rec_amount,premium_rcv_detail_code,remaining_amt, payrec, mode_code,coinsurance_code,class_cd,it_remarks) values</v>
      </c>
      <c r="G586" s="83" t="str">
        <f t="shared" si="37"/>
        <v>('24Sep240082','040000179180','12320',(select max(to_number(i.premium_rcv_detail_code))+1
from ins_premium_det i),'12320','12320','02', '11000003','00','Request by Mr. Omair Ali 25-Sep-2024 allocation no 24Sep240082 ');</v>
      </c>
      <c r="H586" s="84" t="str">
        <f t="shared" si="38"/>
        <v>insert into ins_premium_det (premium_rcv_code,assorted_code, rec_amount,premium_rcv_detail_code,remaining_amt, payrec, mode_code,coinsurance_code,class_cd,it_remarks) values('24Sep240082','040000179180','12320',(select max(to_number(i.premium_rcv_detail_code))+1
from ins_premium_det i),'12320','12320','02', '11000003','00','Request by Mr. Omair Ali 25-Sep-2024 allocation no 24Sep240082 ');</v>
      </c>
    </row>
    <row r="587" spans="1:8" ht="105" x14ac:dyDescent="0.25">
      <c r="A587" t="s">
        <v>699</v>
      </c>
      <c r="B587" s="80" t="str">
        <f>VLOOKUP(A587,[1]Sheet1!$B:$C,2,0)</f>
        <v>040000179184</v>
      </c>
      <c r="C587" s="46">
        <v>8800</v>
      </c>
      <c r="D587" s="81">
        <f t="shared" si="39"/>
        <v>8800</v>
      </c>
      <c r="E587" s="79" t="s">
        <v>2492</v>
      </c>
      <c r="F587" s="82" t="str">
        <f t="shared" si="36"/>
        <v>insert into ins_premium_det (premium_rcv_code,assorted_code, rec_amount,premium_rcv_detail_code,remaining_amt, payrec, mode_code,coinsurance_code,class_cd,it_remarks) values</v>
      </c>
      <c r="G587" s="83" t="str">
        <f t="shared" si="37"/>
        <v>('24Sep240082','040000179184','8800',(select max(to_number(i.premium_rcv_detail_code))+1
from ins_premium_det i),'8800','8800','02', '11000003','00','Request by Mr. Omair Ali 25-Sep-2024 allocation no 24Sep240082 ');</v>
      </c>
      <c r="H587" s="84" t="str">
        <f t="shared" si="38"/>
        <v>insert into ins_premium_det (premium_rcv_code,assorted_code, rec_amount,premium_rcv_detail_code,remaining_amt, payrec, mode_code,coinsurance_code,class_cd,it_remarks) values('24Sep240082','040000179184','8800',(select max(to_number(i.premium_rcv_detail_code))+1
from ins_premium_det i),'8800','8800','02', '11000003','00','Request by Mr. Omair Ali 25-Sep-2024 allocation no 24Sep240082 ');</v>
      </c>
    </row>
    <row r="588" spans="1:8" ht="105" x14ac:dyDescent="0.25">
      <c r="A588" t="s">
        <v>700</v>
      </c>
      <c r="B588" s="80" t="str">
        <f>VLOOKUP(A588,[1]Sheet1!$B:$C,2,0)</f>
        <v>040000179188</v>
      </c>
      <c r="C588" s="46">
        <v>8800</v>
      </c>
      <c r="D588" s="81">
        <f t="shared" si="39"/>
        <v>8800</v>
      </c>
      <c r="E588" s="79" t="s">
        <v>2492</v>
      </c>
      <c r="F588" s="82" t="str">
        <f t="shared" si="36"/>
        <v>insert into ins_premium_det (premium_rcv_code,assorted_code, rec_amount,premium_rcv_detail_code,remaining_amt, payrec, mode_code,coinsurance_code,class_cd,it_remarks) values</v>
      </c>
      <c r="G588" s="83" t="str">
        <f t="shared" si="37"/>
        <v>('24Sep240082','040000179188','8800',(select max(to_number(i.premium_rcv_detail_code))+1
from ins_premium_det i),'8800','8800','02', '11000003','00','Request by Mr. Omair Ali 25-Sep-2024 allocation no 24Sep240082 ');</v>
      </c>
      <c r="H588" s="84" t="str">
        <f t="shared" si="38"/>
        <v>insert into ins_premium_det (premium_rcv_code,assorted_code, rec_amount,premium_rcv_detail_code,remaining_amt, payrec, mode_code,coinsurance_code,class_cd,it_remarks) values('24Sep240082','040000179188','8800',(select max(to_number(i.premium_rcv_detail_code))+1
from ins_premium_det i),'8800','8800','02', '11000003','00','Request by Mr. Omair Ali 25-Sep-2024 allocation no 24Sep240082 ');</v>
      </c>
    </row>
    <row r="589" spans="1:8" ht="105" x14ac:dyDescent="0.25">
      <c r="A589" t="s">
        <v>701</v>
      </c>
      <c r="B589" s="80" t="str">
        <f>VLOOKUP(A589,[1]Sheet1!$B:$C,2,0)</f>
        <v>040000179193</v>
      </c>
      <c r="C589" s="46">
        <v>8800</v>
      </c>
      <c r="D589" s="81">
        <f t="shared" si="39"/>
        <v>8800</v>
      </c>
      <c r="E589" s="79" t="s">
        <v>2492</v>
      </c>
      <c r="F589" s="82" t="str">
        <f t="shared" si="36"/>
        <v>insert into ins_premium_det (premium_rcv_code,assorted_code, rec_amount,premium_rcv_detail_code,remaining_amt, payrec, mode_code,coinsurance_code,class_cd,it_remarks) values</v>
      </c>
      <c r="G589" s="83" t="str">
        <f t="shared" si="37"/>
        <v>('24Sep240082','040000179193','8800',(select max(to_number(i.premium_rcv_detail_code))+1
from ins_premium_det i),'8800','8800','02', '11000003','00','Request by Mr. Omair Ali 25-Sep-2024 allocation no 24Sep240082 ');</v>
      </c>
      <c r="H589" s="84" t="str">
        <f t="shared" si="38"/>
        <v>insert into ins_premium_det (premium_rcv_code,assorted_code, rec_amount,premium_rcv_detail_code,remaining_amt, payrec, mode_code,coinsurance_code,class_cd,it_remarks) values('24Sep240082','040000179193','8800',(select max(to_number(i.premium_rcv_detail_code))+1
from ins_premium_det i),'8800','8800','02', '11000003','00','Request by Mr. Omair Ali 25-Sep-2024 allocation no 24Sep240082 ');</v>
      </c>
    </row>
    <row r="590" spans="1:8" ht="105" x14ac:dyDescent="0.25">
      <c r="A590" t="s">
        <v>702</v>
      </c>
      <c r="B590" s="80" t="str">
        <f>VLOOKUP(A590,[1]Sheet1!$B:$C,2,0)</f>
        <v>040000179194</v>
      </c>
      <c r="C590" s="46">
        <v>8800</v>
      </c>
      <c r="D590" s="81">
        <f t="shared" si="39"/>
        <v>8800</v>
      </c>
      <c r="E590" s="79" t="s">
        <v>2492</v>
      </c>
      <c r="F590" s="82" t="str">
        <f t="shared" si="36"/>
        <v>insert into ins_premium_det (premium_rcv_code,assorted_code, rec_amount,premium_rcv_detail_code,remaining_amt, payrec, mode_code,coinsurance_code,class_cd,it_remarks) values</v>
      </c>
      <c r="G590" s="83" t="str">
        <f t="shared" si="37"/>
        <v>('24Sep240082','040000179194','8800',(select max(to_number(i.premium_rcv_detail_code))+1
from ins_premium_det i),'8800','8800','02', '11000003','00','Request by Mr. Omair Ali 25-Sep-2024 allocation no 24Sep240082 ');</v>
      </c>
      <c r="H590" s="84" t="str">
        <f t="shared" si="38"/>
        <v>insert into ins_premium_det (premium_rcv_code,assorted_code, rec_amount,premium_rcv_detail_code,remaining_amt, payrec, mode_code,coinsurance_code,class_cd,it_remarks) values('24Sep240082','040000179194','8800',(select max(to_number(i.premium_rcv_detail_code))+1
from ins_premium_det i),'8800','8800','02', '11000003','00','Request by Mr. Omair Ali 25-Sep-2024 allocation no 24Sep240082 ');</v>
      </c>
    </row>
    <row r="591" spans="1:8" ht="105" x14ac:dyDescent="0.25">
      <c r="A591" t="s">
        <v>703</v>
      </c>
      <c r="B591" s="80" t="str">
        <f>VLOOKUP(A591,[1]Sheet1!$B:$C,2,0)</f>
        <v>040000179195</v>
      </c>
      <c r="C591" s="46">
        <v>8800</v>
      </c>
      <c r="D591" s="81">
        <f t="shared" si="39"/>
        <v>8800</v>
      </c>
      <c r="E591" s="79" t="s">
        <v>2492</v>
      </c>
      <c r="F591" s="82" t="str">
        <f t="shared" si="36"/>
        <v>insert into ins_premium_det (premium_rcv_code,assorted_code, rec_amount,premium_rcv_detail_code,remaining_amt, payrec, mode_code,coinsurance_code,class_cd,it_remarks) values</v>
      </c>
      <c r="G591" s="83" t="str">
        <f t="shared" si="37"/>
        <v>('24Sep240082','040000179195','8800',(select max(to_number(i.premium_rcv_detail_code))+1
from ins_premium_det i),'8800','8800','02', '11000003','00','Request by Mr. Omair Ali 25-Sep-2024 allocation no 24Sep240082 ');</v>
      </c>
      <c r="H591" s="84" t="str">
        <f t="shared" si="38"/>
        <v>insert into ins_premium_det (premium_rcv_code,assorted_code, rec_amount,premium_rcv_detail_code,remaining_amt, payrec, mode_code,coinsurance_code,class_cd,it_remarks) values('24Sep240082','040000179195','8800',(select max(to_number(i.premium_rcv_detail_code))+1
from ins_premium_det i),'8800','8800','02', '11000003','00','Request by Mr. Omair Ali 25-Sep-2024 allocation no 24Sep240082 ');</v>
      </c>
    </row>
    <row r="592" spans="1:8" ht="105" x14ac:dyDescent="0.25">
      <c r="A592" t="s">
        <v>704</v>
      </c>
      <c r="B592" s="80" t="str">
        <f>VLOOKUP(A592,[1]Sheet1!$B:$C,2,0)</f>
        <v>040000179199</v>
      </c>
      <c r="C592" s="46">
        <v>8800</v>
      </c>
      <c r="D592" s="81">
        <f t="shared" si="39"/>
        <v>8800</v>
      </c>
      <c r="E592" s="79" t="s">
        <v>2492</v>
      </c>
      <c r="F592" s="82" t="str">
        <f t="shared" si="36"/>
        <v>insert into ins_premium_det (premium_rcv_code,assorted_code, rec_amount,premium_rcv_detail_code,remaining_amt, payrec, mode_code,coinsurance_code,class_cd,it_remarks) values</v>
      </c>
      <c r="G592" s="83" t="str">
        <f t="shared" si="37"/>
        <v>('24Sep240082','040000179199','8800',(select max(to_number(i.premium_rcv_detail_code))+1
from ins_premium_det i),'8800','8800','02', '11000003','00','Request by Mr. Omair Ali 25-Sep-2024 allocation no 24Sep240082 ');</v>
      </c>
      <c r="H592" s="84" t="str">
        <f t="shared" si="38"/>
        <v>insert into ins_premium_det (premium_rcv_code,assorted_code, rec_amount,premium_rcv_detail_code,remaining_amt, payrec, mode_code,coinsurance_code,class_cd,it_remarks) values('24Sep240082','040000179199','8800',(select max(to_number(i.premium_rcv_detail_code))+1
from ins_premium_det i),'8800','8800','02', '11000003','00','Request by Mr. Omair Ali 25-Sep-2024 allocation no 24Sep240082 ');</v>
      </c>
    </row>
    <row r="593" spans="1:8" ht="105" x14ac:dyDescent="0.25">
      <c r="A593" t="s">
        <v>705</v>
      </c>
      <c r="B593" s="80" t="str">
        <f>VLOOKUP(A593,[1]Sheet1!$B:$C,2,0)</f>
        <v>040000179201</v>
      </c>
      <c r="C593" s="46">
        <v>9550</v>
      </c>
      <c r="D593" s="81">
        <f t="shared" si="39"/>
        <v>9550</v>
      </c>
      <c r="E593" s="79" t="s">
        <v>2492</v>
      </c>
      <c r="F593" s="82" t="str">
        <f t="shared" si="36"/>
        <v>insert into ins_premium_det (premium_rcv_code,assorted_code, rec_amount,premium_rcv_detail_code,remaining_amt, payrec, mode_code,coinsurance_code,class_cd,it_remarks) values</v>
      </c>
      <c r="G593" s="83" t="str">
        <f t="shared" si="37"/>
        <v>('24Sep240082','040000179201','9550',(select max(to_number(i.premium_rcv_detail_code))+1
from ins_premium_det i),'9550','9550','02', '11000003','00','Request by Mr. Omair Ali 25-Sep-2024 allocation no 24Sep240082 ');</v>
      </c>
      <c r="H593" s="84" t="str">
        <f t="shared" si="38"/>
        <v>insert into ins_premium_det (premium_rcv_code,assorted_code, rec_amount,premium_rcv_detail_code,remaining_amt, payrec, mode_code,coinsurance_code,class_cd,it_remarks) values('24Sep240082','040000179201','9550',(select max(to_number(i.premium_rcv_detail_code))+1
from ins_premium_det i),'9550','9550','02', '11000003','00','Request by Mr. Omair Ali 25-Sep-2024 allocation no 24Sep240082 ');</v>
      </c>
    </row>
    <row r="594" spans="1:8" ht="105" x14ac:dyDescent="0.25">
      <c r="A594" t="s">
        <v>706</v>
      </c>
      <c r="B594" s="80" t="str">
        <f>VLOOKUP(A594,[1]Sheet1!$B:$C,2,0)</f>
        <v>040000179202</v>
      </c>
      <c r="C594" s="46">
        <v>8800</v>
      </c>
      <c r="D594" s="81">
        <f t="shared" si="39"/>
        <v>8800</v>
      </c>
      <c r="E594" s="79" t="s">
        <v>2492</v>
      </c>
      <c r="F594" s="82" t="str">
        <f t="shared" si="36"/>
        <v>insert into ins_premium_det (premium_rcv_code,assorted_code, rec_amount,premium_rcv_detail_code,remaining_amt, payrec, mode_code,coinsurance_code,class_cd,it_remarks) values</v>
      </c>
      <c r="G594" s="83" t="str">
        <f t="shared" si="37"/>
        <v>('24Sep240082','040000179202','8800',(select max(to_number(i.premium_rcv_detail_code))+1
from ins_premium_det i),'8800','8800','02', '11000003','00','Request by Mr. Omair Ali 25-Sep-2024 allocation no 24Sep240082 ');</v>
      </c>
      <c r="H594" s="84" t="str">
        <f t="shared" si="38"/>
        <v>insert into ins_premium_det (premium_rcv_code,assorted_code, rec_amount,premium_rcv_detail_code,remaining_amt, payrec, mode_code,coinsurance_code,class_cd,it_remarks) values('24Sep240082','040000179202','8800',(select max(to_number(i.premium_rcv_detail_code))+1
from ins_premium_det i),'8800','8800','02', '11000003','00','Request by Mr. Omair Ali 25-Sep-2024 allocation no 24Sep240082 ');</v>
      </c>
    </row>
    <row r="595" spans="1:8" ht="105" x14ac:dyDescent="0.25">
      <c r="A595" t="s">
        <v>707</v>
      </c>
      <c r="B595" s="80" t="str">
        <f>VLOOKUP(A595,[1]Sheet1!$B:$C,2,0)</f>
        <v>040000179203</v>
      </c>
      <c r="C595" s="46">
        <v>8800</v>
      </c>
      <c r="D595" s="81">
        <f t="shared" si="39"/>
        <v>8800</v>
      </c>
      <c r="E595" s="79" t="s">
        <v>2492</v>
      </c>
      <c r="F595" s="82" t="str">
        <f t="shared" si="36"/>
        <v>insert into ins_premium_det (premium_rcv_code,assorted_code, rec_amount,premium_rcv_detail_code,remaining_amt, payrec, mode_code,coinsurance_code,class_cd,it_remarks) values</v>
      </c>
      <c r="G595" s="83" t="str">
        <f t="shared" si="37"/>
        <v>('24Sep240082','040000179203','8800',(select max(to_number(i.premium_rcv_detail_code))+1
from ins_premium_det i),'8800','8800','02', '11000003','00','Request by Mr. Omair Ali 25-Sep-2024 allocation no 24Sep240082 ');</v>
      </c>
      <c r="H595" s="84" t="str">
        <f t="shared" si="38"/>
        <v>insert into ins_premium_det (premium_rcv_code,assorted_code, rec_amount,premium_rcv_detail_code,remaining_amt, payrec, mode_code,coinsurance_code,class_cd,it_remarks) values('24Sep240082','040000179203','8800',(select max(to_number(i.premium_rcv_detail_code))+1
from ins_premium_det i),'8800','8800','02', '11000003','00','Request by Mr. Omair Ali 25-Sep-2024 allocation no 24Sep240082 ');</v>
      </c>
    </row>
    <row r="596" spans="1:8" ht="105" x14ac:dyDescent="0.25">
      <c r="A596" t="s">
        <v>708</v>
      </c>
      <c r="B596" s="80" t="str">
        <f>VLOOKUP(A596,[1]Sheet1!$B:$C,2,0)</f>
        <v>040000179206</v>
      </c>
      <c r="C596" s="46">
        <v>8800</v>
      </c>
      <c r="D596" s="81">
        <f t="shared" si="39"/>
        <v>8800</v>
      </c>
      <c r="E596" s="79" t="s">
        <v>2492</v>
      </c>
      <c r="F596" s="82" t="str">
        <f t="shared" si="36"/>
        <v>insert into ins_premium_det (premium_rcv_code,assorted_code, rec_amount,premium_rcv_detail_code,remaining_amt, payrec, mode_code,coinsurance_code,class_cd,it_remarks) values</v>
      </c>
      <c r="G596" s="83" t="str">
        <f t="shared" si="37"/>
        <v>('24Sep240082','040000179206','8800',(select max(to_number(i.premium_rcv_detail_code))+1
from ins_premium_det i),'8800','8800','02', '11000003','00','Request by Mr. Omair Ali 25-Sep-2024 allocation no 24Sep240082 ');</v>
      </c>
      <c r="H596" s="84" t="str">
        <f t="shared" si="38"/>
        <v>insert into ins_premium_det (premium_rcv_code,assorted_code, rec_amount,premium_rcv_detail_code,remaining_amt, payrec, mode_code,coinsurance_code,class_cd,it_remarks) values('24Sep240082','040000179206','8800',(select max(to_number(i.premium_rcv_detail_code))+1
from ins_premium_det i),'8800','8800','02', '11000003','00','Request by Mr. Omair Ali 25-Sep-2024 allocation no 24Sep240082 ');</v>
      </c>
    </row>
    <row r="597" spans="1:8" ht="105" x14ac:dyDescent="0.25">
      <c r="A597" t="s">
        <v>709</v>
      </c>
      <c r="B597" s="80" t="str">
        <f>VLOOKUP(A597,[1]Sheet1!$B:$C,2,0)</f>
        <v>040000179208</v>
      </c>
      <c r="C597" s="46">
        <v>12320</v>
      </c>
      <c r="D597" s="81">
        <f t="shared" si="39"/>
        <v>12320</v>
      </c>
      <c r="E597" s="79" t="s">
        <v>2492</v>
      </c>
      <c r="F597" s="82" t="str">
        <f t="shared" si="36"/>
        <v>insert into ins_premium_det (premium_rcv_code,assorted_code, rec_amount,premium_rcv_detail_code,remaining_amt, payrec, mode_code,coinsurance_code,class_cd,it_remarks) values</v>
      </c>
      <c r="G597" s="83" t="str">
        <f t="shared" si="37"/>
        <v>('24Sep240082','040000179208','12320',(select max(to_number(i.premium_rcv_detail_code))+1
from ins_premium_det i),'12320','12320','02', '11000003','00','Request by Mr. Omair Ali 25-Sep-2024 allocation no 24Sep240082 ');</v>
      </c>
      <c r="H597" s="84" t="str">
        <f t="shared" si="38"/>
        <v>insert into ins_premium_det (premium_rcv_code,assorted_code, rec_amount,premium_rcv_detail_code,remaining_amt, payrec, mode_code,coinsurance_code,class_cd,it_remarks) values('24Sep240082','040000179208','12320',(select max(to_number(i.premium_rcv_detail_code))+1
from ins_premium_det i),'12320','12320','02', '11000003','00','Request by Mr. Omair Ali 25-Sep-2024 allocation no 24Sep240082 ');</v>
      </c>
    </row>
    <row r="598" spans="1:8" ht="105" x14ac:dyDescent="0.25">
      <c r="A598" t="s">
        <v>710</v>
      </c>
      <c r="B598" s="80" t="str">
        <f>VLOOKUP(A598,[1]Sheet1!$B:$C,2,0)</f>
        <v>040000179209</v>
      </c>
      <c r="C598" s="46">
        <v>12320</v>
      </c>
      <c r="D598" s="81">
        <f t="shared" si="39"/>
        <v>12320</v>
      </c>
      <c r="E598" s="79" t="s">
        <v>2492</v>
      </c>
      <c r="F598" s="82" t="str">
        <f t="shared" si="36"/>
        <v>insert into ins_premium_det (premium_rcv_code,assorted_code, rec_amount,premium_rcv_detail_code,remaining_amt, payrec, mode_code,coinsurance_code,class_cd,it_remarks) values</v>
      </c>
      <c r="G598" s="83" t="str">
        <f t="shared" si="37"/>
        <v>('24Sep240082','040000179209','12320',(select max(to_number(i.premium_rcv_detail_code))+1
from ins_premium_det i),'12320','12320','02', '11000003','00','Request by Mr. Omair Ali 25-Sep-2024 allocation no 24Sep240082 ');</v>
      </c>
      <c r="H598" s="84" t="str">
        <f t="shared" si="38"/>
        <v>insert into ins_premium_det (premium_rcv_code,assorted_code, rec_amount,premium_rcv_detail_code,remaining_amt, payrec, mode_code,coinsurance_code,class_cd,it_remarks) values('24Sep240082','040000179209','12320',(select max(to_number(i.premium_rcv_detail_code))+1
from ins_premium_det i),'12320','12320','02', '11000003','00','Request by Mr. Omair Ali 25-Sep-2024 allocation no 24Sep240082 ');</v>
      </c>
    </row>
    <row r="599" spans="1:8" ht="105" x14ac:dyDescent="0.25">
      <c r="A599" t="s">
        <v>711</v>
      </c>
      <c r="B599" s="80" t="str">
        <f>VLOOKUP(A599,[1]Sheet1!$B:$C,2,0)</f>
        <v>040000179211</v>
      </c>
      <c r="C599" s="46">
        <v>12320</v>
      </c>
      <c r="D599" s="81">
        <f t="shared" si="39"/>
        <v>12320</v>
      </c>
      <c r="E599" s="79" t="s">
        <v>2492</v>
      </c>
      <c r="F599" s="82" t="str">
        <f t="shared" si="36"/>
        <v>insert into ins_premium_det (premium_rcv_code,assorted_code, rec_amount,premium_rcv_detail_code,remaining_amt, payrec, mode_code,coinsurance_code,class_cd,it_remarks) values</v>
      </c>
      <c r="G599" s="83" t="str">
        <f t="shared" si="37"/>
        <v>('24Sep240082','040000179211','12320',(select max(to_number(i.premium_rcv_detail_code))+1
from ins_premium_det i),'12320','12320','02', '11000003','00','Request by Mr. Omair Ali 25-Sep-2024 allocation no 24Sep240082 ');</v>
      </c>
      <c r="H599" s="84" t="str">
        <f t="shared" si="38"/>
        <v>insert into ins_premium_det (premium_rcv_code,assorted_code, rec_amount,premium_rcv_detail_code,remaining_amt, payrec, mode_code,coinsurance_code,class_cd,it_remarks) values('24Sep240082','040000179211','12320',(select max(to_number(i.premium_rcv_detail_code))+1
from ins_premium_det i),'12320','12320','02', '11000003','00','Request by Mr. Omair Ali 25-Sep-2024 allocation no 24Sep240082 ');</v>
      </c>
    </row>
    <row r="600" spans="1:8" ht="105" x14ac:dyDescent="0.25">
      <c r="A600" t="s">
        <v>712</v>
      </c>
      <c r="B600" s="80" t="str">
        <f>VLOOKUP(A600,[1]Sheet1!$B:$C,2,0)</f>
        <v>040000179217</v>
      </c>
      <c r="C600" s="46">
        <v>12320</v>
      </c>
      <c r="D600" s="81">
        <f t="shared" si="39"/>
        <v>12320</v>
      </c>
      <c r="E600" s="79" t="s">
        <v>2492</v>
      </c>
      <c r="F600" s="82" t="str">
        <f t="shared" si="36"/>
        <v>insert into ins_premium_det (premium_rcv_code,assorted_code, rec_amount,premium_rcv_detail_code,remaining_amt, payrec, mode_code,coinsurance_code,class_cd,it_remarks) values</v>
      </c>
      <c r="G600" s="83" t="str">
        <f t="shared" si="37"/>
        <v>('24Sep240082','040000179217','12320',(select max(to_number(i.premium_rcv_detail_code))+1
from ins_premium_det i),'12320','12320','02', '11000003','00','Request by Mr. Omair Ali 25-Sep-2024 allocation no 24Sep240082 ');</v>
      </c>
      <c r="H600" s="84" t="str">
        <f t="shared" si="38"/>
        <v>insert into ins_premium_det (premium_rcv_code,assorted_code, rec_amount,premium_rcv_detail_code,remaining_amt, payrec, mode_code,coinsurance_code,class_cd,it_remarks) values('24Sep240082','040000179217','12320',(select max(to_number(i.premium_rcv_detail_code))+1
from ins_premium_det i),'12320','12320','02', '11000003','00','Request by Mr. Omair Ali 25-Sep-2024 allocation no 24Sep240082 ');</v>
      </c>
    </row>
    <row r="601" spans="1:8" ht="105" x14ac:dyDescent="0.25">
      <c r="A601" t="s">
        <v>713</v>
      </c>
      <c r="B601" s="80" t="str">
        <f>VLOOKUP(A601,[1]Sheet1!$B:$C,2,0)</f>
        <v>040000179218</v>
      </c>
      <c r="C601" s="46">
        <v>12320</v>
      </c>
      <c r="D601" s="81">
        <f t="shared" si="39"/>
        <v>12320</v>
      </c>
      <c r="E601" s="79" t="s">
        <v>2492</v>
      </c>
      <c r="F601" s="82" t="str">
        <f t="shared" si="36"/>
        <v>insert into ins_premium_det (premium_rcv_code,assorted_code, rec_amount,premium_rcv_detail_code,remaining_amt, payrec, mode_code,coinsurance_code,class_cd,it_remarks) values</v>
      </c>
      <c r="G601" s="83" t="str">
        <f t="shared" si="37"/>
        <v>('24Sep240082','040000179218','12320',(select max(to_number(i.premium_rcv_detail_code))+1
from ins_premium_det i),'12320','12320','02', '11000003','00','Request by Mr. Omair Ali 25-Sep-2024 allocation no 24Sep240082 ');</v>
      </c>
      <c r="H601" s="84" t="str">
        <f t="shared" si="38"/>
        <v>insert into ins_premium_det (premium_rcv_code,assorted_code, rec_amount,premium_rcv_detail_code,remaining_amt, payrec, mode_code,coinsurance_code,class_cd,it_remarks) values('24Sep240082','040000179218','12320',(select max(to_number(i.premium_rcv_detail_code))+1
from ins_premium_det i),'12320','12320','02', '11000003','00','Request by Mr. Omair Ali 25-Sep-2024 allocation no 24Sep240082 ');</v>
      </c>
    </row>
    <row r="602" spans="1:8" ht="105" x14ac:dyDescent="0.25">
      <c r="A602" t="s">
        <v>714</v>
      </c>
      <c r="B602" s="80" t="str">
        <f>VLOOKUP(A602,[1]Sheet1!$B:$C,2,0)</f>
        <v>040000179219</v>
      </c>
      <c r="C602" s="46">
        <v>13370</v>
      </c>
      <c r="D602" s="81">
        <f t="shared" si="39"/>
        <v>13370</v>
      </c>
      <c r="E602" s="79" t="s">
        <v>2492</v>
      </c>
      <c r="F602" s="82" t="str">
        <f t="shared" si="36"/>
        <v>insert into ins_premium_det (premium_rcv_code,assorted_code, rec_amount,premium_rcv_detail_code,remaining_amt, payrec, mode_code,coinsurance_code,class_cd,it_remarks) values</v>
      </c>
      <c r="G602" s="83" t="str">
        <f t="shared" si="37"/>
        <v>('24Sep240082','040000179219','13370',(select max(to_number(i.premium_rcv_detail_code))+1
from ins_premium_det i),'13370','13370','02', '11000003','00','Request by Mr. Omair Ali 25-Sep-2024 allocation no 24Sep240082 ');</v>
      </c>
      <c r="H602" s="84" t="str">
        <f t="shared" si="38"/>
        <v>insert into ins_premium_det (premium_rcv_code,assorted_code, rec_amount,premium_rcv_detail_code,remaining_amt, payrec, mode_code,coinsurance_code,class_cd,it_remarks) values('24Sep240082','040000179219','13370',(select max(to_number(i.premium_rcv_detail_code))+1
from ins_premium_det i),'13370','13370','02', '11000003','00','Request by Mr. Omair Ali 25-Sep-2024 allocation no 24Sep240082 ');</v>
      </c>
    </row>
    <row r="603" spans="1:8" ht="105" x14ac:dyDescent="0.25">
      <c r="A603" t="s">
        <v>715</v>
      </c>
      <c r="B603" s="80" t="str">
        <f>VLOOKUP(A603,[1]Sheet1!$B:$C,2,0)</f>
        <v>040000179220</v>
      </c>
      <c r="C603" s="46">
        <v>13370</v>
      </c>
      <c r="D603" s="81">
        <f t="shared" si="39"/>
        <v>13370</v>
      </c>
      <c r="E603" s="79" t="s">
        <v>2492</v>
      </c>
      <c r="F603" s="82" t="str">
        <f t="shared" si="36"/>
        <v>insert into ins_premium_det (premium_rcv_code,assorted_code, rec_amount,premium_rcv_detail_code,remaining_amt, payrec, mode_code,coinsurance_code,class_cd,it_remarks) values</v>
      </c>
      <c r="G603" s="83" t="str">
        <f t="shared" si="37"/>
        <v>('24Sep240082','040000179220','13370',(select max(to_number(i.premium_rcv_detail_code))+1
from ins_premium_det i),'13370','13370','02', '11000003','00','Request by Mr. Omair Ali 25-Sep-2024 allocation no 24Sep240082 ');</v>
      </c>
      <c r="H603" s="84" t="str">
        <f t="shared" si="38"/>
        <v>insert into ins_premium_det (premium_rcv_code,assorted_code, rec_amount,premium_rcv_detail_code,remaining_amt, payrec, mode_code,coinsurance_code,class_cd,it_remarks) values('24Sep240082','040000179220','13370',(select max(to_number(i.premium_rcv_detail_code))+1
from ins_premium_det i),'13370','13370','02', '11000003','00','Request by Mr. Omair Ali 25-Sep-2024 allocation no 24Sep240082 ');</v>
      </c>
    </row>
    <row r="604" spans="1:8" ht="105" x14ac:dyDescent="0.25">
      <c r="A604" t="s">
        <v>716</v>
      </c>
      <c r="B604" s="80" t="str">
        <f>VLOOKUP(A604,[1]Sheet1!$B:$C,2,0)</f>
        <v>040000179221</v>
      </c>
      <c r="C604" s="46">
        <v>12320</v>
      </c>
      <c r="D604" s="81">
        <f t="shared" si="39"/>
        <v>12320</v>
      </c>
      <c r="E604" s="79" t="s">
        <v>2492</v>
      </c>
      <c r="F604" s="82" t="str">
        <f t="shared" si="36"/>
        <v>insert into ins_premium_det (premium_rcv_code,assorted_code, rec_amount,premium_rcv_detail_code,remaining_amt, payrec, mode_code,coinsurance_code,class_cd,it_remarks) values</v>
      </c>
      <c r="G604" s="83" t="str">
        <f t="shared" si="37"/>
        <v>('24Sep240082','040000179221','12320',(select max(to_number(i.premium_rcv_detail_code))+1
from ins_premium_det i),'12320','12320','02', '11000003','00','Request by Mr. Omair Ali 25-Sep-2024 allocation no 24Sep240082 ');</v>
      </c>
      <c r="H604" s="84" t="str">
        <f t="shared" si="38"/>
        <v>insert into ins_premium_det (premium_rcv_code,assorted_code, rec_amount,premium_rcv_detail_code,remaining_amt, payrec, mode_code,coinsurance_code,class_cd,it_remarks) values('24Sep240082','040000179221','12320',(select max(to_number(i.premium_rcv_detail_code))+1
from ins_premium_det i),'12320','12320','02', '11000003','00','Request by Mr. Omair Ali 25-Sep-2024 allocation no 24Sep240082 ');</v>
      </c>
    </row>
    <row r="605" spans="1:8" ht="105" x14ac:dyDescent="0.25">
      <c r="A605" t="s">
        <v>717</v>
      </c>
      <c r="B605" s="80" t="str">
        <f>VLOOKUP(A605,[1]Sheet1!$B:$C,2,0)</f>
        <v>040000179222</v>
      </c>
      <c r="C605" s="46">
        <v>13370</v>
      </c>
      <c r="D605" s="81">
        <f t="shared" si="39"/>
        <v>13370</v>
      </c>
      <c r="E605" s="79" t="s">
        <v>2492</v>
      </c>
      <c r="F605" s="82" t="str">
        <f t="shared" si="36"/>
        <v>insert into ins_premium_det (premium_rcv_code,assorted_code, rec_amount,premium_rcv_detail_code,remaining_amt, payrec, mode_code,coinsurance_code,class_cd,it_remarks) values</v>
      </c>
      <c r="G605" s="83" t="str">
        <f t="shared" si="37"/>
        <v>('24Sep240082','040000179222','13370',(select max(to_number(i.premium_rcv_detail_code))+1
from ins_premium_det i),'13370','13370','02', '11000003','00','Request by Mr. Omair Ali 25-Sep-2024 allocation no 24Sep240082 ');</v>
      </c>
      <c r="H605" s="84" t="str">
        <f t="shared" si="38"/>
        <v>insert into ins_premium_det (premium_rcv_code,assorted_code, rec_amount,premium_rcv_detail_code,remaining_amt, payrec, mode_code,coinsurance_code,class_cd,it_remarks) values('24Sep240082','040000179222','13370',(select max(to_number(i.premium_rcv_detail_code))+1
from ins_premium_det i),'13370','13370','02', '11000003','00','Request by Mr. Omair Ali 25-Sep-2024 allocation no 24Sep240082 ');</v>
      </c>
    </row>
    <row r="606" spans="1:8" ht="105" x14ac:dyDescent="0.25">
      <c r="A606" t="s">
        <v>718</v>
      </c>
      <c r="B606" s="80" t="str">
        <f>VLOOKUP(A606,[1]Sheet1!$B:$C,2,0)</f>
        <v>040000179223</v>
      </c>
      <c r="C606" s="46">
        <v>13370</v>
      </c>
      <c r="D606" s="81">
        <f t="shared" si="39"/>
        <v>13370</v>
      </c>
      <c r="E606" s="79" t="s">
        <v>2492</v>
      </c>
      <c r="F606" s="82" t="str">
        <f t="shared" si="36"/>
        <v>insert into ins_premium_det (premium_rcv_code,assorted_code, rec_amount,premium_rcv_detail_code,remaining_amt, payrec, mode_code,coinsurance_code,class_cd,it_remarks) values</v>
      </c>
      <c r="G606" s="83" t="str">
        <f t="shared" si="37"/>
        <v>('24Sep240082','040000179223','13370',(select max(to_number(i.premium_rcv_detail_code))+1
from ins_premium_det i),'13370','13370','02', '11000003','00','Request by Mr. Omair Ali 25-Sep-2024 allocation no 24Sep240082 ');</v>
      </c>
      <c r="H606" s="84" t="str">
        <f t="shared" si="38"/>
        <v>insert into ins_premium_det (premium_rcv_code,assorted_code, rec_amount,premium_rcv_detail_code,remaining_amt, payrec, mode_code,coinsurance_code,class_cd,it_remarks) values('24Sep240082','040000179223','13370',(select max(to_number(i.premium_rcv_detail_code))+1
from ins_premium_det i),'13370','13370','02', '11000003','00','Request by Mr. Omair Ali 25-Sep-2024 allocation no 24Sep240082 ');</v>
      </c>
    </row>
    <row r="607" spans="1:8" ht="105" x14ac:dyDescent="0.25">
      <c r="A607" t="s">
        <v>719</v>
      </c>
      <c r="B607" s="80" t="str">
        <f>VLOOKUP(A607,[1]Sheet1!$B:$C,2,0)</f>
        <v>040000179231</v>
      </c>
      <c r="C607" s="46">
        <v>13370</v>
      </c>
      <c r="D607" s="81">
        <f t="shared" si="39"/>
        <v>13370</v>
      </c>
      <c r="E607" s="79" t="s">
        <v>2492</v>
      </c>
      <c r="F607" s="82" t="str">
        <f t="shared" si="36"/>
        <v>insert into ins_premium_det (premium_rcv_code,assorted_code, rec_amount,premium_rcv_detail_code,remaining_amt, payrec, mode_code,coinsurance_code,class_cd,it_remarks) values</v>
      </c>
      <c r="G607" s="83" t="str">
        <f t="shared" si="37"/>
        <v>('24Sep240082','040000179231','13370',(select max(to_number(i.premium_rcv_detail_code))+1
from ins_premium_det i),'13370','13370','02', '11000003','00','Request by Mr. Omair Ali 25-Sep-2024 allocation no 24Sep240082 ');</v>
      </c>
      <c r="H607" s="84" t="str">
        <f t="shared" si="38"/>
        <v>insert into ins_premium_det (premium_rcv_code,assorted_code, rec_amount,premium_rcv_detail_code,remaining_amt, payrec, mode_code,coinsurance_code,class_cd,it_remarks) values('24Sep240082','040000179231','13370',(select max(to_number(i.premium_rcv_detail_code))+1
from ins_premium_det i),'13370','13370','02', '11000003','00','Request by Mr. Omair Ali 25-Sep-2024 allocation no 24Sep240082 ');</v>
      </c>
    </row>
    <row r="608" spans="1:8" ht="105" x14ac:dyDescent="0.25">
      <c r="A608" t="s">
        <v>720</v>
      </c>
      <c r="B608" s="80" t="str">
        <f>VLOOKUP(A608,[1]Sheet1!$B:$C,2,0)</f>
        <v>040000179232</v>
      </c>
      <c r="C608" s="46">
        <v>13370</v>
      </c>
      <c r="D608" s="81">
        <f t="shared" si="39"/>
        <v>13370</v>
      </c>
      <c r="E608" s="79" t="s">
        <v>2492</v>
      </c>
      <c r="F608" s="82" t="str">
        <f t="shared" si="36"/>
        <v>insert into ins_premium_det (premium_rcv_code,assorted_code, rec_amount,premium_rcv_detail_code,remaining_amt, payrec, mode_code,coinsurance_code,class_cd,it_remarks) values</v>
      </c>
      <c r="G608" s="83" t="str">
        <f t="shared" si="37"/>
        <v>('24Sep240082','040000179232','13370',(select max(to_number(i.premium_rcv_detail_code))+1
from ins_premium_det i),'13370','13370','02', '11000003','00','Request by Mr. Omair Ali 25-Sep-2024 allocation no 24Sep240082 ');</v>
      </c>
      <c r="H608" s="84" t="str">
        <f t="shared" si="38"/>
        <v>insert into ins_premium_det (premium_rcv_code,assorted_code, rec_amount,premium_rcv_detail_code,remaining_amt, payrec, mode_code,coinsurance_code,class_cd,it_remarks) values('24Sep240082','040000179232','13370',(select max(to_number(i.premium_rcv_detail_code))+1
from ins_premium_det i),'13370','13370','02', '11000003','00','Request by Mr. Omair Ali 25-Sep-2024 allocation no 24Sep240082 ');</v>
      </c>
    </row>
    <row r="609" spans="1:8" ht="105" x14ac:dyDescent="0.25">
      <c r="A609" t="s">
        <v>721</v>
      </c>
      <c r="B609" s="80" t="str">
        <f>VLOOKUP(A609,[1]Sheet1!$B:$C,2,0)</f>
        <v>040000179235</v>
      </c>
      <c r="C609" s="46">
        <v>12320</v>
      </c>
      <c r="D609" s="81">
        <f t="shared" si="39"/>
        <v>12320</v>
      </c>
      <c r="E609" s="79" t="s">
        <v>2492</v>
      </c>
      <c r="F609" s="82" t="str">
        <f t="shared" si="36"/>
        <v>insert into ins_premium_det (premium_rcv_code,assorted_code, rec_amount,premium_rcv_detail_code,remaining_amt, payrec, mode_code,coinsurance_code,class_cd,it_remarks) values</v>
      </c>
      <c r="G609" s="83" t="str">
        <f t="shared" si="37"/>
        <v>('24Sep240082','040000179235','12320',(select max(to_number(i.premium_rcv_detail_code))+1
from ins_premium_det i),'12320','12320','02', '11000003','00','Request by Mr. Omair Ali 25-Sep-2024 allocation no 24Sep240082 ');</v>
      </c>
      <c r="H609" s="84" t="str">
        <f t="shared" si="38"/>
        <v>insert into ins_premium_det (premium_rcv_code,assorted_code, rec_amount,premium_rcv_detail_code,remaining_amt, payrec, mode_code,coinsurance_code,class_cd,it_remarks) values('24Sep240082','040000179235','12320',(select max(to_number(i.premium_rcv_detail_code))+1
from ins_premium_det i),'12320','12320','02', '11000003','00','Request by Mr. Omair Ali 25-Sep-2024 allocation no 24Sep240082 ');</v>
      </c>
    </row>
    <row r="610" spans="1:8" ht="105" x14ac:dyDescent="0.25">
      <c r="A610" t="s">
        <v>722</v>
      </c>
      <c r="B610" s="80" t="str">
        <f>VLOOKUP(A610,[1]Sheet1!$B:$C,2,0)</f>
        <v>040000179236</v>
      </c>
      <c r="C610" s="46">
        <v>12320</v>
      </c>
      <c r="D610" s="81">
        <f t="shared" si="39"/>
        <v>12320</v>
      </c>
      <c r="E610" s="79" t="s">
        <v>2492</v>
      </c>
      <c r="F610" s="82" t="str">
        <f t="shared" si="36"/>
        <v>insert into ins_premium_det (premium_rcv_code,assorted_code, rec_amount,premium_rcv_detail_code,remaining_amt, payrec, mode_code,coinsurance_code,class_cd,it_remarks) values</v>
      </c>
      <c r="G610" s="83" t="str">
        <f t="shared" si="37"/>
        <v>('24Sep240082','040000179236','12320',(select max(to_number(i.premium_rcv_detail_code))+1
from ins_premium_det i),'12320','12320','02', '11000003','00','Request by Mr. Omair Ali 25-Sep-2024 allocation no 24Sep240082 ');</v>
      </c>
      <c r="H610" s="84" t="str">
        <f t="shared" si="38"/>
        <v>insert into ins_premium_det (premium_rcv_code,assorted_code, rec_amount,premium_rcv_detail_code,remaining_amt, payrec, mode_code,coinsurance_code,class_cd,it_remarks) values('24Sep240082','040000179236','12320',(select max(to_number(i.premium_rcv_detail_code))+1
from ins_premium_det i),'12320','12320','02', '11000003','00','Request by Mr. Omair Ali 25-Sep-2024 allocation no 24Sep240082 ');</v>
      </c>
    </row>
    <row r="611" spans="1:8" ht="105" x14ac:dyDescent="0.25">
      <c r="A611" t="s">
        <v>723</v>
      </c>
      <c r="B611" s="80" t="str">
        <f>VLOOKUP(A611,[1]Sheet1!$B:$C,2,0)</f>
        <v>040000179238</v>
      </c>
      <c r="C611" s="46">
        <v>8800</v>
      </c>
      <c r="D611" s="81">
        <f t="shared" si="39"/>
        <v>8800</v>
      </c>
      <c r="E611" s="79" t="s">
        <v>2492</v>
      </c>
      <c r="F611" s="82" t="str">
        <f t="shared" si="36"/>
        <v>insert into ins_premium_det (premium_rcv_code,assorted_code, rec_amount,premium_rcv_detail_code,remaining_amt, payrec, mode_code,coinsurance_code,class_cd,it_remarks) values</v>
      </c>
      <c r="G611" s="83" t="str">
        <f t="shared" si="37"/>
        <v>('24Sep240082','040000179238','8800',(select max(to_number(i.premium_rcv_detail_code))+1
from ins_premium_det i),'8800','8800','02', '11000003','00','Request by Mr. Omair Ali 25-Sep-2024 allocation no 24Sep240082 ');</v>
      </c>
      <c r="H611" s="84" t="str">
        <f t="shared" si="38"/>
        <v>insert into ins_premium_det (premium_rcv_code,assorted_code, rec_amount,premium_rcv_detail_code,remaining_amt, payrec, mode_code,coinsurance_code,class_cd,it_remarks) values('24Sep240082','040000179238','8800',(select max(to_number(i.premium_rcv_detail_code))+1
from ins_premium_det i),'8800','8800','02', '11000003','00','Request by Mr. Omair Ali 25-Sep-2024 allocation no 24Sep240082 ');</v>
      </c>
    </row>
    <row r="612" spans="1:8" ht="105" x14ac:dyDescent="0.25">
      <c r="A612" t="s">
        <v>724</v>
      </c>
      <c r="B612" s="80" t="str">
        <f>VLOOKUP(A612,[1]Sheet1!$B:$C,2,0)</f>
        <v>040000179239</v>
      </c>
      <c r="C612" s="46">
        <v>9550</v>
      </c>
      <c r="D612" s="81">
        <f t="shared" si="39"/>
        <v>9550</v>
      </c>
      <c r="E612" s="79" t="s">
        <v>2492</v>
      </c>
      <c r="F612" s="82" t="str">
        <f t="shared" si="36"/>
        <v>insert into ins_premium_det (premium_rcv_code,assorted_code, rec_amount,premium_rcv_detail_code,remaining_amt, payrec, mode_code,coinsurance_code,class_cd,it_remarks) values</v>
      </c>
      <c r="G612" s="83" t="str">
        <f t="shared" si="37"/>
        <v>('24Sep240082','040000179239','9550',(select max(to_number(i.premium_rcv_detail_code))+1
from ins_premium_det i),'9550','9550','02', '11000003','00','Request by Mr. Omair Ali 25-Sep-2024 allocation no 24Sep240082 ');</v>
      </c>
      <c r="H612" s="84" t="str">
        <f t="shared" si="38"/>
        <v>insert into ins_premium_det (premium_rcv_code,assorted_code, rec_amount,premium_rcv_detail_code,remaining_amt, payrec, mode_code,coinsurance_code,class_cd,it_remarks) values('24Sep240082','040000179239','9550',(select max(to_number(i.premium_rcv_detail_code))+1
from ins_premium_det i),'9550','9550','02', '11000003','00','Request by Mr. Omair Ali 25-Sep-2024 allocation no 24Sep240082 ');</v>
      </c>
    </row>
    <row r="613" spans="1:8" ht="105" x14ac:dyDescent="0.25">
      <c r="A613" t="s">
        <v>725</v>
      </c>
      <c r="B613" s="80" t="str">
        <f>VLOOKUP(A613,[1]Sheet1!$B:$C,2,0)</f>
        <v>040000179241</v>
      </c>
      <c r="C613" s="46">
        <v>12320</v>
      </c>
      <c r="D613" s="81">
        <f t="shared" si="39"/>
        <v>12320</v>
      </c>
      <c r="E613" s="79" t="s">
        <v>2492</v>
      </c>
      <c r="F613" s="82" t="str">
        <f t="shared" si="36"/>
        <v>insert into ins_premium_det (premium_rcv_code,assorted_code, rec_amount,premium_rcv_detail_code,remaining_amt, payrec, mode_code,coinsurance_code,class_cd,it_remarks) values</v>
      </c>
      <c r="G613" s="83" t="str">
        <f t="shared" si="37"/>
        <v>('24Sep240082','040000179241','12320',(select max(to_number(i.premium_rcv_detail_code))+1
from ins_premium_det i),'12320','12320','02', '11000003','00','Request by Mr. Omair Ali 25-Sep-2024 allocation no 24Sep240082 ');</v>
      </c>
      <c r="H613" s="84" t="str">
        <f t="shared" si="38"/>
        <v>insert into ins_premium_det (premium_rcv_code,assorted_code, rec_amount,premium_rcv_detail_code,remaining_amt, payrec, mode_code,coinsurance_code,class_cd,it_remarks) values('24Sep240082','040000179241','12320',(select max(to_number(i.premium_rcv_detail_code))+1
from ins_premium_det i),'12320','12320','02', '11000003','00','Request by Mr. Omair Ali 25-Sep-2024 allocation no 24Sep240082 ');</v>
      </c>
    </row>
    <row r="614" spans="1:8" ht="105" x14ac:dyDescent="0.25">
      <c r="A614" t="s">
        <v>726</v>
      </c>
      <c r="B614" s="80" t="str">
        <f>VLOOKUP(A614,[1]Sheet1!$B:$C,2,0)</f>
        <v>040000179242</v>
      </c>
      <c r="C614" s="46">
        <v>12320</v>
      </c>
      <c r="D614" s="81">
        <f t="shared" si="39"/>
        <v>12320</v>
      </c>
      <c r="E614" s="79" t="s">
        <v>2492</v>
      </c>
      <c r="F614" s="82" t="str">
        <f t="shared" si="36"/>
        <v>insert into ins_premium_det (premium_rcv_code,assorted_code, rec_amount,premium_rcv_detail_code,remaining_amt, payrec, mode_code,coinsurance_code,class_cd,it_remarks) values</v>
      </c>
      <c r="G614" s="83" t="str">
        <f t="shared" si="37"/>
        <v>('24Sep240082','040000179242','12320',(select max(to_number(i.premium_rcv_detail_code))+1
from ins_premium_det i),'12320','12320','02', '11000003','00','Request by Mr. Omair Ali 25-Sep-2024 allocation no 24Sep240082 ');</v>
      </c>
      <c r="H614" s="84" t="str">
        <f t="shared" si="38"/>
        <v>insert into ins_premium_det (premium_rcv_code,assorted_code, rec_amount,premium_rcv_detail_code,remaining_amt, payrec, mode_code,coinsurance_code,class_cd,it_remarks) values('24Sep240082','040000179242','12320',(select max(to_number(i.premium_rcv_detail_code))+1
from ins_premium_det i),'12320','12320','02', '11000003','00','Request by Mr. Omair Ali 25-Sep-2024 allocation no 24Sep240082 ');</v>
      </c>
    </row>
    <row r="615" spans="1:8" ht="105" x14ac:dyDescent="0.25">
      <c r="A615" t="s">
        <v>727</v>
      </c>
      <c r="B615" s="80" t="str">
        <f>VLOOKUP(A615,[1]Sheet1!$B:$C,2,0)</f>
        <v>040000179245</v>
      </c>
      <c r="C615" s="46">
        <v>8800</v>
      </c>
      <c r="D615" s="81">
        <f t="shared" si="39"/>
        <v>8800</v>
      </c>
      <c r="E615" s="79" t="s">
        <v>2492</v>
      </c>
      <c r="F615" s="82" t="str">
        <f t="shared" si="36"/>
        <v>insert into ins_premium_det (premium_rcv_code,assorted_code, rec_amount,premium_rcv_detail_code,remaining_amt, payrec, mode_code,coinsurance_code,class_cd,it_remarks) values</v>
      </c>
      <c r="G615" s="83" t="str">
        <f t="shared" si="37"/>
        <v>('24Sep240082','040000179245','8800',(select max(to_number(i.premium_rcv_detail_code))+1
from ins_premium_det i),'8800','8800','02', '11000003','00','Request by Mr. Omair Ali 25-Sep-2024 allocation no 24Sep240082 ');</v>
      </c>
      <c r="H615" s="84" t="str">
        <f t="shared" si="38"/>
        <v>insert into ins_premium_det (premium_rcv_code,assorted_code, rec_amount,premium_rcv_detail_code,remaining_amt, payrec, mode_code,coinsurance_code,class_cd,it_remarks) values('24Sep240082','040000179245','8800',(select max(to_number(i.premium_rcv_detail_code))+1
from ins_premium_det i),'8800','8800','02', '11000003','00','Request by Mr. Omair Ali 25-Sep-2024 allocation no 24Sep240082 ');</v>
      </c>
    </row>
    <row r="616" spans="1:8" ht="105" x14ac:dyDescent="0.25">
      <c r="A616" t="s">
        <v>728</v>
      </c>
      <c r="B616" s="80" t="str">
        <f>VLOOKUP(A616,[1]Sheet1!$B:$C,2,0)</f>
        <v>040000179246</v>
      </c>
      <c r="C616" s="46">
        <v>8800</v>
      </c>
      <c r="D616" s="81">
        <f t="shared" si="39"/>
        <v>8800</v>
      </c>
      <c r="E616" s="79" t="s">
        <v>2492</v>
      </c>
      <c r="F616" s="82" t="str">
        <f t="shared" si="36"/>
        <v>insert into ins_premium_det (premium_rcv_code,assorted_code, rec_amount,premium_rcv_detail_code,remaining_amt, payrec, mode_code,coinsurance_code,class_cd,it_remarks) values</v>
      </c>
      <c r="G616" s="83" t="str">
        <f t="shared" si="37"/>
        <v>('24Sep240082','040000179246','8800',(select max(to_number(i.premium_rcv_detail_code))+1
from ins_premium_det i),'8800','8800','02', '11000003','00','Request by Mr. Omair Ali 25-Sep-2024 allocation no 24Sep240082 ');</v>
      </c>
      <c r="H616" s="84" t="str">
        <f t="shared" si="38"/>
        <v>insert into ins_premium_det (premium_rcv_code,assorted_code, rec_amount,premium_rcv_detail_code,remaining_amt, payrec, mode_code,coinsurance_code,class_cd,it_remarks) values('24Sep240082','040000179246','8800',(select max(to_number(i.premium_rcv_detail_code))+1
from ins_premium_det i),'8800','8800','02', '11000003','00','Request by Mr. Omair Ali 25-Sep-2024 allocation no 24Sep240082 ');</v>
      </c>
    </row>
    <row r="617" spans="1:8" ht="105" x14ac:dyDescent="0.25">
      <c r="A617" t="s">
        <v>729</v>
      </c>
      <c r="B617" s="80" t="str">
        <f>VLOOKUP(A617,[1]Sheet1!$B:$C,2,0)</f>
        <v>040000179247</v>
      </c>
      <c r="C617" s="46">
        <v>8800</v>
      </c>
      <c r="D617" s="81">
        <f t="shared" si="39"/>
        <v>8800</v>
      </c>
      <c r="E617" s="79" t="s">
        <v>2492</v>
      </c>
      <c r="F617" s="82" t="str">
        <f t="shared" si="36"/>
        <v>insert into ins_premium_det (premium_rcv_code,assorted_code, rec_amount,premium_rcv_detail_code,remaining_amt, payrec, mode_code,coinsurance_code,class_cd,it_remarks) values</v>
      </c>
      <c r="G617" s="83" t="str">
        <f t="shared" si="37"/>
        <v>('24Sep240082','040000179247','8800',(select max(to_number(i.premium_rcv_detail_code))+1
from ins_premium_det i),'8800','8800','02', '11000003','00','Request by Mr. Omair Ali 25-Sep-2024 allocation no 24Sep240082 ');</v>
      </c>
      <c r="H617" s="84" t="str">
        <f t="shared" si="38"/>
        <v>insert into ins_premium_det (premium_rcv_code,assorted_code, rec_amount,premium_rcv_detail_code,remaining_amt, payrec, mode_code,coinsurance_code,class_cd,it_remarks) values('24Sep240082','040000179247','8800',(select max(to_number(i.premium_rcv_detail_code))+1
from ins_premium_det i),'8800','8800','02', '11000003','00','Request by Mr. Omair Ali 25-Sep-2024 allocation no 24Sep240082 ');</v>
      </c>
    </row>
    <row r="618" spans="1:8" ht="105" x14ac:dyDescent="0.25">
      <c r="A618" t="s">
        <v>730</v>
      </c>
      <c r="B618" s="80" t="str">
        <f>VLOOKUP(A618,[1]Sheet1!$B:$C,2,0)</f>
        <v>040000179248</v>
      </c>
      <c r="C618" s="46">
        <v>8800</v>
      </c>
      <c r="D618" s="81">
        <f t="shared" si="39"/>
        <v>8800</v>
      </c>
      <c r="E618" s="79" t="s">
        <v>2492</v>
      </c>
      <c r="F618" s="82" t="str">
        <f t="shared" si="36"/>
        <v>insert into ins_premium_det (premium_rcv_code,assorted_code, rec_amount,premium_rcv_detail_code,remaining_amt, payrec, mode_code,coinsurance_code,class_cd,it_remarks) values</v>
      </c>
      <c r="G618" s="83" t="str">
        <f t="shared" si="37"/>
        <v>('24Sep240082','040000179248','8800',(select max(to_number(i.premium_rcv_detail_code))+1
from ins_premium_det i),'8800','8800','02', '11000003','00','Request by Mr. Omair Ali 25-Sep-2024 allocation no 24Sep240082 ');</v>
      </c>
      <c r="H618" s="84" t="str">
        <f t="shared" si="38"/>
        <v>insert into ins_premium_det (premium_rcv_code,assorted_code, rec_amount,premium_rcv_detail_code,remaining_amt, payrec, mode_code,coinsurance_code,class_cd,it_remarks) values('24Sep240082','040000179248','8800',(select max(to_number(i.premium_rcv_detail_code))+1
from ins_premium_det i),'8800','8800','02', '11000003','00','Request by Mr. Omair Ali 25-Sep-2024 allocation no 24Sep240082 ');</v>
      </c>
    </row>
    <row r="619" spans="1:8" ht="105" x14ac:dyDescent="0.25">
      <c r="A619" t="s">
        <v>731</v>
      </c>
      <c r="B619" s="80" t="str">
        <f>VLOOKUP(A619,[1]Sheet1!$B:$C,2,0)</f>
        <v>040000179249</v>
      </c>
      <c r="C619" s="46">
        <v>8800</v>
      </c>
      <c r="D619" s="81">
        <f t="shared" si="39"/>
        <v>8800</v>
      </c>
      <c r="E619" s="79" t="s">
        <v>2492</v>
      </c>
      <c r="F619" s="82" t="str">
        <f t="shared" si="36"/>
        <v>insert into ins_premium_det (premium_rcv_code,assorted_code, rec_amount,premium_rcv_detail_code,remaining_amt, payrec, mode_code,coinsurance_code,class_cd,it_remarks) values</v>
      </c>
      <c r="G619" s="83" t="str">
        <f t="shared" si="37"/>
        <v>('24Sep240082','040000179249','8800',(select max(to_number(i.premium_rcv_detail_code))+1
from ins_premium_det i),'8800','8800','02', '11000003','00','Request by Mr. Omair Ali 25-Sep-2024 allocation no 24Sep240082 ');</v>
      </c>
      <c r="H619" s="84" t="str">
        <f t="shared" si="38"/>
        <v>insert into ins_premium_det (premium_rcv_code,assorted_code, rec_amount,premium_rcv_detail_code,remaining_amt, payrec, mode_code,coinsurance_code,class_cd,it_remarks) values('24Sep240082','040000179249','8800',(select max(to_number(i.premium_rcv_detail_code))+1
from ins_premium_det i),'8800','8800','02', '11000003','00','Request by Mr. Omair Ali 25-Sep-2024 allocation no 24Sep240082 ');</v>
      </c>
    </row>
    <row r="620" spans="1:8" ht="105" x14ac:dyDescent="0.25">
      <c r="A620" t="s">
        <v>732</v>
      </c>
      <c r="B620" s="80" t="str">
        <f>VLOOKUP(A620,[1]Sheet1!$B:$C,2,0)</f>
        <v>040000179252</v>
      </c>
      <c r="C620" s="46">
        <v>8800</v>
      </c>
      <c r="D620" s="81">
        <f t="shared" si="39"/>
        <v>8800</v>
      </c>
      <c r="E620" s="79" t="s">
        <v>2492</v>
      </c>
      <c r="F620" s="82" t="str">
        <f t="shared" si="36"/>
        <v>insert into ins_premium_det (premium_rcv_code,assorted_code, rec_amount,premium_rcv_detail_code,remaining_amt, payrec, mode_code,coinsurance_code,class_cd,it_remarks) values</v>
      </c>
      <c r="G620" s="83" t="str">
        <f t="shared" si="37"/>
        <v>('24Sep240082','040000179252','8800',(select max(to_number(i.premium_rcv_detail_code))+1
from ins_premium_det i),'8800','8800','02', '11000003','00','Request by Mr. Omair Ali 25-Sep-2024 allocation no 24Sep240082 ');</v>
      </c>
      <c r="H620" s="84" t="str">
        <f t="shared" si="38"/>
        <v>insert into ins_premium_det (premium_rcv_code,assorted_code, rec_amount,premium_rcv_detail_code,remaining_amt, payrec, mode_code,coinsurance_code,class_cd,it_remarks) values('24Sep240082','040000179252','8800',(select max(to_number(i.premium_rcv_detail_code))+1
from ins_premium_det i),'8800','8800','02', '11000003','00','Request by Mr. Omair Ali 25-Sep-2024 allocation no 24Sep240082 ');</v>
      </c>
    </row>
    <row r="621" spans="1:8" ht="105" x14ac:dyDescent="0.25">
      <c r="A621" t="s">
        <v>733</v>
      </c>
      <c r="B621" s="80" t="str">
        <f>VLOOKUP(A621,[1]Sheet1!$B:$C,2,0)</f>
        <v>040000179253</v>
      </c>
      <c r="C621" s="46">
        <v>8800</v>
      </c>
      <c r="D621" s="81">
        <f t="shared" si="39"/>
        <v>8800</v>
      </c>
      <c r="E621" s="79" t="s">
        <v>2492</v>
      </c>
      <c r="F621" s="82" t="str">
        <f t="shared" si="36"/>
        <v>insert into ins_premium_det (premium_rcv_code,assorted_code, rec_amount,premium_rcv_detail_code,remaining_amt, payrec, mode_code,coinsurance_code,class_cd,it_remarks) values</v>
      </c>
      <c r="G621" s="83" t="str">
        <f t="shared" si="37"/>
        <v>('24Sep240082','040000179253','8800',(select max(to_number(i.premium_rcv_detail_code))+1
from ins_premium_det i),'8800','8800','02', '11000003','00','Request by Mr. Omair Ali 25-Sep-2024 allocation no 24Sep240082 ');</v>
      </c>
      <c r="H621" s="84" t="str">
        <f t="shared" si="38"/>
        <v>insert into ins_premium_det (premium_rcv_code,assorted_code, rec_amount,premium_rcv_detail_code,remaining_amt, payrec, mode_code,coinsurance_code,class_cd,it_remarks) values('24Sep240082','040000179253','8800',(select max(to_number(i.premium_rcv_detail_code))+1
from ins_premium_det i),'8800','8800','02', '11000003','00','Request by Mr. Omair Ali 25-Sep-2024 allocation no 24Sep240082 ');</v>
      </c>
    </row>
    <row r="622" spans="1:8" ht="105" x14ac:dyDescent="0.25">
      <c r="A622" t="s">
        <v>734</v>
      </c>
      <c r="B622" s="80" t="str">
        <f>VLOOKUP(A622,[1]Sheet1!$B:$C,2,0)</f>
        <v>040000179254</v>
      </c>
      <c r="C622" s="46">
        <v>13675</v>
      </c>
      <c r="D622" s="81">
        <f t="shared" si="39"/>
        <v>13675</v>
      </c>
      <c r="E622" s="79" t="s">
        <v>2492</v>
      </c>
      <c r="F622" s="82" t="str">
        <f t="shared" si="36"/>
        <v>insert into ins_premium_det (premium_rcv_code,assorted_code, rec_amount,premium_rcv_detail_code,remaining_amt, payrec, mode_code,coinsurance_code,class_cd,it_remarks) values</v>
      </c>
      <c r="G622" s="83" t="str">
        <f t="shared" si="37"/>
        <v>('24Sep240082','040000179254','13675',(select max(to_number(i.premium_rcv_detail_code))+1
from ins_premium_det i),'13675','13675','02', '11000003','00','Request by Mr. Omair Ali 25-Sep-2024 allocation no 24Sep240082 ');</v>
      </c>
      <c r="H622" s="84" t="str">
        <f t="shared" si="38"/>
        <v>insert into ins_premium_det (premium_rcv_code,assorted_code, rec_amount,premium_rcv_detail_code,remaining_amt, payrec, mode_code,coinsurance_code,class_cd,it_remarks) values('24Sep240082','040000179254','13675',(select max(to_number(i.premium_rcv_detail_code))+1
from ins_premium_det i),'13675','13675','02', '11000003','00','Request by Mr. Omair Ali 25-Sep-2024 allocation no 24Sep240082 ');</v>
      </c>
    </row>
    <row r="623" spans="1:8" ht="105" x14ac:dyDescent="0.25">
      <c r="A623" t="s">
        <v>735</v>
      </c>
      <c r="B623" s="80" t="str">
        <f>VLOOKUP(A623,[1]Sheet1!$B:$C,2,0)</f>
        <v>040000179255</v>
      </c>
      <c r="C623" s="46">
        <v>17465</v>
      </c>
      <c r="D623" s="81">
        <f t="shared" si="39"/>
        <v>17465</v>
      </c>
      <c r="E623" s="79" t="s">
        <v>2492</v>
      </c>
      <c r="F623" s="82" t="str">
        <f t="shared" si="36"/>
        <v>insert into ins_premium_det (premium_rcv_code,assorted_code, rec_amount,premium_rcv_detail_code,remaining_amt, payrec, mode_code,coinsurance_code,class_cd,it_remarks) values</v>
      </c>
      <c r="G623" s="83" t="str">
        <f t="shared" si="37"/>
        <v>('24Sep240082','040000179255','17465',(select max(to_number(i.premium_rcv_detail_code))+1
from ins_premium_det i),'17465','17465','02', '11000003','00','Request by Mr. Omair Ali 25-Sep-2024 allocation no 24Sep240082 ');</v>
      </c>
      <c r="H623" s="84" t="str">
        <f t="shared" si="38"/>
        <v>insert into ins_premium_det (premium_rcv_code,assorted_code, rec_amount,premium_rcv_detail_code,remaining_amt, payrec, mode_code,coinsurance_code,class_cd,it_remarks) values('24Sep240082','040000179255','17465',(select max(to_number(i.premium_rcv_detail_code))+1
from ins_premium_det i),'17465','17465','02', '11000003','00','Request by Mr. Omair Ali 25-Sep-2024 allocation no 24Sep240082 ');</v>
      </c>
    </row>
    <row r="624" spans="1:8" ht="105" x14ac:dyDescent="0.25">
      <c r="A624" t="s">
        <v>736</v>
      </c>
      <c r="B624" s="80" t="str">
        <f>VLOOKUP(A624,[1]Sheet1!$B:$C,2,0)</f>
        <v>040000179256</v>
      </c>
      <c r="C624" s="46">
        <v>17465</v>
      </c>
      <c r="D624" s="81">
        <f t="shared" si="39"/>
        <v>17465</v>
      </c>
      <c r="E624" s="79" t="s">
        <v>2492</v>
      </c>
      <c r="F624" s="82" t="str">
        <f t="shared" si="36"/>
        <v>insert into ins_premium_det (premium_rcv_code,assorted_code, rec_amount,premium_rcv_detail_code,remaining_amt, payrec, mode_code,coinsurance_code,class_cd,it_remarks) values</v>
      </c>
      <c r="G624" s="83" t="str">
        <f t="shared" si="37"/>
        <v>('24Sep240082','040000179256','17465',(select max(to_number(i.premium_rcv_detail_code))+1
from ins_premium_det i),'17465','17465','02', '11000003','00','Request by Mr. Omair Ali 25-Sep-2024 allocation no 24Sep240082 ');</v>
      </c>
      <c r="H624" s="84" t="str">
        <f t="shared" si="38"/>
        <v>insert into ins_premium_det (premium_rcv_code,assorted_code, rec_amount,premium_rcv_detail_code,remaining_amt, payrec, mode_code,coinsurance_code,class_cd,it_remarks) values('24Sep240082','040000179256','17465',(select max(to_number(i.premium_rcv_detail_code))+1
from ins_premium_det i),'17465','17465','02', '11000003','00','Request by Mr. Omair Ali 25-Sep-2024 allocation no 24Sep240082 ');</v>
      </c>
    </row>
    <row r="625" spans="1:8" ht="105" x14ac:dyDescent="0.25">
      <c r="A625" t="s">
        <v>737</v>
      </c>
      <c r="B625" s="80" t="str">
        <f>VLOOKUP(A625,[1]Sheet1!$B:$C,2,0)</f>
        <v>040000179257</v>
      </c>
      <c r="C625" s="46">
        <v>8800</v>
      </c>
      <c r="D625" s="81">
        <f t="shared" si="39"/>
        <v>8800</v>
      </c>
      <c r="E625" s="79" t="s">
        <v>2492</v>
      </c>
      <c r="F625" s="82" t="str">
        <f t="shared" si="36"/>
        <v>insert into ins_premium_det (premium_rcv_code,assorted_code, rec_amount,premium_rcv_detail_code,remaining_amt, payrec, mode_code,coinsurance_code,class_cd,it_remarks) values</v>
      </c>
      <c r="G625" s="83" t="str">
        <f t="shared" si="37"/>
        <v>('24Sep240082','040000179257','8800',(select max(to_number(i.premium_rcv_detail_code))+1
from ins_premium_det i),'8800','8800','02', '11000003','00','Request by Mr. Omair Ali 25-Sep-2024 allocation no 24Sep240082 ');</v>
      </c>
      <c r="H625" s="84" t="str">
        <f t="shared" si="38"/>
        <v>insert into ins_premium_det (premium_rcv_code,assorted_code, rec_amount,premium_rcv_detail_code,remaining_amt, payrec, mode_code,coinsurance_code,class_cd,it_remarks) values('24Sep240082','040000179257','8800',(select max(to_number(i.premium_rcv_detail_code))+1
from ins_premium_det i),'8800','8800','02', '11000003','00','Request by Mr. Omair Ali 25-Sep-2024 allocation no 24Sep240082 ');</v>
      </c>
    </row>
    <row r="626" spans="1:8" ht="105" x14ac:dyDescent="0.25">
      <c r="A626" t="s">
        <v>738</v>
      </c>
      <c r="B626" s="80" t="str">
        <f>VLOOKUP(A626,[1]Sheet1!$B:$C,2,0)</f>
        <v>040000179260</v>
      </c>
      <c r="C626" s="46">
        <v>12475</v>
      </c>
      <c r="D626" s="81">
        <f t="shared" si="39"/>
        <v>12475</v>
      </c>
      <c r="E626" s="79" t="s">
        <v>2492</v>
      </c>
      <c r="F626" s="82" t="str">
        <f t="shared" si="36"/>
        <v>insert into ins_premium_det (premium_rcv_code,assorted_code, rec_amount,premium_rcv_detail_code,remaining_amt, payrec, mode_code,coinsurance_code,class_cd,it_remarks) values</v>
      </c>
      <c r="G626" s="83" t="str">
        <f t="shared" si="37"/>
        <v>('24Sep240082','040000179260','12475',(select max(to_number(i.premium_rcv_detail_code))+1
from ins_premium_det i),'12475','12475','02', '11000003','00','Request by Mr. Omair Ali 25-Sep-2024 allocation no 24Sep240082 ');</v>
      </c>
      <c r="H626" s="84" t="str">
        <f t="shared" si="38"/>
        <v>insert into ins_premium_det (premium_rcv_code,assorted_code, rec_amount,premium_rcv_detail_code,remaining_amt, payrec, mode_code,coinsurance_code,class_cd,it_remarks) values('24Sep240082','040000179260','12475',(select max(to_number(i.premium_rcv_detail_code))+1
from ins_premium_det i),'12475','12475','02', '11000003','00','Request by Mr. Omair Ali 25-Sep-2024 allocation no 24Sep240082 ');</v>
      </c>
    </row>
    <row r="627" spans="1:8" ht="105" x14ac:dyDescent="0.25">
      <c r="A627" t="s">
        <v>739</v>
      </c>
      <c r="B627" s="80" t="str">
        <f>VLOOKUP(A627,[1]Sheet1!$B:$C,2,0)</f>
        <v>040000179261</v>
      </c>
      <c r="C627" s="46">
        <v>13675</v>
      </c>
      <c r="D627" s="81">
        <f t="shared" si="39"/>
        <v>13675</v>
      </c>
      <c r="E627" s="79" t="s">
        <v>2492</v>
      </c>
      <c r="F627" s="82" t="str">
        <f t="shared" si="36"/>
        <v>insert into ins_premium_det (premium_rcv_code,assorted_code, rec_amount,premium_rcv_detail_code,remaining_amt, payrec, mode_code,coinsurance_code,class_cd,it_remarks) values</v>
      </c>
      <c r="G627" s="83" t="str">
        <f t="shared" si="37"/>
        <v>('24Sep240082','040000179261','13675',(select max(to_number(i.premium_rcv_detail_code))+1
from ins_premium_det i),'13675','13675','02', '11000003','00','Request by Mr. Omair Ali 25-Sep-2024 allocation no 24Sep240082 ');</v>
      </c>
      <c r="H627" s="84" t="str">
        <f t="shared" si="38"/>
        <v>insert into ins_premium_det (premium_rcv_code,assorted_code, rec_amount,premium_rcv_detail_code,remaining_amt, payrec, mode_code,coinsurance_code,class_cd,it_remarks) values('24Sep240082','040000179261','13675',(select max(to_number(i.premium_rcv_detail_code))+1
from ins_premium_det i),'13675','13675','02', '11000003','00','Request by Mr. Omair Ali 25-Sep-2024 allocation no 24Sep240082 ');</v>
      </c>
    </row>
    <row r="628" spans="1:8" ht="105" x14ac:dyDescent="0.25">
      <c r="A628" t="s">
        <v>740</v>
      </c>
      <c r="B628" s="80" t="str">
        <f>VLOOKUP(A628,[1]Sheet1!$B:$C,2,0)</f>
        <v>040000179266</v>
      </c>
      <c r="C628" s="46">
        <v>9550</v>
      </c>
      <c r="D628" s="81">
        <f t="shared" si="39"/>
        <v>9550</v>
      </c>
      <c r="E628" s="79" t="s">
        <v>2492</v>
      </c>
      <c r="F628" s="82" t="str">
        <f t="shared" si="36"/>
        <v>insert into ins_premium_det (premium_rcv_code,assorted_code, rec_amount,premium_rcv_detail_code,remaining_amt, payrec, mode_code,coinsurance_code,class_cd,it_remarks) values</v>
      </c>
      <c r="G628" s="83" t="str">
        <f t="shared" si="37"/>
        <v>('24Sep240082','040000179266','9550',(select max(to_number(i.premium_rcv_detail_code))+1
from ins_premium_det i),'9550','9550','02', '11000003','00','Request by Mr. Omair Ali 25-Sep-2024 allocation no 24Sep240082 ');</v>
      </c>
      <c r="H628" s="84" t="str">
        <f t="shared" si="38"/>
        <v>insert into ins_premium_det (premium_rcv_code,assorted_code, rec_amount,premium_rcv_detail_code,remaining_amt, payrec, mode_code,coinsurance_code,class_cd,it_remarks) values('24Sep240082','040000179266','9550',(select max(to_number(i.premium_rcv_detail_code))+1
from ins_premium_det i),'9550','9550','02', '11000003','00','Request by Mr. Omair Ali 25-Sep-2024 allocation no 24Sep240082 ');</v>
      </c>
    </row>
    <row r="629" spans="1:8" ht="105" x14ac:dyDescent="0.25">
      <c r="A629" t="s">
        <v>741</v>
      </c>
      <c r="B629" s="80" t="str">
        <f>VLOOKUP(A629,[1]Sheet1!$B:$C,2,0)</f>
        <v>040000179267</v>
      </c>
      <c r="C629" s="46">
        <v>8800</v>
      </c>
      <c r="D629" s="81">
        <f t="shared" si="39"/>
        <v>8800</v>
      </c>
      <c r="E629" s="79" t="s">
        <v>2492</v>
      </c>
      <c r="F629" s="82" t="str">
        <f t="shared" si="36"/>
        <v>insert into ins_premium_det (premium_rcv_code,assorted_code, rec_amount,premium_rcv_detail_code,remaining_amt, payrec, mode_code,coinsurance_code,class_cd,it_remarks) values</v>
      </c>
      <c r="G629" s="83" t="str">
        <f t="shared" si="37"/>
        <v>('24Sep240082','040000179267','8800',(select max(to_number(i.premium_rcv_detail_code))+1
from ins_premium_det i),'8800','8800','02', '11000003','00','Request by Mr. Omair Ali 25-Sep-2024 allocation no 24Sep240082 ');</v>
      </c>
      <c r="H629" s="84" t="str">
        <f t="shared" si="38"/>
        <v>insert into ins_premium_det (premium_rcv_code,assorted_code, rec_amount,premium_rcv_detail_code,remaining_amt, payrec, mode_code,coinsurance_code,class_cd,it_remarks) values('24Sep240082','040000179267','8800',(select max(to_number(i.premium_rcv_detail_code))+1
from ins_premium_det i),'8800','8800','02', '11000003','00','Request by Mr. Omair Ali 25-Sep-2024 allocation no 24Sep240082 ');</v>
      </c>
    </row>
    <row r="630" spans="1:8" ht="105" x14ac:dyDescent="0.25">
      <c r="A630" t="s">
        <v>742</v>
      </c>
      <c r="B630" s="80" t="str">
        <f>VLOOKUP(A630,[1]Sheet1!$B:$C,2,0)</f>
        <v>040000179268</v>
      </c>
      <c r="C630" s="46">
        <v>8800</v>
      </c>
      <c r="D630" s="81">
        <f t="shared" si="39"/>
        <v>8800</v>
      </c>
      <c r="E630" s="79" t="s">
        <v>2492</v>
      </c>
      <c r="F630" s="82" t="str">
        <f t="shared" si="36"/>
        <v>insert into ins_premium_det (premium_rcv_code,assorted_code, rec_amount,premium_rcv_detail_code,remaining_amt, payrec, mode_code,coinsurance_code,class_cd,it_remarks) values</v>
      </c>
      <c r="G630" s="83" t="str">
        <f t="shared" si="37"/>
        <v>('24Sep240082','040000179268','8800',(select max(to_number(i.premium_rcv_detail_code))+1
from ins_premium_det i),'8800','8800','02', '11000003','00','Request by Mr. Omair Ali 25-Sep-2024 allocation no 24Sep240082 ');</v>
      </c>
      <c r="H630" s="84" t="str">
        <f t="shared" si="38"/>
        <v>insert into ins_premium_det (premium_rcv_code,assorted_code, rec_amount,premium_rcv_detail_code,remaining_amt, payrec, mode_code,coinsurance_code,class_cd,it_remarks) values('24Sep240082','040000179268','8800',(select max(to_number(i.premium_rcv_detail_code))+1
from ins_premium_det i),'8800','8800','02', '11000003','00','Request by Mr. Omair Ali 25-Sep-2024 allocation no 24Sep240082 ');</v>
      </c>
    </row>
    <row r="631" spans="1:8" ht="105" x14ac:dyDescent="0.25">
      <c r="A631" t="s">
        <v>743</v>
      </c>
      <c r="B631" s="80" t="str">
        <f>VLOOKUP(A631,[1]Sheet1!$B:$C,2,0)</f>
        <v>040000179269</v>
      </c>
      <c r="C631" s="46">
        <v>9550</v>
      </c>
      <c r="D631" s="81">
        <f t="shared" si="39"/>
        <v>9550</v>
      </c>
      <c r="E631" s="79" t="s">
        <v>2492</v>
      </c>
      <c r="F631" s="82" t="str">
        <f t="shared" si="36"/>
        <v>insert into ins_premium_det (premium_rcv_code,assorted_code, rec_amount,premium_rcv_detail_code,remaining_amt, payrec, mode_code,coinsurance_code,class_cd,it_remarks) values</v>
      </c>
      <c r="G631" s="83" t="str">
        <f t="shared" si="37"/>
        <v>('24Sep240082','040000179269','9550',(select max(to_number(i.premium_rcv_detail_code))+1
from ins_premium_det i),'9550','9550','02', '11000003','00','Request by Mr. Omair Ali 25-Sep-2024 allocation no 24Sep240082 ');</v>
      </c>
      <c r="H631" s="84" t="str">
        <f t="shared" si="38"/>
        <v>insert into ins_premium_det (premium_rcv_code,assorted_code, rec_amount,premium_rcv_detail_code,remaining_amt, payrec, mode_code,coinsurance_code,class_cd,it_remarks) values('24Sep240082','040000179269','9550',(select max(to_number(i.premium_rcv_detail_code))+1
from ins_premium_det i),'9550','9550','02', '11000003','00','Request by Mr. Omair Ali 25-Sep-2024 allocation no 24Sep240082 ');</v>
      </c>
    </row>
    <row r="632" spans="1:8" ht="105" x14ac:dyDescent="0.25">
      <c r="A632" t="s">
        <v>744</v>
      </c>
      <c r="B632" s="80" t="str">
        <f>VLOOKUP(A632,[1]Sheet1!$B:$C,2,0)</f>
        <v>040000179270</v>
      </c>
      <c r="C632" s="46">
        <v>13370</v>
      </c>
      <c r="D632" s="81">
        <f t="shared" si="39"/>
        <v>13370</v>
      </c>
      <c r="E632" s="79" t="s">
        <v>2492</v>
      </c>
      <c r="F632" s="82" t="str">
        <f t="shared" si="36"/>
        <v>insert into ins_premium_det (premium_rcv_code,assorted_code, rec_amount,premium_rcv_detail_code,remaining_amt, payrec, mode_code,coinsurance_code,class_cd,it_remarks) values</v>
      </c>
      <c r="G632" s="83" t="str">
        <f t="shared" si="37"/>
        <v>('24Sep240082','040000179270','13370',(select max(to_number(i.premium_rcv_detail_code))+1
from ins_premium_det i),'13370','13370','02', '11000003','00','Request by Mr. Omair Ali 25-Sep-2024 allocation no 24Sep240082 ');</v>
      </c>
      <c r="H632" s="84" t="str">
        <f t="shared" si="38"/>
        <v>insert into ins_premium_det (premium_rcv_code,assorted_code, rec_amount,premium_rcv_detail_code,remaining_amt, payrec, mode_code,coinsurance_code,class_cd,it_remarks) values('24Sep240082','040000179270','13370',(select max(to_number(i.premium_rcv_detail_code))+1
from ins_premium_det i),'13370','13370','02', '11000003','00','Request by Mr. Omair Ali 25-Sep-2024 allocation no 24Sep240082 ');</v>
      </c>
    </row>
    <row r="633" spans="1:8" ht="105" x14ac:dyDescent="0.25">
      <c r="A633" t="s">
        <v>745</v>
      </c>
      <c r="B633" s="80" t="str">
        <f>VLOOKUP(A633,[1]Sheet1!$B:$C,2,0)</f>
        <v>040000179271</v>
      </c>
      <c r="C633" s="46">
        <v>13370</v>
      </c>
      <c r="D633" s="81">
        <f t="shared" si="39"/>
        <v>13370</v>
      </c>
      <c r="E633" s="79" t="s">
        <v>2492</v>
      </c>
      <c r="F633" s="82" t="str">
        <f t="shared" si="36"/>
        <v>insert into ins_premium_det (premium_rcv_code,assorted_code, rec_amount,premium_rcv_detail_code,remaining_amt, payrec, mode_code,coinsurance_code,class_cd,it_remarks) values</v>
      </c>
      <c r="G633" s="83" t="str">
        <f t="shared" si="37"/>
        <v>('24Sep240082','040000179271','13370',(select max(to_number(i.premium_rcv_detail_code))+1
from ins_premium_det i),'13370','13370','02', '11000003','00','Request by Mr. Omair Ali 25-Sep-2024 allocation no 24Sep240082 ');</v>
      </c>
      <c r="H633" s="84" t="str">
        <f t="shared" si="38"/>
        <v>insert into ins_premium_det (premium_rcv_code,assorted_code, rec_amount,premium_rcv_detail_code,remaining_amt, payrec, mode_code,coinsurance_code,class_cd,it_remarks) values('24Sep240082','040000179271','13370',(select max(to_number(i.premium_rcv_detail_code))+1
from ins_premium_det i),'13370','13370','02', '11000003','00','Request by Mr. Omair Ali 25-Sep-2024 allocation no 24Sep240082 ');</v>
      </c>
    </row>
    <row r="634" spans="1:8" ht="105" x14ac:dyDescent="0.25">
      <c r="A634" t="s">
        <v>746</v>
      </c>
      <c r="B634" s="80" t="str">
        <f>VLOOKUP(A634,[1]Sheet1!$B:$C,2,0)</f>
        <v>040000179272</v>
      </c>
      <c r="C634" s="46">
        <v>13675</v>
      </c>
      <c r="D634" s="81">
        <f t="shared" si="39"/>
        <v>13675</v>
      </c>
      <c r="E634" s="79" t="s">
        <v>2492</v>
      </c>
      <c r="F634" s="82" t="str">
        <f t="shared" si="36"/>
        <v>insert into ins_premium_det (premium_rcv_code,assorted_code, rec_amount,premium_rcv_detail_code,remaining_amt, payrec, mode_code,coinsurance_code,class_cd,it_remarks) values</v>
      </c>
      <c r="G634" s="83" t="str">
        <f t="shared" si="37"/>
        <v>('24Sep240082','040000179272','13675',(select max(to_number(i.premium_rcv_detail_code))+1
from ins_premium_det i),'13675','13675','02', '11000003','00','Request by Mr. Omair Ali 25-Sep-2024 allocation no 24Sep240082 ');</v>
      </c>
      <c r="H634" s="84" t="str">
        <f t="shared" si="38"/>
        <v>insert into ins_premium_det (premium_rcv_code,assorted_code, rec_amount,premium_rcv_detail_code,remaining_amt, payrec, mode_code,coinsurance_code,class_cd,it_remarks) values('24Sep240082','040000179272','13675',(select max(to_number(i.premium_rcv_detail_code))+1
from ins_premium_det i),'13675','13675','02', '11000003','00','Request by Mr. Omair Ali 25-Sep-2024 allocation no 24Sep240082 ');</v>
      </c>
    </row>
    <row r="635" spans="1:8" ht="105" x14ac:dyDescent="0.25">
      <c r="A635" t="s">
        <v>747</v>
      </c>
      <c r="B635" s="80" t="str">
        <f>VLOOKUP(A635,[1]Sheet1!$B:$C,2,0)</f>
        <v>040000179273</v>
      </c>
      <c r="C635" s="46">
        <v>12320</v>
      </c>
      <c r="D635" s="81">
        <f t="shared" si="39"/>
        <v>12320</v>
      </c>
      <c r="E635" s="79" t="s">
        <v>2492</v>
      </c>
      <c r="F635" s="82" t="str">
        <f t="shared" si="36"/>
        <v>insert into ins_premium_det (premium_rcv_code,assorted_code, rec_amount,premium_rcv_detail_code,remaining_amt, payrec, mode_code,coinsurance_code,class_cd,it_remarks) values</v>
      </c>
      <c r="G635" s="83" t="str">
        <f t="shared" si="37"/>
        <v>('24Sep240082','040000179273','12320',(select max(to_number(i.premium_rcv_detail_code))+1
from ins_premium_det i),'12320','12320','02', '11000003','00','Request by Mr. Omair Ali 25-Sep-2024 allocation no 24Sep240082 ');</v>
      </c>
      <c r="H635" s="84" t="str">
        <f t="shared" si="38"/>
        <v>insert into ins_premium_det (premium_rcv_code,assorted_code, rec_amount,premium_rcv_detail_code,remaining_amt, payrec, mode_code,coinsurance_code,class_cd,it_remarks) values('24Sep240082','040000179273','12320',(select max(to_number(i.premium_rcv_detail_code))+1
from ins_premium_det i),'12320','12320','02', '11000003','00','Request by Mr. Omair Ali 25-Sep-2024 allocation no 24Sep240082 ');</v>
      </c>
    </row>
    <row r="636" spans="1:8" ht="105" x14ac:dyDescent="0.25">
      <c r="A636" t="s">
        <v>748</v>
      </c>
      <c r="B636" s="80" t="str">
        <f>VLOOKUP(A636,[1]Sheet1!$B:$C,2,0)</f>
        <v>040000179322</v>
      </c>
      <c r="C636" s="46">
        <v>17465</v>
      </c>
      <c r="D636" s="81">
        <f t="shared" si="39"/>
        <v>17465</v>
      </c>
      <c r="E636" s="79" t="s">
        <v>2492</v>
      </c>
      <c r="F636" s="82" t="str">
        <f t="shared" si="36"/>
        <v>insert into ins_premium_det (premium_rcv_code,assorted_code, rec_amount,premium_rcv_detail_code,remaining_amt, payrec, mode_code,coinsurance_code,class_cd,it_remarks) values</v>
      </c>
      <c r="G636" s="83" t="str">
        <f t="shared" si="37"/>
        <v>('24Sep240082','040000179322','17465',(select max(to_number(i.premium_rcv_detail_code))+1
from ins_premium_det i),'17465','17465','02', '11000003','00','Request by Mr. Omair Ali 25-Sep-2024 allocation no 24Sep240082 ');</v>
      </c>
      <c r="H636" s="84" t="str">
        <f t="shared" si="38"/>
        <v>insert into ins_premium_det (premium_rcv_code,assorted_code, rec_amount,premium_rcv_detail_code,remaining_amt, payrec, mode_code,coinsurance_code,class_cd,it_remarks) values('24Sep240082','040000179322','17465',(select max(to_number(i.premium_rcv_detail_code))+1
from ins_premium_det i),'17465','17465','02', '11000003','00','Request by Mr. Omair Ali 25-Sep-2024 allocation no 24Sep240082 ');</v>
      </c>
    </row>
    <row r="637" spans="1:8" ht="105" x14ac:dyDescent="0.25">
      <c r="A637" t="s">
        <v>749</v>
      </c>
      <c r="B637" s="80" t="str">
        <f>VLOOKUP(A637,[1]Sheet1!$B:$C,2,0)</f>
        <v>040000179323</v>
      </c>
      <c r="C637" s="46">
        <v>17465</v>
      </c>
      <c r="D637" s="81">
        <f t="shared" si="39"/>
        <v>17465</v>
      </c>
      <c r="E637" s="79" t="s">
        <v>2492</v>
      </c>
      <c r="F637" s="82" t="str">
        <f t="shared" si="36"/>
        <v>insert into ins_premium_det (premium_rcv_code,assorted_code, rec_amount,premium_rcv_detail_code,remaining_amt, payrec, mode_code,coinsurance_code,class_cd,it_remarks) values</v>
      </c>
      <c r="G637" s="83" t="str">
        <f t="shared" si="37"/>
        <v>('24Sep240082','040000179323','17465',(select max(to_number(i.premium_rcv_detail_code))+1
from ins_premium_det i),'17465','17465','02', '11000003','00','Request by Mr. Omair Ali 25-Sep-2024 allocation no 24Sep240082 ');</v>
      </c>
      <c r="H637" s="84" t="str">
        <f t="shared" si="38"/>
        <v>insert into ins_premium_det (premium_rcv_code,assorted_code, rec_amount,premium_rcv_detail_code,remaining_amt, payrec, mode_code,coinsurance_code,class_cd,it_remarks) values('24Sep240082','040000179323','17465',(select max(to_number(i.premium_rcv_detail_code))+1
from ins_premium_det i),'17465','17465','02', '11000003','00','Request by Mr. Omair Ali 25-Sep-2024 allocation no 24Sep240082 ');</v>
      </c>
    </row>
    <row r="638" spans="1:8" ht="105" x14ac:dyDescent="0.25">
      <c r="A638" t="s">
        <v>750</v>
      </c>
      <c r="B638" s="80" t="str">
        <f>VLOOKUP(A638,[1]Sheet1!$B:$C,2,0)</f>
        <v>040000179327</v>
      </c>
      <c r="C638" s="46">
        <v>13370</v>
      </c>
      <c r="D638" s="81">
        <f t="shared" si="39"/>
        <v>13370</v>
      </c>
      <c r="E638" s="79" t="s">
        <v>2492</v>
      </c>
      <c r="F638" s="82" t="str">
        <f t="shared" si="36"/>
        <v>insert into ins_premium_det (premium_rcv_code,assorted_code, rec_amount,premium_rcv_detail_code,remaining_amt, payrec, mode_code,coinsurance_code,class_cd,it_remarks) values</v>
      </c>
      <c r="G638" s="83" t="str">
        <f t="shared" si="37"/>
        <v>('24Sep240082','040000179327','13370',(select max(to_number(i.premium_rcv_detail_code))+1
from ins_premium_det i),'13370','13370','02', '11000003','00','Request by Mr. Omair Ali 25-Sep-2024 allocation no 24Sep240082 ');</v>
      </c>
      <c r="H638" s="84" t="str">
        <f t="shared" si="38"/>
        <v>insert into ins_premium_det (premium_rcv_code,assorted_code, rec_amount,premium_rcv_detail_code,remaining_amt, payrec, mode_code,coinsurance_code,class_cd,it_remarks) values('24Sep240082','040000179327','13370',(select max(to_number(i.premium_rcv_detail_code))+1
from ins_premium_det i),'13370','13370','02', '11000003','00','Request by Mr. Omair Ali 25-Sep-2024 allocation no 24Sep240082 ');</v>
      </c>
    </row>
    <row r="639" spans="1:8" ht="105" x14ac:dyDescent="0.25">
      <c r="A639" t="s">
        <v>751</v>
      </c>
      <c r="B639" s="80" t="str">
        <f>VLOOKUP(A639,[1]Sheet1!$B:$C,2,0)</f>
        <v>040000179328</v>
      </c>
      <c r="C639" s="46">
        <v>13370</v>
      </c>
      <c r="D639" s="81">
        <f t="shared" si="39"/>
        <v>13370</v>
      </c>
      <c r="E639" s="79" t="s">
        <v>2492</v>
      </c>
      <c r="F639" s="82" t="str">
        <f t="shared" si="36"/>
        <v>insert into ins_premium_det (premium_rcv_code,assorted_code, rec_amount,premium_rcv_detail_code,remaining_amt, payrec, mode_code,coinsurance_code,class_cd,it_remarks) values</v>
      </c>
      <c r="G639" s="83" t="str">
        <f t="shared" si="37"/>
        <v>('24Sep240082','040000179328','13370',(select max(to_number(i.premium_rcv_detail_code))+1
from ins_premium_det i),'13370','13370','02', '11000003','00','Request by Mr. Omair Ali 25-Sep-2024 allocation no 24Sep240082 ');</v>
      </c>
      <c r="H639" s="84" t="str">
        <f t="shared" si="38"/>
        <v>insert into ins_premium_det (premium_rcv_code,assorted_code, rec_amount,premium_rcv_detail_code,remaining_amt, payrec, mode_code,coinsurance_code,class_cd,it_remarks) values('24Sep240082','040000179328','13370',(select max(to_number(i.premium_rcv_detail_code))+1
from ins_premium_det i),'13370','13370','02', '11000003','00','Request by Mr. Omair Ali 25-Sep-2024 allocation no 24Sep240082 ');</v>
      </c>
    </row>
    <row r="640" spans="1:8" ht="105" x14ac:dyDescent="0.25">
      <c r="A640" t="s">
        <v>752</v>
      </c>
      <c r="B640" s="80" t="str">
        <f>VLOOKUP(A640,[1]Sheet1!$B:$C,2,0)</f>
        <v>040000179336</v>
      </c>
      <c r="C640" s="46">
        <v>8800</v>
      </c>
      <c r="D640" s="81">
        <f t="shared" si="39"/>
        <v>8800</v>
      </c>
      <c r="E640" s="79" t="s">
        <v>2492</v>
      </c>
      <c r="F640" s="82" t="str">
        <f t="shared" si="36"/>
        <v>insert into ins_premium_det (premium_rcv_code,assorted_code, rec_amount,premium_rcv_detail_code,remaining_amt, payrec, mode_code,coinsurance_code,class_cd,it_remarks) values</v>
      </c>
      <c r="G640" s="83" t="str">
        <f t="shared" si="37"/>
        <v>('24Sep240082','040000179336','8800',(select max(to_number(i.premium_rcv_detail_code))+1
from ins_premium_det i),'8800','8800','02', '11000003','00','Request by Mr. Omair Ali 25-Sep-2024 allocation no 24Sep240082 ');</v>
      </c>
      <c r="H640" s="84" t="str">
        <f t="shared" si="38"/>
        <v>insert into ins_premium_det (premium_rcv_code,assorted_code, rec_amount,premium_rcv_detail_code,remaining_amt, payrec, mode_code,coinsurance_code,class_cd,it_remarks) values('24Sep240082','040000179336','8800',(select max(to_number(i.premium_rcv_detail_code))+1
from ins_premium_det i),'8800','8800','02', '11000003','00','Request by Mr. Omair Ali 25-Sep-2024 allocation no 24Sep240082 ');</v>
      </c>
    </row>
    <row r="641" spans="1:8" ht="105" x14ac:dyDescent="0.25">
      <c r="A641" t="s">
        <v>753</v>
      </c>
      <c r="B641" s="80" t="str">
        <f>VLOOKUP(A641,[1]Sheet1!$B:$C,2,0)</f>
        <v>040000179340</v>
      </c>
      <c r="C641" s="46">
        <v>8800</v>
      </c>
      <c r="D641" s="81">
        <f t="shared" si="39"/>
        <v>8800</v>
      </c>
      <c r="E641" s="79" t="s">
        <v>2492</v>
      </c>
      <c r="F641" s="82" t="str">
        <f t="shared" si="36"/>
        <v>insert into ins_premium_det (premium_rcv_code,assorted_code, rec_amount,premium_rcv_detail_code,remaining_amt, payrec, mode_code,coinsurance_code,class_cd,it_remarks) values</v>
      </c>
      <c r="G641" s="83" t="str">
        <f t="shared" si="37"/>
        <v>('24Sep240082','040000179340','8800',(select max(to_number(i.premium_rcv_detail_code))+1
from ins_premium_det i),'8800','8800','02', '11000003','00','Request by Mr. Omair Ali 25-Sep-2024 allocation no 24Sep240082 ');</v>
      </c>
      <c r="H641" s="84" t="str">
        <f t="shared" si="38"/>
        <v>insert into ins_premium_det (premium_rcv_code,assorted_code, rec_amount,premium_rcv_detail_code,remaining_amt, payrec, mode_code,coinsurance_code,class_cd,it_remarks) values('24Sep240082','040000179340','8800',(select max(to_number(i.premium_rcv_detail_code))+1
from ins_premium_det i),'8800','8800','02', '11000003','00','Request by Mr. Omair Ali 25-Sep-2024 allocation no 24Sep240082 ');</v>
      </c>
    </row>
    <row r="642" spans="1:8" ht="105" x14ac:dyDescent="0.25">
      <c r="A642" t="s">
        <v>754</v>
      </c>
      <c r="B642" s="80" t="str">
        <f>VLOOKUP(A642,[1]Sheet1!$B:$C,2,0)</f>
        <v>040000179345</v>
      </c>
      <c r="C642" s="46">
        <v>8800</v>
      </c>
      <c r="D642" s="81">
        <f t="shared" si="39"/>
        <v>8800</v>
      </c>
      <c r="E642" s="79" t="s">
        <v>2492</v>
      </c>
      <c r="F642" s="82" t="str">
        <f t="shared" ref="F642:F705" si="4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42" s="83" t="str">
        <f t="shared" si="37"/>
        <v>('24Sep240082','040000179345','8800',(select max(to_number(i.premium_rcv_detail_code))+1
from ins_premium_det i),'8800','8800','02', '11000003','00','Request by Mr. Omair Ali 25-Sep-2024 allocation no 24Sep240082 ');</v>
      </c>
      <c r="H642" s="84" t="str">
        <f t="shared" si="38"/>
        <v>insert into ins_premium_det (premium_rcv_code,assorted_code, rec_amount,premium_rcv_detail_code,remaining_amt, payrec, mode_code,coinsurance_code,class_cd,it_remarks) values('24Sep240082','040000179345','8800',(select max(to_number(i.premium_rcv_detail_code))+1
from ins_premium_det i),'8800','8800','02', '11000003','00','Request by Mr. Omair Ali 25-Sep-2024 allocation no 24Sep240082 ');</v>
      </c>
    </row>
    <row r="643" spans="1:8" ht="105" x14ac:dyDescent="0.25">
      <c r="A643" t="s">
        <v>755</v>
      </c>
      <c r="B643" s="80" t="str">
        <f>VLOOKUP(A643,[1]Sheet1!$B:$C,2,0)</f>
        <v>040000179348</v>
      </c>
      <c r="C643" s="46">
        <v>8800</v>
      </c>
      <c r="D643" s="81">
        <f t="shared" si="39"/>
        <v>8800</v>
      </c>
      <c r="E643" s="79" t="s">
        <v>2492</v>
      </c>
      <c r="F643" s="82" t="str">
        <f t="shared" si="40"/>
        <v>insert into ins_premium_det (premium_rcv_code,assorted_code, rec_amount,premium_rcv_detail_code,remaining_amt, payrec, mode_code,coinsurance_code,class_cd,it_remarks) values</v>
      </c>
      <c r="G643" s="83" t="str">
        <f t="shared" ref="G643:G706" si="41">"('"&amp;E643&amp;"','"&amp;B643&amp;"','"&amp;D643&amp;"',(select max(to_number(i.premium_rcv_detail_code))+1
from ins_premium_det i),'"&amp;D643&amp;"','"&amp;D643&amp;"','02', '11000003','00','Request by Mr. Omair Ali 25-Sep-2024 allocation no 24Sep240082 ');"</f>
        <v>('24Sep240082','040000179348','8800',(select max(to_number(i.premium_rcv_detail_code))+1
from ins_premium_det i),'8800','8800','02', '11000003','00','Request by Mr. Omair Ali 25-Sep-2024 allocation no 24Sep240082 ');</v>
      </c>
      <c r="H643" s="84" t="str">
        <f t="shared" ref="H643:H706" si="42">F643&amp;G643</f>
        <v>insert into ins_premium_det (premium_rcv_code,assorted_code, rec_amount,premium_rcv_detail_code,remaining_amt, payrec, mode_code,coinsurance_code,class_cd,it_remarks) values('24Sep240082','040000179348','8800',(select max(to_number(i.premium_rcv_detail_code))+1
from ins_premium_det i),'8800','8800','02', '11000003','00','Request by Mr. Omair Ali 25-Sep-2024 allocation no 24Sep240082 ');</v>
      </c>
    </row>
    <row r="644" spans="1:8" ht="105" x14ac:dyDescent="0.25">
      <c r="A644" t="s">
        <v>756</v>
      </c>
      <c r="B644" s="80" t="str">
        <f>VLOOKUP(A644,[1]Sheet1!$B:$C,2,0)</f>
        <v>040000179349</v>
      </c>
      <c r="C644" s="46">
        <v>8800</v>
      </c>
      <c r="D644" s="81">
        <f t="shared" ref="D644:D707" si="43">ROUND(C644,0)</f>
        <v>8800</v>
      </c>
      <c r="E644" s="79" t="s">
        <v>2492</v>
      </c>
      <c r="F644" s="82" t="str">
        <f t="shared" si="40"/>
        <v>insert into ins_premium_det (premium_rcv_code,assorted_code, rec_amount,premium_rcv_detail_code,remaining_amt, payrec, mode_code,coinsurance_code,class_cd,it_remarks) values</v>
      </c>
      <c r="G644" s="83" t="str">
        <f t="shared" si="41"/>
        <v>('24Sep240082','040000179349','8800',(select max(to_number(i.premium_rcv_detail_code))+1
from ins_premium_det i),'8800','8800','02', '11000003','00','Request by Mr. Omair Ali 25-Sep-2024 allocation no 24Sep240082 ');</v>
      </c>
      <c r="H644" s="84" t="str">
        <f t="shared" si="42"/>
        <v>insert into ins_premium_det (premium_rcv_code,assorted_code, rec_amount,premium_rcv_detail_code,remaining_amt, payrec, mode_code,coinsurance_code,class_cd,it_remarks) values('24Sep240082','040000179349','8800',(select max(to_number(i.premium_rcv_detail_code))+1
from ins_premium_det i),'8800','8800','02', '11000003','00','Request by Mr. Omair Ali 25-Sep-2024 allocation no 24Sep240082 ');</v>
      </c>
    </row>
    <row r="645" spans="1:8" ht="105" x14ac:dyDescent="0.25">
      <c r="A645" t="s">
        <v>757</v>
      </c>
      <c r="B645" s="80" t="str">
        <f>VLOOKUP(A645,[1]Sheet1!$B:$C,2,0)</f>
        <v>040000179350</v>
      </c>
      <c r="C645" s="46">
        <v>8800</v>
      </c>
      <c r="D645" s="81">
        <f t="shared" si="43"/>
        <v>8800</v>
      </c>
      <c r="E645" s="79" t="s">
        <v>2492</v>
      </c>
      <c r="F645" s="82" t="str">
        <f t="shared" si="40"/>
        <v>insert into ins_premium_det (premium_rcv_code,assorted_code, rec_amount,premium_rcv_detail_code,remaining_amt, payrec, mode_code,coinsurance_code,class_cd,it_remarks) values</v>
      </c>
      <c r="G645" s="83" t="str">
        <f t="shared" si="41"/>
        <v>('24Sep240082','040000179350','8800',(select max(to_number(i.premium_rcv_detail_code))+1
from ins_premium_det i),'8800','8800','02', '11000003','00','Request by Mr. Omair Ali 25-Sep-2024 allocation no 24Sep240082 ');</v>
      </c>
      <c r="H645" s="84" t="str">
        <f t="shared" si="42"/>
        <v>insert into ins_premium_det (premium_rcv_code,assorted_code, rec_amount,premium_rcv_detail_code,remaining_amt, payrec, mode_code,coinsurance_code,class_cd,it_remarks) values('24Sep240082','040000179350','8800',(select max(to_number(i.premium_rcv_detail_code))+1
from ins_premium_det i),'8800','8800','02', '11000003','00','Request by Mr. Omair Ali 25-Sep-2024 allocation no 24Sep240082 ');</v>
      </c>
    </row>
    <row r="646" spans="1:8" ht="105" x14ac:dyDescent="0.25">
      <c r="A646" t="s">
        <v>758</v>
      </c>
      <c r="B646" s="80" t="str">
        <f>VLOOKUP(A646,[1]Sheet1!$B:$C,2,0)</f>
        <v>040000179351</v>
      </c>
      <c r="C646" s="46">
        <v>8800</v>
      </c>
      <c r="D646" s="81">
        <f t="shared" si="43"/>
        <v>8800</v>
      </c>
      <c r="E646" s="79" t="s">
        <v>2492</v>
      </c>
      <c r="F646" s="82" t="str">
        <f t="shared" si="40"/>
        <v>insert into ins_premium_det (premium_rcv_code,assorted_code, rec_amount,premium_rcv_detail_code,remaining_amt, payrec, mode_code,coinsurance_code,class_cd,it_remarks) values</v>
      </c>
      <c r="G646" s="83" t="str">
        <f t="shared" si="41"/>
        <v>('24Sep240082','040000179351','8800',(select max(to_number(i.premium_rcv_detail_code))+1
from ins_premium_det i),'8800','8800','02', '11000003','00','Request by Mr. Omair Ali 25-Sep-2024 allocation no 24Sep240082 ');</v>
      </c>
      <c r="H646" s="84" t="str">
        <f t="shared" si="42"/>
        <v>insert into ins_premium_det (premium_rcv_code,assorted_code, rec_amount,premium_rcv_detail_code,remaining_amt, payrec, mode_code,coinsurance_code,class_cd,it_remarks) values('24Sep240082','040000179351','8800',(select max(to_number(i.premium_rcv_detail_code))+1
from ins_premium_det i),'8800','8800','02', '11000003','00','Request by Mr. Omair Ali 25-Sep-2024 allocation no 24Sep240082 ');</v>
      </c>
    </row>
    <row r="647" spans="1:8" ht="105" x14ac:dyDescent="0.25">
      <c r="A647" t="s">
        <v>759</v>
      </c>
      <c r="B647" s="80" t="str">
        <f>VLOOKUP(A647,[1]Sheet1!$B:$C,2,0)</f>
        <v>040000179358</v>
      </c>
      <c r="C647" s="46">
        <v>9550</v>
      </c>
      <c r="D647" s="81">
        <f t="shared" si="43"/>
        <v>9550</v>
      </c>
      <c r="E647" s="79" t="s">
        <v>2492</v>
      </c>
      <c r="F647" s="82" t="str">
        <f t="shared" si="40"/>
        <v>insert into ins_premium_det (premium_rcv_code,assorted_code, rec_amount,premium_rcv_detail_code,remaining_amt, payrec, mode_code,coinsurance_code,class_cd,it_remarks) values</v>
      </c>
      <c r="G647" s="83" t="str">
        <f t="shared" si="41"/>
        <v>('24Sep240082','040000179358','9550',(select max(to_number(i.premium_rcv_detail_code))+1
from ins_premium_det i),'9550','9550','02', '11000003','00','Request by Mr. Omair Ali 25-Sep-2024 allocation no 24Sep240082 ');</v>
      </c>
      <c r="H647" s="84" t="str">
        <f t="shared" si="42"/>
        <v>insert into ins_premium_det (premium_rcv_code,assorted_code, rec_amount,premium_rcv_detail_code,remaining_amt, payrec, mode_code,coinsurance_code,class_cd,it_remarks) values('24Sep240082','040000179358','9550',(select max(to_number(i.premium_rcv_detail_code))+1
from ins_premium_det i),'9550','9550','02', '11000003','00','Request by Mr. Omair Ali 25-Sep-2024 allocation no 24Sep240082 ');</v>
      </c>
    </row>
    <row r="648" spans="1:8" ht="105" x14ac:dyDescent="0.25">
      <c r="A648" t="s">
        <v>760</v>
      </c>
      <c r="B648" s="80" t="str">
        <f>VLOOKUP(A648,[1]Sheet1!$B:$C,2,0)</f>
        <v>040000179359</v>
      </c>
      <c r="C648" s="46">
        <v>13370</v>
      </c>
      <c r="D648" s="81">
        <f t="shared" si="43"/>
        <v>13370</v>
      </c>
      <c r="E648" s="79" t="s">
        <v>2492</v>
      </c>
      <c r="F648" s="82" t="str">
        <f t="shared" si="40"/>
        <v>insert into ins_premium_det (premium_rcv_code,assorted_code, rec_amount,premium_rcv_detail_code,remaining_amt, payrec, mode_code,coinsurance_code,class_cd,it_remarks) values</v>
      </c>
      <c r="G648" s="83" t="str">
        <f t="shared" si="41"/>
        <v>('24Sep240082','040000179359','13370',(select max(to_number(i.premium_rcv_detail_code))+1
from ins_premium_det i),'13370','13370','02', '11000003','00','Request by Mr. Omair Ali 25-Sep-2024 allocation no 24Sep240082 ');</v>
      </c>
      <c r="H648" s="84" t="str">
        <f t="shared" si="42"/>
        <v>insert into ins_premium_det (premium_rcv_code,assorted_code, rec_amount,premium_rcv_detail_code,remaining_amt, payrec, mode_code,coinsurance_code,class_cd,it_remarks) values('24Sep240082','040000179359','13370',(select max(to_number(i.premium_rcv_detail_code))+1
from ins_premium_det i),'13370','13370','02', '11000003','00','Request by Mr. Omair Ali 25-Sep-2024 allocation no 24Sep240082 ');</v>
      </c>
    </row>
    <row r="649" spans="1:8" ht="105" x14ac:dyDescent="0.25">
      <c r="A649" t="s">
        <v>761</v>
      </c>
      <c r="B649" s="80" t="str">
        <f>VLOOKUP(A649,[1]Sheet1!$B:$C,2,0)</f>
        <v>040000179362</v>
      </c>
      <c r="C649" s="46">
        <v>8800</v>
      </c>
      <c r="D649" s="81">
        <f t="shared" si="43"/>
        <v>8800</v>
      </c>
      <c r="E649" s="79" t="s">
        <v>2492</v>
      </c>
      <c r="F649" s="82" t="str">
        <f t="shared" si="40"/>
        <v>insert into ins_premium_det (premium_rcv_code,assorted_code, rec_amount,premium_rcv_detail_code,remaining_amt, payrec, mode_code,coinsurance_code,class_cd,it_remarks) values</v>
      </c>
      <c r="G649" s="83" t="str">
        <f t="shared" si="41"/>
        <v>('24Sep240082','040000179362','8800',(select max(to_number(i.premium_rcv_detail_code))+1
from ins_premium_det i),'8800','8800','02', '11000003','00','Request by Mr. Omair Ali 25-Sep-2024 allocation no 24Sep240082 ');</v>
      </c>
      <c r="H649" s="84" t="str">
        <f t="shared" si="42"/>
        <v>insert into ins_premium_det (premium_rcv_code,assorted_code, rec_amount,premium_rcv_detail_code,remaining_amt, payrec, mode_code,coinsurance_code,class_cd,it_remarks) values('24Sep240082','040000179362','8800',(select max(to_number(i.premium_rcv_detail_code))+1
from ins_premium_det i),'8800','8800','02', '11000003','00','Request by Mr. Omair Ali 25-Sep-2024 allocation no 24Sep240082 ');</v>
      </c>
    </row>
    <row r="650" spans="1:8" ht="105" x14ac:dyDescent="0.25">
      <c r="A650" t="s">
        <v>762</v>
      </c>
      <c r="B650" s="80" t="str">
        <f>VLOOKUP(A650,[1]Sheet1!$B:$C,2,0)</f>
        <v>040000179363</v>
      </c>
      <c r="C650" s="46">
        <v>8800</v>
      </c>
      <c r="D650" s="81">
        <f t="shared" si="43"/>
        <v>8800</v>
      </c>
      <c r="E650" s="79" t="s">
        <v>2492</v>
      </c>
      <c r="F650" s="82" t="str">
        <f t="shared" si="40"/>
        <v>insert into ins_premium_det (premium_rcv_code,assorted_code, rec_amount,premium_rcv_detail_code,remaining_amt, payrec, mode_code,coinsurance_code,class_cd,it_remarks) values</v>
      </c>
      <c r="G650" s="83" t="str">
        <f t="shared" si="41"/>
        <v>('24Sep240082','040000179363','8800',(select max(to_number(i.premium_rcv_detail_code))+1
from ins_premium_det i),'8800','8800','02', '11000003','00','Request by Mr. Omair Ali 25-Sep-2024 allocation no 24Sep240082 ');</v>
      </c>
      <c r="H650" s="84" t="str">
        <f t="shared" si="42"/>
        <v>insert into ins_premium_det (premium_rcv_code,assorted_code, rec_amount,premium_rcv_detail_code,remaining_amt, payrec, mode_code,coinsurance_code,class_cd,it_remarks) values('24Sep240082','040000179363','8800',(select max(to_number(i.premium_rcv_detail_code))+1
from ins_premium_det i),'8800','8800','02', '11000003','00','Request by Mr. Omair Ali 25-Sep-2024 allocation no 24Sep240082 ');</v>
      </c>
    </row>
    <row r="651" spans="1:8" ht="105" x14ac:dyDescent="0.25">
      <c r="A651" t="s">
        <v>763</v>
      </c>
      <c r="B651" s="80" t="str">
        <f>VLOOKUP(A651,[1]Sheet1!$B:$C,2,0)</f>
        <v>040000179364</v>
      </c>
      <c r="C651" s="46">
        <v>8800</v>
      </c>
      <c r="D651" s="81">
        <f t="shared" si="43"/>
        <v>8800</v>
      </c>
      <c r="E651" s="79" t="s">
        <v>2492</v>
      </c>
      <c r="F651" s="82" t="str">
        <f t="shared" si="40"/>
        <v>insert into ins_premium_det (premium_rcv_code,assorted_code, rec_amount,premium_rcv_detail_code,remaining_amt, payrec, mode_code,coinsurance_code,class_cd,it_remarks) values</v>
      </c>
      <c r="G651" s="83" t="str">
        <f t="shared" si="41"/>
        <v>('24Sep240082','040000179364','8800',(select max(to_number(i.premium_rcv_detail_code))+1
from ins_premium_det i),'8800','8800','02', '11000003','00','Request by Mr. Omair Ali 25-Sep-2024 allocation no 24Sep240082 ');</v>
      </c>
      <c r="H651" s="84" t="str">
        <f t="shared" si="42"/>
        <v>insert into ins_premium_det (premium_rcv_code,assorted_code, rec_amount,premium_rcv_detail_code,remaining_amt, payrec, mode_code,coinsurance_code,class_cd,it_remarks) values('24Sep240082','040000179364','8800',(select max(to_number(i.premium_rcv_detail_code))+1
from ins_premium_det i),'8800','8800','02', '11000003','00','Request by Mr. Omair Ali 25-Sep-2024 allocation no 24Sep240082 ');</v>
      </c>
    </row>
    <row r="652" spans="1:8" ht="105" x14ac:dyDescent="0.25">
      <c r="A652" t="s">
        <v>764</v>
      </c>
      <c r="B652" s="80" t="str">
        <f>VLOOKUP(A652,[1]Sheet1!$B:$C,2,0)</f>
        <v>040000179365</v>
      </c>
      <c r="C652" s="46">
        <v>12320</v>
      </c>
      <c r="D652" s="81">
        <f t="shared" si="43"/>
        <v>12320</v>
      </c>
      <c r="E652" s="79" t="s">
        <v>2492</v>
      </c>
      <c r="F652" s="82" t="str">
        <f t="shared" si="40"/>
        <v>insert into ins_premium_det (premium_rcv_code,assorted_code, rec_amount,premium_rcv_detail_code,remaining_amt, payrec, mode_code,coinsurance_code,class_cd,it_remarks) values</v>
      </c>
      <c r="G652" s="83" t="str">
        <f t="shared" si="41"/>
        <v>('24Sep240082','040000179365','12320',(select max(to_number(i.premium_rcv_detail_code))+1
from ins_premium_det i),'12320','12320','02', '11000003','00','Request by Mr. Omair Ali 25-Sep-2024 allocation no 24Sep240082 ');</v>
      </c>
      <c r="H652" s="84" t="str">
        <f t="shared" si="42"/>
        <v>insert into ins_premium_det (premium_rcv_code,assorted_code, rec_amount,premium_rcv_detail_code,remaining_amt, payrec, mode_code,coinsurance_code,class_cd,it_remarks) values('24Sep240082','040000179365','12320',(select max(to_number(i.premium_rcv_detail_code))+1
from ins_premium_det i),'12320','12320','02', '11000003','00','Request by Mr. Omair Ali 25-Sep-2024 allocation no 24Sep240082 ');</v>
      </c>
    </row>
    <row r="653" spans="1:8" ht="105" x14ac:dyDescent="0.25">
      <c r="A653" t="s">
        <v>765</v>
      </c>
      <c r="B653" s="80" t="str">
        <f>VLOOKUP(A653,[1]Sheet1!$B:$C,2,0)</f>
        <v>040000179367</v>
      </c>
      <c r="C653" s="46">
        <v>12320</v>
      </c>
      <c r="D653" s="81">
        <f t="shared" si="43"/>
        <v>12320</v>
      </c>
      <c r="E653" s="79" t="s">
        <v>2492</v>
      </c>
      <c r="F653" s="82" t="str">
        <f t="shared" si="40"/>
        <v>insert into ins_premium_det (premium_rcv_code,assorted_code, rec_amount,premium_rcv_detail_code,remaining_amt, payrec, mode_code,coinsurance_code,class_cd,it_remarks) values</v>
      </c>
      <c r="G653" s="83" t="str">
        <f t="shared" si="41"/>
        <v>('24Sep240082','040000179367','12320',(select max(to_number(i.premium_rcv_detail_code))+1
from ins_premium_det i),'12320','12320','02', '11000003','00','Request by Mr. Omair Ali 25-Sep-2024 allocation no 24Sep240082 ');</v>
      </c>
      <c r="H653" s="84" t="str">
        <f t="shared" si="42"/>
        <v>insert into ins_premium_det (premium_rcv_code,assorted_code, rec_amount,premium_rcv_detail_code,remaining_amt, payrec, mode_code,coinsurance_code,class_cd,it_remarks) values('24Sep240082','040000179367','12320',(select max(to_number(i.premium_rcv_detail_code))+1
from ins_premium_det i),'12320','12320','02', '11000003','00','Request by Mr. Omair Ali 25-Sep-2024 allocation no 24Sep240082 ');</v>
      </c>
    </row>
    <row r="654" spans="1:8" ht="105" x14ac:dyDescent="0.25">
      <c r="A654" t="s">
        <v>766</v>
      </c>
      <c r="B654" s="80" t="str">
        <f>VLOOKUP(A654,[1]Sheet1!$B:$C,2,0)</f>
        <v>040000179375</v>
      </c>
      <c r="C654" s="46">
        <v>12320</v>
      </c>
      <c r="D654" s="81">
        <f t="shared" si="43"/>
        <v>12320</v>
      </c>
      <c r="E654" s="79" t="s">
        <v>2492</v>
      </c>
      <c r="F654" s="82" t="str">
        <f t="shared" si="40"/>
        <v>insert into ins_premium_det (premium_rcv_code,assorted_code, rec_amount,premium_rcv_detail_code,remaining_amt, payrec, mode_code,coinsurance_code,class_cd,it_remarks) values</v>
      </c>
      <c r="G654" s="83" t="str">
        <f t="shared" si="41"/>
        <v>('24Sep240082','040000179375','12320',(select max(to_number(i.premium_rcv_detail_code))+1
from ins_premium_det i),'12320','12320','02', '11000003','00','Request by Mr. Omair Ali 25-Sep-2024 allocation no 24Sep240082 ');</v>
      </c>
      <c r="H654" s="84" t="str">
        <f t="shared" si="42"/>
        <v>insert into ins_premium_det (premium_rcv_code,assorted_code, rec_amount,premium_rcv_detail_code,remaining_amt, payrec, mode_code,coinsurance_code,class_cd,it_remarks) values('24Sep240082','040000179375','12320',(select max(to_number(i.premium_rcv_detail_code))+1
from ins_premium_det i),'12320','12320','02', '11000003','00','Request by Mr. Omair Ali 25-Sep-2024 allocation no 24Sep240082 ');</v>
      </c>
    </row>
    <row r="655" spans="1:8" ht="105" x14ac:dyDescent="0.25">
      <c r="A655" t="s">
        <v>767</v>
      </c>
      <c r="B655" s="80" t="str">
        <f>VLOOKUP(A655,[1]Sheet1!$B:$C,2,0)</f>
        <v>040000179376</v>
      </c>
      <c r="C655" s="46">
        <v>12320</v>
      </c>
      <c r="D655" s="81">
        <f t="shared" si="43"/>
        <v>12320</v>
      </c>
      <c r="E655" s="79" t="s">
        <v>2492</v>
      </c>
      <c r="F655" s="82" t="str">
        <f t="shared" si="40"/>
        <v>insert into ins_premium_det (premium_rcv_code,assorted_code, rec_amount,premium_rcv_detail_code,remaining_amt, payrec, mode_code,coinsurance_code,class_cd,it_remarks) values</v>
      </c>
      <c r="G655" s="83" t="str">
        <f t="shared" si="41"/>
        <v>('24Sep240082','040000179376','12320',(select max(to_number(i.premium_rcv_detail_code))+1
from ins_premium_det i),'12320','12320','02', '11000003','00','Request by Mr. Omair Ali 25-Sep-2024 allocation no 24Sep240082 ');</v>
      </c>
      <c r="H655" s="84" t="str">
        <f t="shared" si="42"/>
        <v>insert into ins_premium_det (premium_rcv_code,assorted_code, rec_amount,premium_rcv_detail_code,remaining_amt, payrec, mode_code,coinsurance_code,class_cd,it_remarks) values('24Sep240082','040000179376','12320',(select max(to_number(i.premium_rcv_detail_code))+1
from ins_premium_det i),'12320','12320','02', '11000003','00','Request by Mr. Omair Ali 25-Sep-2024 allocation no 24Sep240082 ');</v>
      </c>
    </row>
    <row r="656" spans="1:8" ht="105" x14ac:dyDescent="0.25">
      <c r="A656" t="s">
        <v>768</v>
      </c>
      <c r="B656" s="80" t="str">
        <f>VLOOKUP(A656,[1]Sheet1!$B:$C,2,0)</f>
        <v>040000179378</v>
      </c>
      <c r="C656" s="46">
        <v>12320</v>
      </c>
      <c r="D656" s="81">
        <f t="shared" si="43"/>
        <v>12320</v>
      </c>
      <c r="E656" s="79" t="s">
        <v>2492</v>
      </c>
      <c r="F656" s="82" t="str">
        <f t="shared" si="40"/>
        <v>insert into ins_premium_det (premium_rcv_code,assorted_code, rec_amount,premium_rcv_detail_code,remaining_amt, payrec, mode_code,coinsurance_code,class_cd,it_remarks) values</v>
      </c>
      <c r="G656" s="83" t="str">
        <f t="shared" si="41"/>
        <v>('24Sep240082','040000179378','12320',(select max(to_number(i.premium_rcv_detail_code))+1
from ins_premium_det i),'12320','12320','02', '11000003','00','Request by Mr. Omair Ali 25-Sep-2024 allocation no 24Sep240082 ');</v>
      </c>
      <c r="H656" s="84" t="str">
        <f t="shared" si="42"/>
        <v>insert into ins_premium_det (premium_rcv_code,assorted_code, rec_amount,premium_rcv_detail_code,remaining_amt, payrec, mode_code,coinsurance_code,class_cd,it_remarks) values('24Sep240082','040000179378','12320',(select max(to_number(i.premium_rcv_detail_code))+1
from ins_premium_det i),'12320','12320','02', '11000003','00','Request by Mr. Omair Ali 25-Sep-2024 allocation no 24Sep240082 ');</v>
      </c>
    </row>
    <row r="657" spans="1:8" ht="105" x14ac:dyDescent="0.25">
      <c r="A657" t="s">
        <v>769</v>
      </c>
      <c r="B657" s="80" t="str">
        <f>VLOOKUP(A657,[1]Sheet1!$B:$C,2,0)</f>
        <v>040000179379</v>
      </c>
      <c r="C657" s="46">
        <v>12320</v>
      </c>
      <c r="D657" s="81">
        <f t="shared" si="43"/>
        <v>12320</v>
      </c>
      <c r="E657" s="79" t="s">
        <v>2492</v>
      </c>
      <c r="F657" s="82" t="str">
        <f t="shared" si="40"/>
        <v>insert into ins_premium_det (premium_rcv_code,assorted_code, rec_amount,premium_rcv_detail_code,remaining_amt, payrec, mode_code,coinsurance_code,class_cd,it_remarks) values</v>
      </c>
      <c r="G657" s="83" t="str">
        <f t="shared" si="41"/>
        <v>('24Sep240082','040000179379','12320',(select max(to_number(i.premium_rcv_detail_code))+1
from ins_premium_det i),'12320','12320','02', '11000003','00','Request by Mr. Omair Ali 25-Sep-2024 allocation no 24Sep240082 ');</v>
      </c>
      <c r="H657" s="84" t="str">
        <f t="shared" si="42"/>
        <v>insert into ins_premium_det (premium_rcv_code,assorted_code, rec_amount,premium_rcv_detail_code,remaining_amt, payrec, mode_code,coinsurance_code,class_cd,it_remarks) values('24Sep240082','040000179379','12320',(select max(to_number(i.premium_rcv_detail_code))+1
from ins_premium_det i),'12320','12320','02', '11000003','00','Request by Mr. Omair Ali 25-Sep-2024 allocation no 24Sep240082 ');</v>
      </c>
    </row>
    <row r="658" spans="1:8" ht="105" x14ac:dyDescent="0.25">
      <c r="A658" t="s">
        <v>770</v>
      </c>
      <c r="B658" s="80" t="str">
        <f>VLOOKUP(A658,[1]Sheet1!$B:$C,2,0)</f>
        <v>040000179382</v>
      </c>
      <c r="C658" s="46">
        <v>13675</v>
      </c>
      <c r="D658" s="81">
        <f t="shared" si="43"/>
        <v>13675</v>
      </c>
      <c r="E658" s="79" t="s">
        <v>2492</v>
      </c>
      <c r="F658" s="82" t="str">
        <f t="shared" si="40"/>
        <v>insert into ins_premium_det (premium_rcv_code,assorted_code, rec_amount,premium_rcv_detail_code,remaining_amt, payrec, mode_code,coinsurance_code,class_cd,it_remarks) values</v>
      </c>
      <c r="G658" s="83" t="str">
        <f t="shared" si="41"/>
        <v>('24Sep240082','040000179382','13675',(select max(to_number(i.premium_rcv_detail_code))+1
from ins_premium_det i),'13675','13675','02', '11000003','00','Request by Mr. Omair Ali 25-Sep-2024 allocation no 24Sep240082 ');</v>
      </c>
      <c r="H658" s="84" t="str">
        <f t="shared" si="42"/>
        <v>insert into ins_premium_det (premium_rcv_code,assorted_code, rec_amount,premium_rcv_detail_code,remaining_amt, payrec, mode_code,coinsurance_code,class_cd,it_remarks) values('24Sep240082','040000179382','13675',(select max(to_number(i.premium_rcv_detail_code))+1
from ins_premium_det i),'13675','13675','02', '11000003','00','Request by Mr. Omair Ali 25-Sep-2024 allocation no 24Sep240082 ');</v>
      </c>
    </row>
    <row r="659" spans="1:8" ht="105" x14ac:dyDescent="0.25">
      <c r="A659" t="s">
        <v>771</v>
      </c>
      <c r="B659" s="80" t="str">
        <f>VLOOKUP(A659,[1]Sheet1!$B:$C,2,0)</f>
        <v>040000179384</v>
      </c>
      <c r="C659" s="46">
        <v>12320</v>
      </c>
      <c r="D659" s="81">
        <f t="shared" si="43"/>
        <v>12320</v>
      </c>
      <c r="E659" s="79" t="s">
        <v>2492</v>
      </c>
      <c r="F659" s="82" t="str">
        <f t="shared" si="40"/>
        <v>insert into ins_premium_det (premium_rcv_code,assorted_code, rec_amount,premium_rcv_detail_code,remaining_amt, payrec, mode_code,coinsurance_code,class_cd,it_remarks) values</v>
      </c>
      <c r="G659" s="83" t="str">
        <f t="shared" si="41"/>
        <v>('24Sep240082','040000179384','12320',(select max(to_number(i.premium_rcv_detail_code))+1
from ins_premium_det i),'12320','12320','02', '11000003','00','Request by Mr. Omair Ali 25-Sep-2024 allocation no 24Sep240082 ');</v>
      </c>
      <c r="H659" s="84" t="str">
        <f t="shared" si="42"/>
        <v>insert into ins_premium_det (premium_rcv_code,assorted_code, rec_amount,premium_rcv_detail_code,remaining_amt, payrec, mode_code,coinsurance_code,class_cd,it_remarks) values('24Sep240082','040000179384','12320',(select max(to_number(i.premium_rcv_detail_code))+1
from ins_premium_det i),'12320','12320','02', '11000003','00','Request by Mr. Omair Ali 25-Sep-2024 allocation no 24Sep240082 ');</v>
      </c>
    </row>
    <row r="660" spans="1:8" ht="105" x14ac:dyDescent="0.25">
      <c r="A660" t="s">
        <v>772</v>
      </c>
      <c r="B660" s="80" t="str">
        <f>VLOOKUP(A660,[1]Sheet1!$B:$C,2,0)</f>
        <v>040000179385</v>
      </c>
      <c r="C660" s="46">
        <v>12320</v>
      </c>
      <c r="D660" s="81">
        <f t="shared" si="43"/>
        <v>12320</v>
      </c>
      <c r="E660" s="79" t="s">
        <v>2492</v>
      </c>
      <c r="F660" s="82" t="str">
        <f t="shared" si="40"/>
        <v>insert into ins_premium_det (premium_rcv_code,assorted_code, rec_amount,premium_rcv_detail_code,remaining_amt, payrec, mode_code,coinsurance_code,class_cd,it_remarks) values</v>
      </c>
      <c r="G660" s="83" t="str">
        <f t="shared" si="41"/>
        <v>('24Sep240082','040000179385','12320',(select max(to_number(i.premium_rcv_detail_code))+1
from ins_premium_det i),'12320','12320','02', '11000003','00','Request by Mr. Omair Ali 25-Sep-2024 allocation no 24Sep240082 ');</v>
      </c>
      <c r="H660" s="84" t="str">
        <f t="shared" si="42"/>
        <v>insert into ins_premium_det (premium_rcv_code,assorted_code, rec_amount,premium_rcv_detail_code,remaining_amt, payrec, mode_code,coinsurance_code,class_cd,it_remarks) values('24Sep240082','040000179385','12320',(select max(to_number(i.premium_rcv_detail_code))+1
from ins_premium_det i),'12320','12320','02', '11000003','00','Request by Mr. Omair Ali 25-Sep-2024 allocation no 24Sep240082 ');</v>
      </c>
    </row>
    <row r="661" spans="1:8" ht="105" x14ac:dyDescent="0.25">
      <c r="A661" t="s">
        <v>773</v>
      </c>
      <c r="B661" s="80" t="str">
        <f>VLOOKUP(A661,[1]Sheet1!$B:$C,2,0)</f>
        <v>040000179389</v>
      </c>
      <c r="C661" s="46">
        <v>12320</v>
      </c>
      <c r="D661" s="81">
        <f t="shared" si="43"/>
        <v>12320</v>
      </c>
      <c r="E661" s="79" t="s">
        <v>2492</v>
      </c>
      <c r="F661" s="82" t="str">
        <f t="shared" si="40"/>
        <v>insert into ins_premium_det (premium_rcv_code,assorted_code, rec_amount,premium_rcv_detail_code,remaining_amt, payrec, mode_code,coinsurance_code,class_cd,it_remarks) values</v>
      </c>
      <c r="G661" s="83" t="str">
        <f t="shared" si="41"/>
        <v>('24Sep240082','040000179389','12320',(select max(to_number(i.premium_rcv_detail_code))+1
from ins_premium_det i),'12320','12320','02', '11000003','00','Request by Mr. Omair Ali 25-Sep-2024 allocation no 24Sep240082 ');</v>
      </c>
      <c r="H661" s="84" t="str">
        <f t="shared" si="42"/>
        <v>insert into ins_premium_det (premium_rcv_code,assorted_code, rec_amount,premium_rcv_detail_code,remaining_amt, payrec, mode_code,coinsurance_code,class_cd,it_remarks) values('24Sep240082','040000179389','12320',(select max(to_number(i.premium_rcv_detail_code))+1
from ins_premium_det i),'12320','12320','02', '11000003','00','Request by Mr. Omair Ali 25-Sep-2024 allocation no 24Sep240082 ');</v>
      </c>
    </row>
    <row r="662" spans="1:8" ht="105" x14ac:dyDescent="0.25">
      <c r="A662" t="s">
        <v>774</v>
      </c>
      <c r="B662" s="80" t="str">
        <f>VLOOKUP(A662,[1]Sheet1!$B:$C,2,0)</f>
        <v>040000179390</v>
      </c>
      <c r="C662" s="46">
        <v>12320</v>
      </c>
      <c r="D662" s="81">
        <f t="shared" si="43"/>
        <v>12320</v>
      </c>
      <c r="E662" s="79" t="s">
        <v>2492</v>
      </c>
      <c r="F662" s="82" t="str">
        <f t="shared" si="40"/>
        <v>insert into ins_premium_det (premium_rcv_code,assorted_code, rec_amount,premium_rcv_detail_code,remaining_amt, payrec, mode_code,coinsurance_code,class_cd,it_remarks) values</v>
      </c>
      <c r="G662" s="83" t="str">
        <f t="shared" si="41"/>
        <v>('24Sep240082','040000179390','12320',(select max(to_number(i.premium_rcv_detail_code))+1
from ins_premium_det i),'12320','12320','02', '11000003','00','Request by Mr. Omair Ali 25-Sep-2024 allocation no 24Sep240082 ');</v>
      </c>
      <c r="H662" s="84" t="str">
        <f t="shared" si="42"/>
        <v>insert into ins_premium_det (premium_rcv_code,assorted_code, rec_amount,premium_rcv_detail_code,remaining_amt, payrec, mode_code,coinsurance_code,class_cd,it_remarks) values('24Sep240082','040000179390','12320',(select max(to_number(i.premium_rcv_detail_code))+1
from ins_premium_det i),'12320','12320','02', '11000003','00','Request by Mr. Omair Ali 25-Sep-2024 allocation no 24Sep240082 ');</v>
      </c>
    </row>
    <row r="663" spans="1:8" ht="105" x14ac:dyDescent="0.25">
      <c r="A663" t="s">
        <v>775</v>
      </c>
      <c r="B663" s="80" t="str">
        <f>VLOOKUP(A663,[1]Sheet1!$B:$C,2,0)</f>
        <v>040000179391</v>
      </c>
      <c r="C663" s="46">
        <v>12475</v>
      </c>
      <c r="D663" s="81">
        <f t="shared" si="43"/>
        <v>12475</v>
      </c>
      <c r="E663" s="79" t="s">
        <v>2492</v>
      </c>
      <c r="F663" s="82" t="str">
        <f t="shared" si="40"/>
        <v>insert into ins_premium_det (premium_rcv_code,assorted_code, rec_amount,premium_rcv_detail_code,remaining_amt, payrec, mode_code,coinsurance_code,class_cd,it_remarks) values</v>
      </c>
      <c r="G663" s="83" t="str">
        <f t="shared" si="41"/>
        <v>('24Sep240082','040000179391','12475',(select max(to_number(i.premium_rcv_detail_code))+1
from ins_premium_det i),'12475','12475','02', '11000003','00','Request by Mr. Omair Ali 25-Sep-2024 allocation no 24Sep240082 ');</v>
      </c>
      <c r="H663" s="84" t="str">
        <f t="shared" si="42"/>
        <v>insert into ins_premium_det (premium_rcv_code,assorted_code, rec_amount,premium_rcv_detail_code,remaining_amt, payrec, mode_code,coinsurance_code,class_cd,it_remarks) values('24Sep240082','040000179391','12475',(select max(to_number(i.premium_rcv_detail_code))+1
from ins_premium_det i),'12475','12475','02', '11000003','00','Request by Mr. Omair Ali 25-Sep-2024 allocation no 24Sep240082 ');</v>
      </c>
    </row>
    <row r="664" spans="1:8" ht="105" x14ac:dyDescent="0.25">
      <c r="A664" t="s">
        <v>776</v>
      </c>
      <c r="B664" s="80" t="str">
        <f>VLOOKUP(A664,[1]Sheet1!$B:$C,2,0)</f>
        <v>040000179392</v>
      </c>
      <c r="C664" s="46">
        <v>19145</v>
      </c>
      <c r="D664" s="81">
        <f t="shared" si="43"/>
        <v>19145</v>
      </c>
      <c r="E664" s="79" t="s">
        <v>2492</v>
      </c>
      <c r="F664" s="82" t="str">
        <f t="shared" si="40"/>
        <v>insert into ins_premium_det (premium_rcv_code,assorted_code, rec_amount,premium_rcv_detail_code,remaining_amt, payrec, mode_code,coinsurance_code,class_cd,it_remarks) values</v>
      </c>
      <c r="G664" s="83" t="str">
        <f t="shared" si="41"/>
        <v>('24Sep240082','040000179392','19145',(select max(to_number(i.premium_rcv_detail_code))+1
from ins_premium_det i),'19145','19145','02', '11000003','00','Request by Mr. Omair Ali 25-Sep-2024 allocation no 24Sep240082 ');</v>
      </c>
      <c r="H664" s="84" t="str">
        <f t="shared" si="42"/>
        <v>insert into ins_premium_det (premium_rcv_code,assorted_code, rec_amount,premium_rcv_detail_code,remaining_amt, payrec, mode_code,coinsurance_code,class_cd,it_remarks) values('24Sep240082','040000179392','19145',(select max(to_number(i.premium_rcv_detail_code))+1
from ins_premium_det i),'19145','19145','02', '11000003','00','Request by Mr. Omair Ali 25-Sep-2024 allocation no 24Sep240082 ');</v>
      </c>
    </row>
    <row r="665" spans="1:8" ht="105" x14ac:dyDescent="0.25">
      <c r="A665" t="s">
        <v>777</v>
      </c>
      <c r="B665" s="80" t="str">
        <f>VLOOKUP(A665,[1]Sheet1!$B:$C,2,0)</f>
        <v>040000179393</v>
      </c>
      <c r="C665" s="46">
        <v>19145</v>
      </c>
      <c r="D665" s="81">
        <f t="shared" si="43"/>
        <v>19145</v>
      </c>
      <c r="E665" s="79" t="s">
        <v>2492</v>
      </c>
      <c r="F665" s="82" t="str">
        <f t="shared" si="40"/>
        <v>insert into ins_premium_det (premium_rcv_code,assorted_code, rec_amount,premium_rcv_detail_code,remaining_amt, payrec, mode_code,coinsurance_code,class_cd,it_remarks) values</v>
      </c>
      <c r="G665" s="83" t="str">
        <f t="shared" si="41"/>
        <v>('24Sep240082','040000179393','19145',(select max(to_number(i.premium_rcv_detail_code))+1
from ins_premium_det i),'19145','19145','02', '11000003','00','Request by Mr. Omair Ali 25-Sep-2024 allocation no 24Sep240082 ');</v>
      </c>
      <c r="H665" s="84" t="str">
        <f t="shared" si="42"/>
        <v>insert into ins_premium_det (premium_rcv_code,assorted_code, rec_amount,premium_rcv_detail_code,remaining_amt, payrec, mode_code,coinsurance_code,class_cd,it_remarks) values('24Sep240082','040000179393','19145',(select max(to_number(i.premium_rcv_detail_code))+1
from ins_premium_det i),'19145','19145','02', '11000003','00','Request by Mr. Omair Ali 25-Sep-2024 allocation no 24Sep240082 ');</v>
      </c>
    </row>
    <row r="666" spans="1:8" ht="105" x14ac:dyDescent="0.25">
      <c r="A666" t="s">
        <v>778</v>
      </c>
      <c r="B666" s="80" t="str">
        <f>VLOOKUP(A666,[1]Sheet1!$B:$C,2,0)</f>
        <v>040000179395</v>
      </c>
      <c r="C666" s="46">
        <v>8800</v>
      </c>
      <c r="D666" s="81">
        <f t="shared" si="43"/>
        <v>8800</v>
      </c>
      <c r="E666" s="79" t="s">
        <v>2492</v>
      </c>
      <c r="F666" s="82" t="str">
        <f t="shared" si="40"/>
        <v>insert into ins_premium_det (premium_rcv_code,assorted_code, rec_amount,premium_rcv_detail_code,remaining_amt, payrec, mode_code,coinsurance_code,class_cd,it_remarks) values</v>
      </c>
      <c r="G666" s="83" t="str">
        <f t="shared" si="41"/>
        <v>('24Sep240082','040000179395','8800',(select max(to_number(i.premium_rcv_detail_code))+1
from ins_premium_det i),'8800','8800','02', '11000003','00','Request by Mr. Omair Ali 25-Sep-2024 allocation no 24Sep240082 ');</v>
      </c>
      <c r="H666" s="84" t="str">
        <f t="shared" si="42"/>
        <v>insert into ins_premium_det (premium_rcv_code,assorted_code, rec_amount,premium_rcv_detail_code,remaining_amt, payrec, mode_code,coinsurance_code,class_cd,it_remarks) values('24Sep240082','040000179395','8800',(select max(to_number(i.premium_rcv_detail_code))+1
from ins_premium_det i),'8800','8800','02', '11000003','00','Request by Mr. Omair Ali 25-Sep-2024 allocation no 24Sep240082 ');</v>
      </c>
    </row>
    <row r="667" spans="1:8" ht="105" x14ac:dyDescent="0.25">
      <c r="A667" t="s">
        <v>779</v>
      </c>
      <c r="B667" s="80" t="str">
        <f>VLOOKUP(A667,[1]Sheet1!$B:$C,2,0)</f>
        <v>040000179400</v>
      </c>
      <c r="C667" s="46">
        <v>8800</v>
      </c>
      <c r="D667" s="81">
        <f t="shared" si="43"/>
        <v>8800</v>
      </c>
      <c r="E667" s="79" t="s">
        <v>2492</v>
      </c>
      <c r="F667" s="82" t="str">
        <f t="shared" si="40"/>
        <v>insert into ins_premium_det (premium_rcv_code,assorted_code, rec_amount,premium_rcv_detail_code,remaining_amt, payrec, mode_code,coinsurance_code,class_cd,it_remarks) values</v>
      </c>
      <c r="G667" s="83" t="str">
        <f t="shared" si="41"/>
        <v>('24Sep240082','040000179400','8800',(select max(to_number(i.premium_rcv_detail_code))+1
from ins_premium_det i),'8800','8800','02', '11000003','00','Request by Mr. Omair Ali 25-Sep-2024 allocation no 24Sep240082 ');</v>
      </c>
      <c r="H667" s="84" t="str">
        <f t="shared" si="42"/>
        <v>insert into ins_premium_det (premium_rcv_code,assorted_code, rec_amount,premium_rcv_detail_code,remaining_amt, payrec, mode_code,coinsurance_code,class_cd,it_remarks) values('24Sep240082','040000179400','8800',(select max(to_number(i.premium_rcv_detail_code))+1
from ins_premium_det i),'8800','8800','02', '11000003','00','Request by Mr. Omair Ali 25-Sep-2024 allocation no 24Sep240082 ');</v>
      </c>
    </row>
    <row r="668" spans="1:8" ht="105" x14ac:dyDescent="0.25">
      <c r="A668" t="s">
        <v>780</v>
      </c>
      <c r="B668" s="80" t="str">
        <f>VLOOKUP(A668,[1]Sheet1!$B:$C,2,0)</f>
        <v>040000179403</v>
      </c>
      <c r="C668" s="46">
        <v>13370</v>
      </c>
      <c r="D668" s="81">
        <f t="shared" si="43"/>
        <v>13370</v>
      </c>
      <c r="E668" s="79" t="s">
        <v>2492</v>
      </c>
      <c r="F668" s="82" t="str">
        <f t="shared" si="40"/>
        <v>insert into ins_premium_det (premium_rcv_code,assorted_code, rec_amount,premium_rcv_detail_code,remaining_amt, payrec, mode_code,coinsurance_code,class_cd,it_remarks) values</v>
      </c>
      <c r="G668" s="83" t="str">
        <f t="shared" si="41"/>
        <v>('24Sep240082','040000179403','13370',(select max(to_number(i.premium_rcv_detail_code))+1
from ins_premium_det i),'13370','13370','02', '11000003','00','Request by Mr. Omair Ali 25-Sep-2024 allocation no 24Sep240082 ');</v>
      </c>
      <c r="H668" s="84" t="str">
        <f t="shared" si="42"/>
        <v>insert into ins_premium_det (premium_rcv_code,assorted_code, rec_amount,premium_rcv_detail_code,remaining_amt, payrec, mode_code,coinsurance_code,class_cd,it_remarks) values('24Sep240082','040000179403','13370',(select max(to_number(i.premium_rcv_detail_code))+1
from ins_premium_det i),'13370','13370','02', '11000003','00','Request by Mr. Omair Ali 25-Sep-2024 allocation no 24Sep240082 ');</v>
      </c>
    </row>
    <row r="669" spans="1:8" ht="105" x14ac:dyDescent="0.25">
      <c r="A669" t="s">
        <v>781</v>
      </c>
      <c r="B669" s="80" t="str">
        <f>VLOOKUP(A669,[1]Sheet1!$B:$C,2,0)</f>
        <v>040000179404</v>
      </c>
      <c r="C669" s="46">
        <v>13370</v>
      </c>
      <c r="D669" s="81">
        <f t="shared" si="43"/>
        <v>13370</v>
      </c>
      <c r="E669" s="79" t="s">
        <v>2492</v>
      </c>
      <c r="F669" s="82" t="str">
        <f t="shared" si="40"/>
        <v>insert into ins_premium_det (premium_rcv_code,assorted_code, rec_amount,premium_rcv_detail_code,remaining_amt, payrec, mode_code,coinsurance_code,class_cd,it_remarks) values</v>
      </c>
      <c r="G669" s="83" t="str">
        <f t="shared" si="41"/>
        <v>('24Sep240082','040000179404','13370',(select max(to_number(i.premium_rcv_detail_code))+1
from ins_premium_det i),'13370','13370','02', '11000003','00','Request by Mr. Omair Ali 25-Sep-2024 allocation no 24Sep240082 ');</v>
      </c>
      <c r="H669" s="84" t="str">
        <f t="shared" si="42"/>
        <v>insert into ins_premium_det (premium_rcv_code,assorted_code, rec_amount,premium_rcv_detail_code,remaining_amt, payrec, mode_code,coinsurance_code,class_cd,it_remarks) values('24Sep240082','040000179404','13370',(select max(to_number(i.premium_rcv_detail_code))+1
from ins_premium_det i),'13370','13370','02', '11000003','00','Request by Mr. Omair Ali 25-Sep-2024 allocation no 24Sep240082 ');</v>
      </c>
    </row>
    <row r="670" spans="1:8" ht="105" x14ac:dyDescent="0.25">
      <c r="A670" t="s">
        <v>782</v>
      </c>
      <c r="B670" s="80" t="str">
        <f>VLOOKUP(A670,[1]Sheet1!$B:$C,2,0)</f>
        <v>040000179406</v>
      </c>
      <c r="C670" s="46">
        <v>8800</v>
      </c>
      <c r="D670" s="81">
        <f t="shared" si="43"/>
        <v>8800</v>
      </c>
      <c r="E670" s="79" t="s">
        <v>2492</v>
      </c>
      <c r="F670" s="82" t="str">
        <f t="shared" si="40"/>
        <v>insert into ins_premium_det (premium_rcv_code,assorted_code, rec_amount,premium_rcv_detail_code,remaining_amt, payrec, mode_code,coinsurance_code,class_cd,it_remarks) values</v>
      </c>
      <c r="G670" s="83" t="str">
        <f t="shared" si="41"/>
        <v>('24Sep240082','040000179406','8800',(select max(to_number(i.premium_rcv_detail_code))+1
from ins_premium_det i),'8800','8800','02', '11000003','00','Request by Mr. Omair Ali 25-Sep-2024 allocation no 24Sep240082 ');</v>
      </c>
      <c r="H670" s="84" t="str">
        <f t="shared" si="42"/>
        <v>insert into ins_premium_det (premium_rcv_code,assorted_code, rec_amount,premium_rcv_detail_code,remaining_amt, payrec, mode_code,coinsurance_code,class_cd,it_remarks) values('24Sep240082','040000179406','8800',(select max(to_number(i.premium_rcv_detail_code))+1
from ins_premium_det i),'8800','8800','02', '11000003','00','Request by Mr. Omair Ali 25-Sep-2024 allocation no 24Sep240082 ');</v>
      </c>
    </row>
    <row r="671" spans="1:8" ht="105" x14ac:dyDescent="0.25">
      <c r="A671" t="s">
        <v>783</v>
      </c>
      <c r="B671" s="80" t="str">
        <f>VLOOKUP(A671,[1]Sheet1!$B:$C,2,0)</f>
        <v>040000179407</v>
      </c>
      <c r="C671" s="46">
        <v>13675</v>
      </c>
      <c r="D671" s="81">
        <f t="shared" si="43"/>
        <v>13675</v>
      </c>
      <c r="E671" s="79" t="s">
        <v>2492</v>
      </c>
      <c r="F671" s="82" t="str">
        <f t="shared" si="40"/>
        <v>insert into ins_premium_det (premium_rcv_code,assorted_code, rec_amount,premium_rcv_detail_code,remaining_amt, payrec, mode_code,coinsurance_code,class_cd,it_remarks) values</v>
      </c>
      <c r="G671" s="83" t="str">
        <f t="shared" si="41"/>
        <v>('24Sep240082','040000179407','13675',(select max(to_number(i.premium_rcv_detail_code))+1
from ins_premium_det i),'13675','13675','02', '11000003','00','Request by Mr. Omair Ali 25-Sep-2024 allocation no 24Sep240082 ');</v>
      </c>
      <c r="H671" s="84" t="str">
        <f t="shared" si="42"/>
        <v>insert into ins_premium_det (premium_rcv_code,assorted_code, rec_amount,premium_rcv_detail_code,remaining_amt, payrec, mode_code,coinsurance_code,class_cd,it_remarks) values('24Sep240082','040000179407','13675',(select max(to_number(i.premium_rcv_detail_code))+1
from ins_premium_det i),'13675','13675','02', '11000003','00','Request by Mr. Omair Ali 25-Sep-2024 allocation no 24Sep240082 ');</v>
      </c>
    </row>
    <row r="672" spans="1:8" ht="105" x14ac:dyDescent="0.25">
      <c r="A672" t="s">
        <v>784</v>
      </c>
      <c r="B672" s="80" t="str">
        <f>VLOOKUP(A672,[1]Sheet1!$B:$C,2,0)</f>
        <v>040000179408</v>
      </c>
      <c r="C672" s="46">
        <v>8800</v>
      </c>
      <c r="D672" s="81">
        <f t="shared" si="43"/>
        <v>8800</v>
      </c>
      <c r="E672" s="79" t="s">
        <v>2492</v>
      </c>
      <c r="F672" s="82" t="str">
        <f t="shared" si="40"/>
        <v>insert into ins_premium_det (premium_rcv_code,assorted_code, rec_amount,premium_rcv_detail_code,remaining_amt, payrec, mode_code,coinsurance_code,class_cd,it_remarks) values</v>
      </c>
      <c r="G672" s="83" t="str">
        <f t="shared" si="41"/>
        <v>('24Sep240082','040000179408','8800',(select max(to_number(i.premium_rcv_detail_code))+1
from ins_premium_det i),'8800','8800','02', '11000003','00','Request by Mr. Omair Ali 25-Sep-2024 allocation no 24Sep240082 ');</v>
      </c>
      <c r="H672" s="84" t="str">
        <f t="shared" si="42"/>
        <v>insert into ins_premium_det (premium_rcv_code,assorted_code, rec_amount,premium_rcv_detail_code,remaining_amt, payrec, mode_code,coinsurance_code,class_cd,it_remarks) values('24Sep240082','040000179408','8800',(select max(to_number(i.premium_rcv_detail_code))+1
from ins_premium_det i),'8800','8800','02', '11000003','00','Request by Mr. Omair Ali 25-Sep-2024 allocation no 24Sep240082 ');</v>
      </c>
    </row>
    <row r="673" spans="1:8" ht="105" x14ac:dyDescent="0.25">
      <c r="A673" t="s">
        <v>785</v>
      </c>
      <c r="B673" s="80" t="str">
        <f>VLOOKUP(A673,[1]Sheet1!$B:$C,2,0)</f>
        <v>040000179409</v>
      </c>
      <c r="C673" s="46">
        <v>9550</v>
      </c>
      <c r="D673" s="81">
        <f t="shared" si="43"/>
        <v>9550</v>
      </c>
      <c r="E673" s="79" t="s">
        <v>2492</v>
      </c>
      <c r="F673" s="82" t="str">
        <f t="shared" si="40"/>
        <v>insert into ins_premium_det (premium_rcv_code,assorted_code, rec_amount,premium_rcv_detail_code,remaining_amt, payrec, mode_code,coinsurance_code,class_cd,it_remarks) values</v>
      </c>
      <c r="G673" s="83" t="str">
        <f t="shared" si="41"/>
        <v>('24Sep240082','040000179409','9550',(select max(to_number(i.premium_rcv_detail_code))+1
from ins_premium_det i),'9550','9550','02', '11000003','00','Request by Mr. Omair Ali 25-Sep-2024 allocation no 24Sep240082 ');</v>
      </c>
      <c r="H673" s="84" t="str">
        <f t="shared" si="42"/>
        <v>insert into ins_premium_det (premium_rcv_code,assorted_code, rec_amount,premium_rcv_detail_code,remaining_amt, payrec, mode_code,coinsurance_code,class_cd,it_remarks) values('24Sep240082','040000179409','9550',(select max(to_number(i.premium_rcv_detail_code))+1
from ins_premium_det i),'9550','9550','02', '11000003','00','Request by Mr. Omair Ali 25-Sep-2024 allocation no 24Sep240082 ');</v>
      </c>
    </row>
    <row r="674" spans="1:8" ht="105" x14ac:dyDescent="0.25">
      <c r="A674" t="s">
        <v>786</v>
      </c>
      <c r="B674" s="80" t="str">
        <f>VLOOKUP(A674,[1]Sheet1!$B:$C,2,0)</f>
        <v>040000179410</v>
      </c>
      <c r="C674" s="46">
        <v>12320</v>
      </c>
      <c r="D674" s="81">
        <f t="shared" si="43"/>
        <v>12320</v>
      </c>
      <c r="E674" s="79" t="s">
        <v>2492</v>
      </c>
      <c r="F674" s="82" t="str">
        <f t="shared" si="40"/>
        <v>insert into ins_premium_det (premium_rcv_code,assorted_code, rec_amount,premium_rcv_detail_code,remaining_amt, payrec, mode_code,coinsurance_code,class_cd,it_remarks) values</v>
      </c>
      <c r="G674" s="83" t="str">
        <f t="shared" si="41"/>
        <v>('24Sep240082','040000179410','12320',(select max(to_number(i.premium_rcv_detail_code))+1
from ins_premium_det i),'12320','12320','02', '11000003','00','Request by Mr. Omair Ali 25-Sep-2024 allocation no 24Sep240082 ');</v>
      </c>
      <c r="H674" s="84" t="str">
        <f t="shared" si="42"/>
        <v>insert into ins_premium_det (premium_rcv_code,assorted_code, rec_amount,premium_rcv_detail_code,remaining_amt, payrec, mode_code,coinsurance_code,class_cd,it_remarks) values('24Sep240082','040000179410','12320',(select max(to_number(i.premium_rcv_detail_code))+1
from ins_premium_det i),'12320','12320','02', '11000003','00','Request by Mr. Omair Ali 25-Sep-2024 allocation no 24Sep240082 ');</v>
      </c>
    </row>
    <row r="675" spans="1:8" ht="105" x14ac:dyDescent="0.25">
      <c r="A675" t="s">
        <v>787</v>
      </c>
      <c r="B675" s="80" t="str">
        <f>VLOOKUP(A675,[1]Sheet1!$B:$C,2,0)</f>
        <v>040000179411</v>
      </c>
      <c r="C675" s="46">
        <v>13370</v>
      </c>
      <c r="D675" s="81">
        <f t="shared" si="43"/>
        <v>13370</v>
      </c>
      <c r="E675" s="79" t="s">
        <v>2492</v>
      </c>
      <c r="F675" s="82" t="str">
        <f t="shared" si="40"/>
        <v>insert into ins_premium_det (premium_rcv_code,assorted_code, rec_amount,premium_rcv_detail_code,remaining_amt, payrec, mode_code,coinsurance_code,class_cd,it_remarks) values</v>
      </c>
      <c r="G675" s="83" t="str">
        <f t="shared" si="41"/>
        <v>('24Sep240082','040000179411','13370',(select max(to_number(i.premium_rcv_detail_code))+1
from ins_premium_det i),'13370','13370','02', '11000003','00','Request by Mr. Omair Ali 25-Sep-2024 allocation no 24Sep240082 ');</v>
      </c>
      <c r="H675" s="84" t="str">
        <f t="shared" si="42"/>
        <v>insert into ins_premium_det (premium_rcv_code,assorted_code, rec_amount,premium_rcv_detail_code,remaining_amt, payrec, mode_code,coinsurance_code,class_cd,it_remarks) values('24Sep240082','040000179411','13370',(select max(to_number(i.premium_rcv_detail_code))+1
from ins_premium_det i),'13370','13370','02', '11000003','00','Request by Mr. Omair Ali 25-Sep-2024 allocation no 24Sep240082 ');</v>
      </c>
    </row>
    <row r="676" spans="1:8" ht="105" x14ac:dyDescent="0.25">
      <c r="A676" t="s">
        <v>788</v>
      </c>
      <c r="B676" s="80" t="str">
        <f>VLOOKUP(A676,[1]Sheet1!$B:$C,2,0)</f>
        <v>040000179412</v>
      </c>
      <c r="C676" s="46">
        <v>13370</v>
      </c>
      <c r="D676" s="81">
        <f t="shared" si="43"/>
        <v>13370</v>
      </c>
      <c r="E676" s="79" t="s">
        <v>2492</v>
      </c>
      <c r="F676" s="82" t="str">
        <f t="shared" si="40"/>
        <v>insert into ins_premium_det (premium_rcv_code,assorted_code, rec_amount,premium_rcv_detail_code,remaining_amt, payrec, mode_code,coinsurance_code,class_cd,it_remarks) values</v>
      </c>
      <c r="G676" s="83" t="str">
        <f t="shared" si="41"/>
        <v>('24Sep240082','040000179412','13370',(select max(to_number(i.premium_rcv_detail_code))+1
from ins_premium_det i),'13370','13370','02', '11000003','00','Request by Mr. Omair Ali 25-Sep-2024 allocation no 24Sep240082 ');</v>
      </c>
      <c r="H676" s="84" t="str">
        <f t="shared" si="42"/>
        <v>insert into ins_premium_det (premium_rcv_code,assorted_code, rec_amount,premium_rcv_detail_code,remaining_amt, payrec, mode_code,coinsurance_code,class_cd,it_remarks) values('24Sep240082','040000179412','13370',(select max(to_number(i.premium_rcv_detail_code))+1
from ins_premium_det i),'13370','13370','02', '11000003','00','Request by Mr. Omair Ali 25-Sep-2024 allocation no 24Sep240082 ');</v>
      </c>
    </row>
    <row r="677" spans="1:8" ht="105" x14ac:dyDescent="0.25">
      <c r="A677" t="s">
        <v>789</v>
      </c>
      <c r="B677" s="80" t="str">
        <f>VLOOKUP(A677,[1]Sheet1!$B:$C,2,0)</f>
        <v>040000179413</v>
      </c>
      <c r="C677" s="46">
        <v>13370</v>
      </c>
      <c r="D677" s="81">
        <f t="shared" si="43"/>
        <v>13370</v>
      </c>
      <c r="E677" s="79" t="s">
        <v>2492</v>
      </c>
      <c r="F677" s="82" t="str">
        <f t="shared" si="40"/>
        <v>insert into ins_premium_det (premium_rcv_code,assorted_code, rec_amount,premium_rcv_detail_code,remaining_amt, payrec, mode_code,coinsurance_code,class_cd,it_remarks) values</v>
      </c>
      <c r="G677" s="83" t="str">
        <f t="shared" si="41"/>
        <v>('24Sep240082','040000179413','13370',(select max(to_number(i.premium_rcv_detail_code))+1
from ins_premium_det i),'13370','13370','02', '11000003','00','Request by Mr. Omair Ali 25-Sep-2024 allocation no 24Sep240082 ');</v>
      </c>
      <c r="H677" s="84" t="str">
        <f t="shared" si="42"/>
        <v>insert into ins_premium_det (premium_rcv_code,assorted_code, rec_amount,premium_rcv_detail_code,remaining_amt, payrec, mode_code,coinsurance_code,class_cd,it_remarks) values('24Sep240082','040000179413','13370',(select max(to_number(i.premium_rcv_detail_code))+1
from ins_premium_det i),'13370','13370','02', '11000003','00','Request by Mr. Omair Ali 25-Sep-2024 allocation no 24Sep240082 ');</v>
      </c>
    </row>
    <row r="678" spans="1:8" ht="105" x14ac:dyDescent="0.25">
      <c r="A678" t="s">
        <v>790</v>
      </c>
      <c r="B678" s="80" t="str">
        <f>VLOOKUP(A678,[1]Sheet1!$B:$C,2,0)</f>
        <v>040000179414</v>
      </c>
      <c r="C678" s="46">
        <v>13370</v>
      </c>
      <c r="D678" s="81">
        <f t="shared" si="43"/>
        <v>13370</v>
      </c>
      <c r="E678" s="79" t="s">
        <v>2492</v>
      </c>
      <c r="F678" s="82" t="str">
        <f t="shared" si="40"/>
        <v>insert into ins_premium_det (premium_rcv_code,assorted_code, rec_amount,premium_rcv_detail_code,remaining_amt, payrec, mode_code,coinsurance_code,class_cd,it_remarks) values</v>
      </c>
      <c r="G678" s="83" t="str">
        <f t="shared" si="41"/>
        <v>('24Sep240082','040000179414','13370',(select max(to_number(i.premium_rcv_detail_code))+1
from ins_premium_det i),'13370','13370','02', '11000003','00','Request by Mr. Omair Ali 25-Sep-2024 allocation no 24Sep240082 ');</v>
      </c>
      <c r="H678" s="84" t="str">
        <f t="shared" si="42"/>
        <v>insert into ins_premium_det (premium_rcv_code,assorted_code, rec_amount,premium_rcv_detail_code,remaining_amt, payrec, mode_code,coinsurance_code,class_cd,it_remarks) values('24Sep240082','040000179414','13370',(select max(to_number(i.premium_rcv_detail_code))+1
from ins_premium_det i),'13370','13370','02', '11000003','00','Request by Mr. Omair Ali 25-Sep-2024 allocation no 24Sep240082 ');</v>
      </c>
    </row>
    <row r="679" spans="1:8" ht="105" x14ac:dyDescent="0.25">
      <c r="A679" t="s">
        <v>791</v>
      </c>
      <c r="B679" s="80" t="str">
        <f>VLOOKUP(A679,[1]Sheet1!$B:$C,2,0)</f>
        <v>040000179416</v>
      </c>
      <c r="C679" s="46">
        <v>12320</v>
      </c>
      <c r="D679" s="81">
        <f t="shared" si="43"/>
        <v>12320</v>
      </c>
      <c r="E679" s="79" t="s">
        <v>2492</v>
      </c>
      <c r="F679" s="82" t="str">
        <f t="shared" si="40"/>
        <v>insert into ins_premium_det (premium_rcv_code,assorted_code, rec_amount,premium_rcv_detail_code,remaining_amt, payrec, mode_code,coinsurance_code,class_cd,it_remarks) values</v>
      </c>
      <c r="G679" s="83" t="str">
        <f t="shared" si="41"/>
        <v>('24Sep240082','040000179416','12320',(select max(to_number(i.premium_rcv_detail_code))+1
from ins_premium_det i),'12320','12320','02', '11000003','00','Request by Mr. Omair Ali 25-Sep-2024 allocation no 24Sep240082 ');</v>
      </c>
      <c r="H679" s="84" t="str">
        <f t="shared" si="42"/>
        <v>insert into ins_premium_det (premium_rcv_code,assorted_code, rec_amount,premium_rcv_detail_code,remaining_amt, payrec, mode_code,coinsurance_code,class_cd,it_remarks) values('24Sep240082','040000179416','12320',(select max(to_number(i.premium_rcv_detail_code))+1
from ins_premium_det i),'12320','12320','02', '11000003','00','Request by Mr. Omair Ali 25-Sep-2024 allocation no 24Sep240082 ');</v>
      </c>
    </row>
    <row r="680" spans="1:8" ht="105" x14ac:dyDescent="0.25">
      <c r="A680" t="s">
        <v>792</v>
      </c>
      <c r="B680" s="80" t="str">
        <f>VLOOKUP(A680,[1]Sheet1!$B:$C,2,0)</f>
        <v>040000179417</v>
      </c>
      <c r="C680" s="46">
        <v>12320</v>
      </c>
      <c r="D680" s="81">
        <f t="shared" si="43"/>
        <v>12320</v>
      </c>
      <c r="E680" s="79" t="s">
        <v>2492</v>
      </c>
      <c r="F680" s="82" t="str">
        <f t="shared" si="40"/>
        <v>insert into ins_premium_det (premium_rcv_code,assorted_code, rec_amount,premium_rcv_detail_code,remaining_amt, payrec, mode_code,coinsurance_code,class_cd,it_remarks) values</v>
      </c>
      <c r="G680" s="83" t="str">
        <f t="shared" si="41"/>
        <v>('24Sep240082','040000179417','12320',(select max(to_number(i.premium_rcv_detail_code))+1
from ins_premium_det i),'12320','12320','02', '11000003','00','Request by Mr. Omair Ali 25-Sep-2024 allocation no 24Sep240082 ');</v>
      </c>
      <c r="H680" s="84" t="str">
        <f t="shared" si="42"/>
        <v>insert into ins_premium_det (premium_rcv_code,assorted_code, rec_amount,premium_rcv_detail_code,remaining_amt, payrec, mode_code,coinsurance_code,class_cd,it_remarks) values('24Sep240082','040000179417','12320',(select max(to_number(i.premium_rcv_detail_code))+1
from ins_premium_det i),'12320','12320','02', '11000003','00','Request by Mr. Omair Ali 25-Sep-2024 allocation no 24Sep240082 ');</v>
      </c>
    </row>
    <row r="681" spans="1:8" ht="105" x14ac:dyDescent="0.25">
      <c r="A681" t="s">
        <v>793</v>
      </c>
      <c r="B681" s="80" t="str">
        <f>VLOOKUP(A681,[1]Sheet1!$B:$C,2,0)</f>
        <v>040000179418</v>
      </c>
      <c r="C681" s="46">
        <v>12320</v>
      </c>
      <c r="D681" s="81">
        <f t="shared" si="43"/>
        <v>12320</v>
      </c>
      <c r="E681" s="79" t="s">
        <v>2492</v>
      </c>
      <c r="F681" s="82" t="str">
        <f t="shared" si="40"/>
        <v>insert into ins_premium_det (premium_rcv_code,assorted_code, rec_amount,premium_rcv_detail_code,remaining_amt, payrec, mode_code,coinsurance_code,class_cd,it_remarks) values</v>
      </c>
      <c r="G681" s="83" t="str">
        <f t="shared" si="41"/>
        <v>('24Sep240082','040000179418','12320',(select max(to_number(i.premium_rcv_detail_code))+1
from ins_premium_det i),'12320','12320','02', '11000003','00','Request by Mr. Omair Ali 25-Sep-2024 allocation no 24Sep240082 ');</v>
      </c>
      <c r="H681" s="84" t="str">
        <f t="shared" si="42"/>
        <v>insert into ins_premium_det (premium_rcv_code,assorted_code, rec_amount,premium_rcv_detail_code,remaining_amt, payrec, mode_code,coinsurance_code,class_cd,it_remarks) values('24Sep240082','040000179418','12320',(select max(to_number(i.premium_rcv_detail_code))+1
from ins_premium_det i),'12320','12320','02', '11000003','00','Request by Mr. Omair Ali 25-Sep-2024 allocation no 24Sep240082 ');</v>
      </c>
    </row>
    <row r="682" spans="1:8" ht="105" x14ac:dyDescent="0.25">
      <c r="A682" t="s">
        <v>794</v>
      </c>
      <c r="B682" s="80" t="str">
        <f>VLOOKUP(A682,[1]Sheet1!$B:$C,2,0)</f>
        <v>040000179419</v>
      </c>
      <c r="C682" s="46">
        <v>12320</v>
      </c>
      <c r="D682" s="81">
        <f t="shared" si="43"/>
        <v>12320</v>
      </c>
      <c r="E682" s="79" t="s">
        <v>2492</v>
      </c>
      <c r="F682" s="82" t="str">
        <f t="shared" si="40"/>
        <v>insert into ins_premium_det (premium_rcv_code,assorted_code, rec_amount,premium_rcv_detail_code,remaining_amt, payrec, mode_code,coinsurance_code,class_cd,it_remarks) values</v>
      </c>
      <c r="G682" s="83" t="str">
        <f t="shared" si="41"/>
        <v>('24Sep240082','040000179419','12320',(select max(to_number(i.premium_rcv_detail_code))+1
from ins_premium_det i),'12320','12320','02', '11000003','00','Request by Mr. Omair Ali 25-Sep-2024 allocation no 24Sep240082 ');</v>
      </c>
      <c r="H682" s="84" t="str">
        <f t="shared" si="42"/>
        <v>insert into ins_premium_det (premium_rcv_code,assorted_code, rec_amount,premium_rcv_detail_code,remaining_amt, payrec, mode_code,coinsurance_code,class_cd,it_remarks) values('24Sep240082','040000179419','12320',(select max(to_number(i.premium_rcv_detail_code))+1
from ins_premium_det i),'12320','12320','02', '11000003','00','Request by Mr. Omair Ali 25-Sep-2024 allocation no 24Sep240082 ');</v>
      </c>
    </row>
    <row r="683" spans="1:8" ht="105" x14ac:dyDescent="0.25">
      <c r="A683" t="s">
        <v>795</v>
      </c>
      <c r="B683" s="80" t="str">
        <f>VLOOKUP(A683,[1]Sheet1!$B:$C,2,0)</f>
        <v>040000179421</v>
      </c>
      <c r="C683" s="46">
        <v>13370</v>
      </c>
      <c r="D683" s="81">
        <f t="shared" si="43"/>
        <v>13370</v>
      </c>
      <c r="E683" s="79" t="s">
        <v>2492</v>
      </c>
      <c r="F683" s="82" t="str">
        <f t="shared" si="40"/>
        <v>insert into ins_premium_det (premium_rcv_code,assorted_code, rec_amount,premium_rcv_detail_code,remaining_amt, payrec, mode_code,coinsurance_code,class_cd,it_remarks) values</v>
      </c>
      <c r="G683" s="83" t="str">
        <f t="shared" si="41"/>
        <v>('24Sep240082','040000179421','13370',(select max(to_number(i.premium_rcv_detail_code))+1
from ins_premium_det i),'13370','13370','02', '11000003','00','Request by Mr. Omair Ali 25-Sep-2024 allocation no 24Sep240082 ');</v>
      </c>
      <c r="H683" s="84" t="str">
        <f t="shared" si="42"/>
        <v>insert into ins_premium_det (premium_rcv_code,assorted_code, rec_amount,premium_rcv_detail_code,remaining_amt, payrec, mode_code,coinsurance_code,class_cd,it_remarks) values('24Sep240082','040000179421','13370',(select max(to_number(i.premium_rcv_detail_code))+1
from ins_premium_det i),'13370','13370','02', '11000003','00','Request by Mr. Omair Ali 25-Sep-2024 allocation no 24Sep240082 ');</v>
      </c>
    </row>
    <row r="684" spans="1:8" ht="105" x14ac:dyDescent="0.25">
      <c r="A684" t="s">
        <v>796</v>
      </c>
      <c r="B684" s="80" t="str">
        <f>VLOOKUP(A684,[1]Sheet1!$B:$C,2,0)</f>
        <v>040000179422</v>
      </c>
      <c r="C684" s="46">
        <v>13370</v>
      </c>
      <c r="D684" s="81">
        <f t="shared" si="43"/>
        <v>13370</v>
      </c>
      <c r="E684" s="79" t="s">
        <v>2492</v>
      </c>
      <c r="F684" s="82" t="str">
        <f t="shared" si="40"/>
        <v>insert into ins_premium_det (premium_rcv_code,assorted_code, rec_amount,premium_rcv_detail_code,remaining_amt, payrec, mode_code,coinsurance_code,class_cd,it_remarks) values</v>
      </c>
      <c r="G684" s="83" t="str">
        <f t="shared" si="41"/>
        <v>('24Sep240082','040000179422','13370',(select max(to_number(i.premium_rcv_detail_code))+1
from ins_premium_det i),'13370','13370','02', '11000003','00','Request by Mr. Omair Ali 25-Sep-2024 allocation no 24Sep240082 ');</v>
      </c>
      <c r="H684" s="84" t="str">
        <f t="shared" si="42"/>
        <v>insert into ins_premium_det (premium_rcv_code,assorted_code, rec_amount,premium_rcv_detail_code,remaining_amt, payrec, mode_code,coinsurance_code,class_cd,it_remarks) values('24Sep240082','040000179422','13370',(select max(to_number(i.premium_rcv_detail_code))+1
from ins_premium_det i),'13370','13370','02', '11000003','00','Request by Mr. Omair Ali 25-Sep-2024 allocation no 24Sep240082 ');</v>
      </c>
    </row>
    <row r="685" spans="1:8" ht="105" x14ac:dyDescent="0.25">
      <c r="A685" t="s">
        <v>797</v>
      </c>
      <c r="B685" s="80" t="str">
        <f>VLOOKUP(A685,[1]Sheet1!$B:$C,2,0)</f>
        <v>040000179423</v>
      </c>
      <c r="C685" s="46">
        <v>13370</v>
      </c>
      <c r="D685" s="81">
        <f t="shared" si="43"/>
        <v>13370</v>
      </c>
      <c r="E685" s="79" t="s">
        <v>2492</v>
      </c>
      <c r="F685" s="82" t="str">
        <f t="shared" si="40"/>
        <v>insert into ins_premium_det (premium_rcv_code,assorted_code, rec_amount,premium_rcv_detail_code,remaining_amt, payrec, mode_code,coinsurance_code,class_cd,it_remarks) values</v>
      </c>
      <c r="G685" s="83" t="str">
        <f t="shared" si="41"/>
        <v>('24Sep240082','040000179423','13370',(select max(to_number(i.premium_rcv_detail_code))+1
from ins_premium_det i),'13370','13370','02', '11000003','00','Request by Mr. Omair Ali 25-Sep-2024 allocation no 24Sep240082 ');</v>
      </c>
      <c r="H685" s="84" t="str">
        <f t="shared" si="42"/>
        <v>insert into ins_premium_det (premium_rcv_code,assorted_code, rec_amount,premium_rcv_detail_code,remaining_amt, payrec, mode_code,coinsurance_code,class_cd,it_remarks) values('24Sep240082','040000179423','13370',(select max(to_number(i.premium_rcv_detail_code))+1
from ins_premium_det i),'13370','13370','02', '11000003','00','Request by Mr. Omair Ali 25-Sep-2024 allocation no 24Sep240082 ');</v>
      </c>
    </row>
    <row r="686" spans="1:8" ht="105" x14ac:dyDescent="0.25">
      <c r="A686" t="s">
        <v>798</v>
      </c>
      <c r="B686" s="80" t="str">
        <f>VLOOKUP(A686,[1]Sheet1!$B:$C,2,0)</f>
        <v>040000179424</v>
      </c>
      <c r="C686" s="46">
        <v>13370</v>
      </c>
      <c r="D686" s="81">
        <f t="shared" si="43"/>
        <v>13370</v>
      </c>
      <c r="E686" s="79" t="s">
        <v>2492</v>
      </c>
      <c r="F686" s="82" t="str">
        <f t="shared" si="40"/>
        <v>insert into ins_premium_det (premium_rcv_code,assorted_code, rec_amount,premium_rcv_detail_code,remaining_amt, payrec, mode_code,coinsurance_code,class_cd,it_remarks) values</v>
      </c>
      <c r="G686" s="83" t="str">
        <f t="shared" si="41"/>
        <v>('24Sep240082','040000179424','13370',(select max(to_number(i.premium_rcv_detail_code))+1
from ins_premium_det i),'13370','13370','02', '11000003','00','Request by Mr. Omair Ali 25-Sep-2024 allocation no 24Sep240082 ');</v>
      </c>
      <c r="H686" s="84" t="str">
        <f t="shared" si="42"/>
        <v>insert into ins_premium_det (premium_rcv_code,assorted_code, rec_amount,premium_rcv_detail_code,remaining_amt, payrec, mode_code,coinsurance_code,class_cd,it_remarks) values('24Sep240082','040000179424','13370',(select max(to_number(i.premium_rcv_detail_code))+1
from ins_premium_det i),'13370','13370','02', '11000003','00','Request by Mr. Omair Ali 25-Sep-2024 allocation no 24Sep240082 ');</v>
      </c>
    </row>
    <row r="687" spans="1:8" ht="105" x14ac:dyDescent="0.25">
      <c r="A687" t="s">
        <v>799</v>
      </c>
      <c r="B687" s="80" t="str">
        <f>VLOOKUP(A687,[1]Sheet1!$B:$C,2,0)</f>
        <v>040000179425</v>
      </c>
      <c r="C687" s="46">
        <v>12320</v>
      </c>
      <c r="D687" s="81">
        <f t="shared" si="43"/>
        <v>12320</v>
      </c>
      <c r="E687" s="79" t="s">
        <v>2492</v>
      </c>
      <c r="F687" s="82" t="str">
        <f t="shared" si="40"/>
        <v>insert into ins_premium_det (premium_rcv_code,assorted_code, rec_amount,premium_rcv_detail_code,remaining_amt, payrec, mode_code,coinsurance_code,class_cd,it_remarks) values</v>
      </c>
      <c r="G687" s="83" t="str">
        <f t="shared" si="41"/>
        <v>('24Sep240082','040000179425','12320',(select max(to_number(i.premium_rcv_detail_code))+1
from ins_premium_det i),'12320','12320','02', '11000003','00','Request by Mr. Omair Ali 25-Sep-2024 allocation no 24Sep240082 ');</v>
      </c>
      <c r="H687" s="84" t="str">
        <f t="shared" si="42"/>
        <v>insert into ins_premium_det (premium_rcv_code,assorted_code, rec_amount,premium_rcv_detail_code,remaining_amt, payrec, mode_code,coinsurance_code,class_cd,it_remarks) values('24Sep240082','040000179425','12320',(select max(to_number(i.premium_rcv_detail_code))+1
from ins_premium_det i),'12320','12320','02', '11000003','00','Request by Mr. Omair Ali 25-Sep-2024 allocation no 24Sep240082 ');</v>
      </c>
    </row>
    <row r="688" spans="1:8" ht="105" x14ac:dyDescent="0.25">
      <c r="A688" t="s">
        <v>800</v>
      </c>
      <c r="B688" s="80" t="str">
        <f>VLOOKUP(A688,[1]Sheet1!$B:$C,2,0)</f>
        <v>040000179426</v>
      </c>
      <c r="C688" s="46">
        <v>12320</v>
      </c>
      <c r="D688" s="81">
        <f t="shared" si="43"/>
        <v>12320</v>
      </c>
      <c r="E688" s="79" t="s">
        <v>2492</v>
      </c>
      <c r="F688" s="82" t="str">
        <f t="shared" si="40"/>
        <v>insert into ins_premium_det (premium_rcv_code,assorted_code, rec_amount,premium_rcv_detail_code,remaining_amt, payrec, mode_code,coinsurance_code,class_cd,it_remarks) values</v>
      </c>
      <c r="G688" s="83" t="str">
        <f t="shared" si="41"/>
        <v>('24Sep240082','040000179426','12320',(select max(to_number(i.premium_rcv_detail_code))+1
from ins_premium_det i),'12320','12320','02', '11000003','00','Request by Mr. Omair Ali 25-Sep-2024 allocation no 24Sep240082 ');</v>
      </c>
      <c r="H688" s="84" t="str">
        <f t="shared" si="42"/>
        <v>insert into ins_premium_det (premium_rcv_code,assorted_code, rec_amount,premium_rcv_detail_code,remaining_amt, payrec, mode_code,coinsurance_code,class_cd,it_remarks) values('24Sep240082','040000179426','12320',(select max(to_number(i.premium_rcv_detail_code))+1
from ins_premium_det i),'12320','12320','02', '11000003','00','Request by Mr. Omair Ali 25-Sep-2024 allocation no 24Sep240082 ');</v>
      </c>
    </row>
    <row r="689" spans="1:8" ht="105" x14ac:dyDescent="0.25">
      <c r="A689" t="s">
        <v>801</v>
      </c>
      <c r="B689" s="80" t="str">
        <f>VLOOKUP(A689,[1]Sheet1!$B:$C,2,0)</f>
        <v>040000179437</v>
      </c>
      <c r="C689" s="46">
        <v>12320</v>
      </c>
      <c r="D689" s="81">
        <f t="shared" si="43"/>
        <v>12320</v>
      </c>
      <c r="E689" s="79" t="s">
        <v>2492</v>
      </c>
      <c r="F689" s="82" t="str">
        <f t="shared" si="40"/>
        <v>insert into ins_premium_det (premium_rcv_code,assorted_code, rec_amount,premium_rcv_detail_code,remaining_amt, payrec, mode_code,coinsurance_code,class_cd,it_remarks) values</v>
      </c>
      <c r="G689" s="83" t="str">
        <f t="shared" si="41"/>
        <v>('24Sep240082','040000179437','12320',(select max(to_number(i.premium_rcv_detail_code))+1
from ins_premium_det i),'12320','12320','02', '11000003','00','Request by Mr. Omair Ali 25-Sep-2024 allocation no 24Sep240082 ');</v>
      </c>
      <c r="H689" s="84" t="str">
        <f t="shared" si="42"/>
        <v>insert into ins_premium_det (premium_rcv_code,assorted_code, rec_amount,premium_rcv_detail_code,remaining_amt, payrec, mode_code,coinsurance_code,class_cd,it_remarks) values('24Sep240082','040000179437','12320',(select max(to_number(i.premium_rcv_detail_code))+1
from ins_premium_det i),'12320','12320','02', '11000003','00','Request by Mr. Omair Ali 25-Sep-2024 allocation no 24Sep240082 ');</v>
      </c>
    </row>
    <row r="690" spans="1:8" ht="105" x14ac:dyDescent="0.25">
      <c r="A690" t="s">
        <v>802</v>
      </c>
      <c r="B690" s="80" t="str">
        <f>VLOOKUP(A690,[1]Sheet1!$B:$C,2,0)</f>
        <v>040000179438</v>
      </c>
      <c r="C690" s="46">
        <v>12320</v>
      </c>
      <c r="D690" s="81">
        <f t="shared" si="43"/>
        <v>12320</v>
      </c>
      <c r="E690" s="79" t="s">
        <v>2492</v>
      </c>
      <c r="F690" s="82" t="str">
        <f t="shared" si="40"/>
        <v>insert into ins_premium_det (premium_rcv_code,assorted_code, rec_amount,premium_rcv_detail_code,remaining_amt, payrec, mode_code,coinsurance_code,class_cd,it_remarks) values</v>
      </c>
      <c r="G690" s="83" t="str">
        <f t="shared" si="41"/>
        <v>('24Sep240082','040000179438','12320',(select max(to_number(i.premium_rcv_detail_code))+1
from ins_premium_det i),'12320','12320','02', '11000003','00','Request by Mr. Omair Ali 25-Sep-2024 allocation no 24Sep240082 ');</v>
      </c>
      <c r="H690" s="84" t="str">
        <f t="shared" si="42"/>
        <v>insert into ins_premium_det (premium_rcv_code,assorted_code, rec_amount,premium_rcv_detail_code,remaining_amt, payrec, mode_code,coinsurance_code,class_cd,it_remarks) values('24Sep240082','040000179438','12320',(select max(to_number(i.premium_rcv_detail_code))+1
from ins_premium_det i),'12320','12320','02', '11000003','00','Request by Mr. Omair Ali 25-Sep-2024 allocation no 24Sep240082 ');</v>
      </c>
    </row>
    <row r="691" spans="1:8" ht="105" x14ac:dyDescent="0.25">
      <c r="A691" t="s">
        <v>803</v>
      </c>
      <c r="B691" s="80" t="str">
        <f>VLOOKUP(A691,[1]Sheet1!$B:$C,2,0)</f>
        <v>040000179440</v>
      </c>
      <c r="C691" s="46">
        <v>12320</v>
      </c>
      <c r="D691" s="81">
        <f t="shared" si="43"/>
        <v>12320</v>
      </c>
      <c r="E691" s="79" t="s">
        <v>2492</v>
      </c>
      <c r="F691" s="82" t="str">
        <f t="shared" si="40"/>
        <v>insert into ins_premium_det (premium_rcv_code,assorted_code, rec_amount,premium_rcv_detail_code,remaining_amt, payrec, mode_code,coinsurance_code,class_cd,it_remarks) values</v>
      </c>
      <c r="G691" s="83" t="str">
        <f t="shared" si="41"/>
        <v>('24Sep240082','040000179440','12320',(select max(to_number(i.premium_rcv_detail_code))+1
from ins_premium_det i),'12320','12320','02', '11000003','00','Request by Mr. Omair Ali 25-Sep-2024 allocation no 24Sep240082 ');</v>
      </c>
      <c r="H691" s="84" t="str">
        <f t="shared" si="42"/>
        <v>insert into ins_premium_det (premium_rcv_code,assorted_code, rec_amount,premium_rcv_detail_code,remaining_amt, payrec, mode_code,coinsurance_code,class_cd,it_remarks) values('24Sep240082','040000179440','12320',(select max(to_number(i.premium_rcv_detail_code))+1
from ins_premium_det i),'12320','12320','02', '11000003','00','Request by Mr. Omair Ali 25-Sep-2024 allocation no 24Sep240082 ');</v>
      </c>
    </row>
    <row r="692" spans="1:8" ht="105" x14ac:dyDescent="0.25">
      <c r="A692" t="s">
        <v>804</v>
      </c>
      <c r="B692" s="80" t="str">
        <f>VLOOKUP(A692,[1]Sheet1!$B:$C,2,0)</f>
        <v>040000179449</v>
      </c>
      <c r="C692" s="46">
        <v>8800</v>
      </c>
      <c r="D692" s="81">
        <f t="shared" si="43"/>
        <v>8800</v>
      </c>
      <c r="E692" s="79" t="s">
        <v>2492</v>
      </c>
      <c r="F692" s="82" t="str">
        <f t="shared" si="40"/>
        <v>insert into ins_premium_det (premium_rcv_code,assorted_code, rec_amount,premium_rcv_detail_code,remaining_amt, payrec, mode_code,coinsurance_code,class_cd,it_remarks) values</v>
      </c>
      <c r="G692" s="83" t="str">
        <f t="shared" si="41"/>
        <v>('24Sep240082','040000179449','8800',(select max(to_number(i.premium_rcv_detail_code))+1
from ins_premium_det i),'8800','8800','02', '11000003','00','Request by Mr. Omair Ali 25-Sep-2024 allocation no 24Sep240082 ');</v>
      </c>
      <c r="H692" s="84" t="str">
        <f t="shared" si="42"/>
        <v>insert into ins_premium_det (premium_rcv_code,assorted_code, rec_amount,premium_rcv_detail_code,remaining_amt, payrec, mode_code,coinsurance_code,class_cd,it_remarks) values('24Sep240082','040000179449','8800',(select max(to_number(i.premium_rcv_detail_code))+1
from ins_premium_det i),'8800','8800','02', '11000003','00','Request by Mr. Omair Ali 25-Sep-2024 allocation no 24Sep240082 ');</v>
      </c>
    </row>
    <row r="693" spans="1:8" ht="105" x14ac:dyDescent="0.25">
      <c r="A693" t="s">
        <v>805</v>
      </c>
      <c r="B693" s="80" t="str">
        <f>VLOOKUP(A693,[1]Sheet1!$B:$C,2,0)</f>
        <v>040000179455</v>
      </c>
      <c r="C693" s="46">
        <v>8800</v>
      </c>
      <c r="D693" s="81">
        <f t="shared" si="43"/>
        <v>8800</v>
      </c>
      <c r="E693" s="79" t="s">
        <v>2492</v>
      </c>
      <c r="F693" s="82" t="str">
        <f t="shared" si="40"/>
        <v>insert into ins_premium_det (premium_rcv_code,assorted_code, rec_amount,premium_rcv_detail_code,remaining_amt, payrec, mode_code,coinsurance_code,class_cd,it_remarks) values</v>
      </c>
      <c r="G693" s="83" t="str">
        <f t="shared" si="41"/>
        <v>('24Sep240082','040000179455','8800',(select max(to_number(i.premium_rcv_detail_code))+1
from ins_premium_det i),'8800','8800','02', '11000003','00','Request by Mr. Omair Ali 25-Sep-2024 allocation no 24Sep240082 ');</v>
      </c>
      <c r="H693" s="84" t="str">
        <f t="shared" si="42"/>
        <v>insert into ins_premium_det (premium_rcv_code,assorted_code, rec_amount,premium_rcv_detail_code,remaining_amt, payrec, mode_code,coinsurance_code,class_cd,it_remarks) values('24Sep240082','040000179455','8800',(select max(to_number(i.premium_rcv_detail_code))+1
from ins_premium_det i),'8800','8800','02', '11000003','00','Request by Mr. Omair Ali 25-Sep-2024 allocation no 24Sep240082 ');</v>
      </c>
    </row>
    <row r="694" spans="1:8" ht="105" x14ac:dyDescent="0.25">
      <c r="A694" t="s">
        <v>806</v>
      </c>
      <c r="B694" s="80" t="str">
        <f>VLOOKUP(A694,[1]Sheet1!$B:$C,2,0)</f>
        <v>040000179458</v>
      </c>
      <c r="C694" s="46">
        <v>8800</v>
      </c>
      <c r="D694" s="81">
        <f t="shared" si="43"/>
        <v>8800</v>
      </c>
      <c r="E694" s="79" t="s">
        <v>2492</v>
      </c>
      <c r="F694" s="82" t="str">
        <f t="shared" si="40"/>
        <v>insert into ins_premium_det (premium_rcv_code,assorted_code, rec_amount,premium_rcv_detail_code,remaining_amt, payrec, mode_code,coinsurance_code,class_cd,it_remarks) values</v>
      </c>
      <c r="G694" s="83" t="str">
        <f t="shared" si="41"/>
        <v>('24Sep240082','040000179458','8800',(select max(to_number(i.premium_rcv_detail_code))+1
from ins_premium_det i),'8800','8800','02', '11000003','00','Request by Mr. Omair Ali 25-Sep-2024 allocation no 24Sep240082 ');</v>
      </c>
      <c r="H694" s="84" t="str">
        <f t="shared" si="42"/>
        <v>insert into ins_premium_det (premium_rcv_code,assorted_code, rec_amount,premium_rcv_detail_code,remaining_amt, payrec, mode_code,coinsurance_code,class_cd,it_remarks) values('24Sep240082','040000179458','8800',(select max(to_number(i.premium_rcv_detail_code))+1
from ins_premium_det i),'8800','8800','02', '11000003','00','Request by Mr. Omair Ali 25-Sep-2024 allocation no 24Sep240082 ');</v>
      </c>
    </row>
    <row r="695" spans="1:8" ht="105" x14ac:dyDescent="0.25">
      <c r="A695" t="s">
        <v>807</v>
      </c>
      <c r="B695" s="80" t="str">
        <f>VLOOKUP(A695,[1]Sheet1!$B:$C,2,0)</f>
        <v>040000179459</v>
      </c>
      <c r="C695" s="46">
        <v>9550</v>
      </c>
      <c r="D695" s="81">
        <f t="shared" si="43"/>
        <v>9550</v>
      </c>
      <c r="E695" s="79" t="s">
        <v>2492</v>
      </c>
      <c r="F695" s="82" t="str">
        <f t="shared" si="40"/>
        <v>insert into ins_premium_det (premium_rcv_code,assorted_code, rec_amount,premium_rcv_detail_code,remaining_amt, payrec, mode_code,coinsurance_code,class_cd,it_remarks) values</v>
      </c>
      <c r="G695" s="83" t="str">
        <f t="shared" si="41"/>
        <v>('24Sep240082','040000179459','9550',(select max(to_number(i.premium_rcv_detail_code))+1
from ins_premium_det i),'9550','9550','02', '11000003','00','Request by Mr. Omair Ali 25-Sep-2024 allocation no 24Sep240082 ');</v>
      </c>
      <c r="H695" s="84" t="str">
        <f t="shared" si="42"/>
        <v>insert into ins_premium_det (premium_rcv_code,assorted_code, rec_amount,premium_rcv_detail_code,remaining_amt, payrec, mode_code,coinsurance_code,class_cd,it_remarks) values('24Sep240082','040000179459','9550',(select max(to_number(i.premium_rcv_detail_code))+1
from ins_premium_det i),'9550','9550','02', '11000003','00','Request by Mr. Omair Ali 25-Sep-2024 allocation no 24Sep240082 ');</v>
      </c>
    </row>
    <row r="696" spans="1:8" ht="105" x14ac:dyDescent="0.25">
      <c r="A696" t="s">
        <v>808</v>
      </c>
      <c r="B696" s="80" t="str">
        <f>VLOOKUP(A696,[1]Sheet1!$B:$C,2,0)</f>
        <v>040000179483</v>
      </c>
      <c r="C696" s="46">
        <v>9550</v>
      </c>
      <c r="D696" s="81">
        <f t="shared" si="43"/>
        <v>9550</v>
      </c>
      <c r="E696" s="79" t="s">
        <v>2492</v>
      </c>
      <c r="F696" s="82" t="str">
        <f t="shared" si="40"/>
        <v>insert into ins_premium_det (premium_rcv_code,assorted_code, rec_amount,premium_rcv_detail_code,remaining_amt, payrec, mode_code,coinsurance_code,class_cd,it_remarks) values</v>
      </c>
      <c r="G696" s="83" t="str">
        <f t="shared" si="41"/>
        <v>('24Sep240082','040000179483','9550',(select max(to_number(i.premium_rcv_detail_code))+1
from ins_premium_det i),'9550','9550','02', '11000003','00','Request by Mr. Omair Ali 25-Sep-2024 allocation no 24Sep240082 ');</v>
      </c>
      <c r="H696" s="84" t="str">
        <f t="shared" si="42"/>
        <v>insert into ins_premium_det (premium_rcv_code,assorted_code, rec_amount,premium_rcv_detail_code,remaining_amt, payrec, mode_code,coinsurance_code,class_cd,it_remarks) values('24Sep240082','040000179483','9550',(select max(to_number(i.premium_rcv_detail_code))+1
from ins_premium_det i),'9550','9550','02', '11000003','00','Request by Mr. Omair Ali 25-Sep-2024 allocation no 24Sep240082 ');</v>
      </c>
    </row>
    <row r="697" spans="1:8" ht="105" x14ac:dyDescent="0.25">
      <c r="A697" t="s">
        <v>809</v>
      </c>
      <c r="B697" s="80" t="str">
        <f>VLOOKUP(A697,[1]Sheet1!$B:$C,2,0)</f>
        <v>040000179490</v>
      </c>
      <c r="C697" s="46">
        <v>12320</v>
      </c>
      <c r="D697" s="81">
        <f t="shared" si="43"/>
        <v>12320</v>
      </c>
      <c r="E697" s="79" t="s">
        <v>2492</v>
      </c>
      <c r="F697" s="82" t="str">
        <f t="shared" si="40"/>
        <v>insert into ins_premium_det (premium_rcv_code,assorted_code, rec_amount,premium_rcv_detail_code,remaining_amt, payrec, mode_code,coinsurance_code,class_cd,it_remarks) values</v>
      </c>
      <c r="G697" s="83" t="str">
        <f t="shared" si="41"/>
        <v>('24Sep240082','040000179490','12320',(select max(to_number(i.premium_rcv_detail_code))+1
from ins_premium_det i),'12320','12320','02', '11000003','00','Request by Mr. Omair Ali 25-Sep-2024 allocation no 24Sep240082 ');</v>
      </c>
      <c r="H697" s="84" t="str">
        <f t="shared" si="42"/>
        <v>insert into ins_premium_det (premium_rcv_code,assorted_code, rec_amount,premium_rcv_detail_code,remaining_amt, payrec, mode_code,coinsurance_code,class_cd,it_remarks) values('24Sep240082','040000179490','12320',(select max(to_number(i.premium_rcv_detail_code))+1
from ins_premium_det i),'12320','12320','02', '11000003','00','Request by Mr. Omair Ali 25-Sep-2024 allocation no 24Sep240082 ');</v>
      </c>
    </row>
    <row r="698" spans="1:8" ht="105" x14ac:dyDescent="0.25">
      <c r="A698" t="s">
        <v>810</v>
      </c>
      <c r="B698" s="80" t="str">
        <f>VLOOKUP(A698,[1]Sheet1!$B:$C,2,0)</f>
        <v>040000179497</v>
      </c>
      <c r="C698" s="46">
        <v>12320</v>
      </c>
      <c r="D698" s="81">
        <f t="shared" si="43"/>
        <v>12320</v>
      </c>
      <c r="E698" s="79" t="s">
        <v>2492</v>
      </c>
      <c r="F698" s="82" t="str">
        <f t="shared" si="40"/>
        <v>insert into ins_premium_det (premium_rcv_code,assorted_code, rec_amount,premium_rcv_detail_code,remaining_amt, payrec, mode_code,coinsurance_code,class_cd,it_remarks) values</v>
      </c>
      <c r="G698" s="83" t="str">
        <f t="shared" si="41"/>
        <v>('24Sep240082','040000179497','12320',(select max(to_number(i.premium_rcv_detail_code))+1
from ins_premium_det i),'12320','12320','02', '11000003','00','Request by Mr. Omair Ali 25-Sep-2024 allocation no 24Sep240082 ');</v>
      </c>
      <c r="H698" s="84" t="str">
        <f t="shared" si="42"/>
        <v>insert into ins_premium_det (premium_rcv_code,assorted_code, rec_amount,premium_rcv_detail_code,remaining_amt, payrec, mode_code,coinsurance_code,class_cd,it_remarks) values('24Sep240082','040000179497','12320',(select max(to_number(i.premium_rcv_detail_code))+1
from ins_premium_det i),'12320','12320','02', '11000003','00','Request by Mr. Omair Ali 25-Sep-2024 allocation no 24Sep240082 ');</v>
      </c>
    </row>
    <row r="699" spans="1:8" ht="105" x14ac:dyDescent="0.25">
      <c r="A699" t="s">
        <v>811</v>
      </c>
      <c r="B699" s="80" t="str">
        <f>VLOOKUP(A699,[1]Sheet1!$B:$C,2,0)</f>
        <v>040000179498</v>
      </c>
      <c r="C699" s="46">
        <v>12320</v>
      </c>
      <c r="D699" s="81">
        <f t="shared" si="43"/>
        <v>12320</v>
      </c>
      <c r="E699" s="79" t="s">
        <v>2492</v>
      </c>
      <c r="F699" s="82" t="str">
        <f t="shared" si="40"/>
        <v>insert into ins_premium_det (premium_rcv_code,assorted_code, rec_amount,premium_rcv_detail_code,remaining_amt, payrec, mode_code,coinsurance_code,class_cd,it_remarks) values</v>
      </c>
      <c r="G699" s="83" t="str">
        <f t="shared" si="41"/>
        <v>('24Sep240082','040000179498','12320',(select max(to_number(i.premium_rcv_detail_code))+1
from ins_premium_det i),'12320','12320','02', '11000003','00','Request by Mr. Omair Ali 25-Sep-2024 allocation no 24Sep240082 ');</v>
      </c>
      <c r="H699" s="84" t="str">
        <f t="shared" si="42"/>
        <v>insert into ins_premium_det (premium_rcv_code,assorted_code, rec_amount,premium_rcv_detail_code,remaining_amt, payrec, mode_code,coinsurance_code,class_cd,it_remarks) values('24Sep240082','040000179498','12320',(select max(to_number(i.premium_rcv_detail_code))+1
from ins_premium_det i),'12320','12320','02', '11000003','00','Request by Mr. Omair Ali 25-Sep-2024 allocation no 24Sep240082 ');</v>
      </c>
    </row>
    <row r="700" spans="1:8" ht="105" x14ac:dyDescent="0.25">
      <c r="A700" t="s">
        <v>812</v>
      </c>
      <c r="B700" s="80" t="str">
        <f>VLOOKUP(A700,[1]Sheet1!$B:$C,2,0)</f>
        <v>040000179504</v>
      </c>
      <c r="C700" s="46">
        <v>8800</v>
      </c>
      <c r="D700" s="81">
        <f t="shared" si="43"/>
        <v>8800</v>
      </c>
      <c r="E700" s="79" t="s">
        <v>2492</v>
      </c>
      <c r="F700" s="82" t="str">
        <f t="shared" si="40"/>
        <v>insert into ins_premium_det (premium_rcv_code,assorted_code, rec_amount,premium_rcv_detail_code,remaining_amt, payrec, mode_code,coinsurance_code,class_cd,it_remarks) values</v>
      </c>
      <c r="G700" s="83" t="str">
        <f t="shared" si="41"/>
        <v>('24Sep240082','040000179504','8800',(select max(to_number(i.premium_rcv_detail_code))+1
from ins_premium_det i),'8800','8800','02', '11000003','00','Request by Mr. Omair Ali 25-Sep-2024 allocation no 24Sep240082 ');</v>
      </c>
      <c r="H700" s="84" t="str">
        <f t="shared" si="42"/>
        <v>insert into ins_premium_det (premium_rcv_code,assorted_code, rec_amount,premium_rcv_detail_code,remaining_amt, payrec, mode_code,coinsurance_code,class_cd,it_remarks) values('24Sep240082','040000179504','8800',(select max(to_number(i.premium_rcv_detail_code))+1
from ins_premium_det i),'8800','8800','02', '11000003','00','Request by Mr. Omair Ali 25-Sep-2024 allocation no 24Sep240082 ');</v>
      </c>
    </row>
    <row r="701" spans="1:8" ht="105" x14ac:dyDescent="0.25">
      <c r="A701" t="s">
        <v>813</v>
      </c>
      <c r="B701" s="80" t="str">
        <f>VLOOKUP(A701,[1]Sheet1!$B:$C,2,0)</f>
        <v>040000179505</v>
      </c>
      <c r="C701" s="46">
        <v>8800</v>
      </c>
      <c r="D701" s="81">
        <f t="shared" si="43"/>
        <v>8800</v>
      </c>
      <c r="E701" s="79" t="s">
        <v>2492</v>
      </c>
      <c r="F701" s="82" t="str">
        <f t="shared" si="40"/>
        <v>insert into ins_premium_det (premium_rcv_code,assorted_code, rec_amount,premium_rcv_detail_code,remaining_amt, payrec, mode_code,coinsurance_code,class_cd,it_remarks) values</v>
      </c>
      <c r="G701" s="83" t="str">
        <f t="shared" si="41"/>
        <v>('24Sep240082','040000179505','8800',(select max(to_number(i.premium_rcv_detail_code))+1
from ins_premium_det i),'8800','8800','02', '11000003','00','Request by Mr. Omair Ali 25-Sep-2024 allocation no 24Sep240082 ');</v>
      </c>
      <c r="H701" s="84" t="str">
        <f t="shared" si="42"/>
        <v>insert into ins_premium_det (premium_rcv_code,assorted_code, rec_amount,premium_rcv_detail_code,remaining_amt, payrec, mode_code,coinsurance_code,class_cd,it_remarks) values('24Sep240082','040000179505','8800',(select max(to_number(i.premium_rcv_detail_code))+1
from ins_premium_det i),'8800','8800','02', '11000003','00','Request by Mr. Omair Ali 25-Sep-2024 allocation no 24Sep240082 ');</v>
      </c>
    </row>
    <row r="702" spans="1:8" ht="105" x14ac:dyDescent="0.25">
      <c r="A702" t="s">
        <v>814</v>
      </c>
      <c r="B702" s="80" t="str">
        <f>VLOOKUP(A702,[1]Sheet1!$B:$C,2,0)</f>
        <v>040000179506</v>
      </c>
      <c r="C702" s="46">
        <v>8800</v>
      </c>
      <c r="D702" s="81">
        <f t="shared" si="43"/>
        <v>8800</v>
      </c>
      <c r="E702" s="79" t="s">
        <v>2492</v>
      </c>
      <c r="F702" s="82" t="str">
        <f t="shared" si="40"/>
        <v>insert into ins_premium_det (premium_rcv_code,assorted_code, rec_amount,premium_rcv_detail_code,remaining_amt, payrec, mode_code,coinsurance_code,class_cd,it_remarks) values</v>
      </c>
      <c r="G702" s="83" t="str">
        <f t="shared" si="41"/>
        <v>('24Sep240082','040000179506','8800',(select max(to_number(i.premium_rcv_detail_code))+1
from ins_premium_det i),'8800','8800','02', '11000003','00','Request by Mr. Omair Ali 25-Sep-2024 allocation no 24Sep240082 ');</v>
      </c>
      <c r="H702" s="84" t="str">
        <f t="shared" si="42"/>
        <v>insert into ins_premium_det (premium_rcv_code,assorted_code, rec_amount,premium_rcv_detail_code,remaining_amt, payrec, mode_code,coinsurance_code,class_cd,it_remarks) values('24Sep240082','040000179506','8800',(select max(to_number(i.premium_rcv_detail_code))+1
from ins_premium_det i),'8800','8800','02', '11000003','00','Request by Mr. Omair Ali 25-Sep-2024 allocation no 24Sep240082 ');</v>
      </c>
    </row>
    <row r="703" spans="1:8" ht="105" x14ac:dyDescent="0.25">
      <c r="A703" t="s">
        <v>815</v>
      </c>
      <c r="B703" s="80" t="str">
        <f>VLOOKUP(A703,[1]Sheet1!$B:$C,2,0)</f>
        <v>040000179507</v>
      </c>
      <c r="C703" s="46">
        <v>12475</v>
      </c>
      <c r="D703" s="81">
        <f t="shared" si="43"/>
        <v>12475</v>
      </c>
      <c r="E703" s="79" t="s">
        <v>2492</v>
      </c>
      <c r="F703" s="82" t="str">
        <f t="shared" si="40"/>
        <v>insert into ins_premium_det (premium_rcv_code,assorted_code, rec_amount,premium_rcv_detail_code,remaining_amt, payrec, mode_code,coinsurance_code,class_cd,it_remarks) values</v>
      </c>
      <c r="G703" s="83" t="str">
        <f t="shared" si="41"/>
        <v>('24Sep240082','040000179507','12475',(select max(to_number(i.premium_rcv_detail_code))+1
from ins_premium_det i),'12475','12475','02', '11000003','00','Request by Mr. Omair Ali 25-Sep-2024 allocation no 24Sep240082 ');</v>
      </c>
      <c r="H703" s="84" t="str">
        <f t="shared" si="42"/>
        <v>insert into ins_premium_det (premium_rcv_code,assorted_code, rec_amount,premium_rcv_detail_code,remaining_amt, payrec, mode_code,coinsurance_code,class_cd,it_remarks) values('24Sep240082','040000179507','12475',(select max(to_number(i.premium_rcv_detail_code))+1
from ins_premium_det i),'12475','12475','02', '11000003','00','Request by Mr. Omair Ali 25-Sep-2024 allocation no 24Sep240082 ');</v>
      </c>
    </row>
    <row r="704" spans="1:8" ht="105" x14ac:dyDescent="0.25">
      <c r="A704" t="s">
        <v>816</v>
      </c>
      <c r="B704" s="80" t="str">
        <f>VLOOKUP(A704,[1]Sheet1!$B:$C,2,0)</f>
        <v>040000179508</v>
      </c>
      <c r="C704" s="46">
        <v>12320</v>
      </c>
      <c r="D704" s="81">
        <f t="shared" si="43"/>
        <v>12320</v>
      </c>
      <c r="E704" s="79" t="s">
        <v>2492</v>
      </c>
      <c r="F704" s="82" t="str">
        <f t="shared" si="40"/>
        <v>insert into ins_premium_det (premium_rcv_code,assorted_code, rec_amount,premium_rcv_detail_code,remaining_amt, payrec, mode_code,coinsurance_code,class_cd,it_remarks) values</v>
      </c>
      <c r="G704" s="83" t="str">
        <f t="shared" si="41"/>
        <v>('24Sep240082','040000179508','12320',(select max(to_number(i.premium_rcv_detail_code))+1
from ins_premium_det i),'12320','12320','02', '11000003','00','Request by Mr. Omair Ali 25-Sep-2024 allocation no 24Sep240082 ');</v>
      </c>
      <c r="H704" s="84" t="str">
        <f t="shared" si="42"/>
        <v>insert into ins_premium_det (premium_rcv_code,assorted_code, rec_amount,premium_rcv_detail_code,remaining_amt, payrec, mode_code,coinsurance_code,class_cd,it_remarks) values('24Sep240082','040000179508','12320',(select max(to_number(i.premium_rcv_detail_code))+1
from ins_premium_det i),'12320','12320','02', '11000003','00','Request by Mr. Omair Ali 25-Sep-2024 allocation no 24Sep240082 ');</v>
      </c>
    </row>
    <row r="705" spans="1:8" ht="105" x14ac:dyDescent="0.25">
      <c r="A705" t="s">
        <v>817</v>
      </c>
      <c r="B705" s="80" t="str">
        <f>VLOOKUP(A705,[1]Sheet1!$B:$C,2,0)</f>
        <v>040000179509</v>
      </c>
      <c r="C705" s="46">
        <v>12320</v>
      </c>
      <c r="D705" s="81">
        <f t="shared" si="43"/>
        <v>12320</v>
      </c>
      <c r="E705" s="79" t="s">
        <v>2492</v>
      </c>
      <c r="F705" s="82" t="str">
        <f t="shared" si="40"/>
        <v>insert into ins_premium_det (premium_rcv_code,assorted_code, rec_amount,premium_rcv_detail_code,remaining_amt, payrec, mode_code,coinsurance_code,class_cd,it_remarks) values</v>
      </c>
      <c r="G705" s="83" t="str">
        <f t="shared" si="41"/>
        <v>('24Sep240082','040000179509','12320',(select max(to_number(i.premium_rcv_detail_code))+1
from ins_premium_det i),'12320','12320','02', '11000003','00','Request by Mr. Omair Ali 25-Sep-2024 allocation no 24Sep240082 ');</v>
      </c>
      <c r="H705" s="84" t="str">
        <f t="shared" si="42"/>
        <v>insert into ins_premium_det (premium_rcv_code,assorted_code, rec_amount,premium_rcv_detail_code,remaining_amt, payrec, mode_code,coinsurance_code,class_cd,it_remarks) values('24Sep240082','040000179509','12320',(select max(to_number(i.premium_rcv_detail_code))+1
from ins_premium_det i),'12320','12320','02', '11000003','00','Request by Mr. Omair Ali 25-Sep-2024 allocation no 24Sep240082 ');</v>
      </c>
    </row>
    <row r="706" spans="1:8" ht="105" x14ac:dyDescent="0.25">
      <c r="A706" t="s">
        <v>818</v>
      </c>
      <c r="B706" s="80" t="str">
        <f>VLOOKUP(A706,[1]Sheet1!$B:$C,2,0)</f>
        <v>040000179522</v>
      </c>
      <c r="C706" s="46">
        <v>12320</v>
      </c>
      <c r="D706" s="81">
        <f t="shared" si="43"/>
        <v>12320</v>
      </c>
      <c r="E706" s="79" t="s">
        <v>2492</v>
      </c>
      <c r="F706" s="82" t="str">
        <f t="shared" ref="F706:F769" si="4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06" s="83" t="str">
        <f t="shared" si="41"/>
        <v>('24Sep240082','040000179522','12320',(select max(to_number(i.premium_rcv_detail_code))+1
from ins_premium_det i),'12320','12320','02', '11000003','00','Request by Mr. Omair Ali 25-Sep-2024 allocation no 24Sep240082 ');</v>
      </c>
      <c r="H706" s="84" t="str">
        <f t="shared" si="42"/>
        <v>insert into ins_premium_det (premium_rcv_code,assorted_code, rec_amount,premium_rcv_detail_code,remaining_amt, payrec, mode_code,coinsurance_code,class_cd,it_remarks) values('24Sep240082','040000179522','12320',(select max(to_number(i.premium_rcv_detail_code))+1
from ins_premium_det i),'12320','12320','02', '11000003','00','Request by Mr. Omair Ali 25-Sep-2024 allocation no 24Sep240082 ');</v>
      </c>
    </row>
    <row r="707" spans="1:8" ht="105" x14ac:dyDescent="0.25">
      <c r="A707" t="s">
        <v>819</v>
      </c>
      <c r="B707" s="80" t="str">
        <f>VLOOKUP(A707,[1]Sheet1!$B:$C,2,0)</f>
        <v>040000179527</v>
      </c>
      <c r="C707" s="46">
        <v>12320</v>
      </c>
      <c r="D707" s="81">
        <f t="shared" si="43"/>
        <v>12320</v>
      </c>
      <c r="E707" s="79" t="s">
        <v>2492</v>
      </c>
      <c r="F707" s="82" t="str">
        <f t="shared" si="44"/>
        <v>insert into ins_premium_det (premium_rcv_code,assorted_code, rec_amount,premium_rcv_detail_code,remaining_amt, payrec, mode_code,coinsurance_code,class_cd,it_remarks) values</v>
      </c>
      <c r="G707" s="83" t="str">
        <f t="shared" ref="G707:G770" si="45">"('"&amp;E707&amp;"','"&amp;B707&amp;"','"&amp;D707&amp;"',(select max(to_number(i.premium_rcv_detail_code))+1
from ins_premium_det i),'"&amp;D707&amp;"','"&amp;D707&amp;"','02', '11000003','00','Request by Mr. Omair Ali 25-Sep-2024 allocation no 24Sep240082 ');"</f>
        <v>('24Sep240082','040000179527','12320',(select max(to_number(i.premium_rcv_detail_code))+1
from ins_premium_det i),'12320','12320','02', '11000003','00','Request by Mr. Omair Ali 25-Sep-2024 allocation no 24Sep240082 ');</v>
      </c>
      <c r="H707" s="84" t="str">
        <f t="shared" ref="H707:H770" si="46">F707&amp;G707</f>
        <v>insert into ins_premium_det (premium_rcv_code,assorted_code, rec_amount,premium_rcv_detail_code,remaining_amt, payrec, mode_code,coinsurance_code,class_cd,it_remarks) values('24Sep240082','040000179527','12320',(select max(to_number(i.premium_rcv_detail_code))+1
from ins_premium_det i),'12320','12320','02', '11000003','00','Request by Mr. Omair Ali 25-Sep-2024 allocation no 24Sep240082 ');</v>
      </c>
    </row>
    <row r="708" spans="1:8" ht="105" x14ac:dyDescent="0.25">
      <c r="A708" t="s">
        <v>820</v>
      </c>
      <c r="B708" s="80" t="str">
        <f>VLOOKUP(A708,[1]Sheet1!$B:$C,2,0)</f>
        <v>040000179528</v>
      </c>
      <c r="C708" s="46">
        <v>12320</v>
      </c>
      <c r="D708" s="81">
        <f t="shared" ref="D708:D771" si="47">ROUND(C708,0)</f>
        <v>12320</v>
      </c>
      <c r="E708" s="79" t="s">
        <v>2492</v>
      </c>
      <c r="F708" s="82" t="str">
        <f t="shared" si="44"/>
        <v>insert into ins_premium_det (premium_rcv_code,assorted_code, rec_amount,premium_rcv_detail_code,remaining_amt, payrec, mode_code,coinsurance_code,class_cd,it_remarks) values</v>
      </c>
      <c r="G708" s="83" t="str">
        <f t="shared" si="45"/>
        <v>('24Sep240082','040000179528','12320',(select max(to_number(i.premium_rcv_detail_code))+1
from ins_premium_det i),'12320','12320','02', '11000003','00','Request by Mr. Omair Ali 25-Sep-2024 allocation no 24Sep240082 ');</v>
      </c>
      <c r="H708" s="84" t="str">
        <f t="shared" si="46"/>
        <v>insert into ins_premium_det (premium_rcv_code,assorted_code, rec_amount,premium_rcv_detail_code,remaining_amt, payrec, mode_code,coinsurance_code,class_cd,it_remarks) values('24Sep240082','040000179528','12320',(select max(to_number(i.premium_rcv_detail_code))+1
from ins_premium_det i),'12320','12320','02', '11000003','00','Request by Mr. Omair Ali 25-Sep-2024 allocation no 24Sep240082 ');</v>
      </c>
    </row>
    <row r="709" spans="1:8" ht="105" x14ac:dyDescent="0.25">
      <c r="A709" t="s">
        <v>821</v>
      </c>
      <c r="B709" s="80" t="str">
        <f>VLOOKUP(A709,[1]Sheet1!$B:$C,2,0)</f>
        <v>040000179530</v>
      </c>
      <c r="C709" s="46">
        <v>8800</v>
      </c>
      <c r="D709" s="81">
        <f t="shared" si="47"/>
        <v>8800</v>
      </c>
      <c r="E709" s="79" t="s">
        <v>2492</v>
      </c>
      <c r="F709" s="82" t="str">
        <f t="shared" si="44"/>
        <v>insert into ins_premium_det (premium_rcv_code,assorted_code, rec_amount,premium_rcv_detail_code,remaining_amt, payrec, mode_code,coinsurance_code,class_cd,it_remarks) values</v>
      </c>
      <c r="G709" s="83" t="str">
        <f t="shared" si="45"/>
        <v>('24Sep240082','040000179530','8800',(select max(to_number(i.premium_rcv_detail_code))+1
from ins_premium_det i),'8800','8800','02', '11000003','00','Request by Mr. Omair Ali 25-Sep-2024 allocation no 24Sep240082 ');</v>
      </c>
      <c r="H709" s="84" t="str">
        <f t="shared" si="46"/>
        <v>insert into ins_premium_det (premium_rcv_code,assorted_code, rec_amount,premium_rcv_detail_code,remaining_amt, payrec, mode_code,coinsurance_code,class_cd,it_remarks) values('24Sep240082','040000179530','8800',(select max(to_number(i.premium_rcv_detail_code))+1
from ins_premium_det i),'8800','8800','02', '11000003','00','Request by Mr. Omair Ali 25-Sep-2024 allocation no 24Sep240082 ');</v>
      </c>
    </row>
    <row r="710" spans="1:8" ht="105" x14ac:dyDescent="0.25">
      <c r="A710" t="s">
        <v>822</v>
      </c>
      <c r="B710" s="80" t="str">
        <f>VLOOKUP(A710,[1]Sheet1!$B:$C,2,0)</f>
        <v>040000179532</v>
      </c>
      <c r="C710" s="46">
        <v>12320</v>
      </c>
      <c r="D710" s="81">
        <f t="shared" si="47"/>
        <v>12320</v>
      </c>
      <c r="E710" s="79" t="s">
        <v>2492</v>
      </c>
      <c r="F710" s="82" t="str">
        <f t="shared" si="44"/>
        <v>insert into ins_premium_det (premium_rcv_code,assorted_code, rec_amount,premium_rcv_detail_code,remaining_amt, payrec, mode_code,coinsurance_code,class_cd,it_remarks) values</v>
      </c>
      <c r="G710" s="83" t="str">
        <f t="shared" si="45"/>
        <v>('24Sep240082','040000179532','12320',(select max(to_number(i.premium_rcv_detail_code))+1
from ins_premium_det i),'12320','12320','02', '11000003','00','Request by Mr. Omair Ali 25-Sep-2024 allocation no 24Sep240082 ');</v>
      </c>
      <c r="H710" s="84" t="str">
        <f t="shared" si="46"/>
        <v>insert into ins_premium_det (premium_rcv_code,assorted_code, rec_amount,premium_rcv_detail_code,remaining_amt, payrec, mode_code,coinsurance_code,class_cd,it_remarks) values('24Sep240082','040000179532','12320',(select max(to_number(i.premium_rcv_detail_code))+1
from ins_premium_det i),'12320','12320','02', '11000003','00','Request by Mr. Omair Ali 25-Sep-2024 allocation no 24Sep240082 ');</v>
      </c>
    </row>
    <row r="711" spans="1:8" ht="105" x14ac:dyDescent="0.25">
      <c r="A711" t="s">
        <v>823</v>
      </c>
      <c r="B711" s="80" t="str">
        <f>VLOOKUP(A711,[1]Sheet1!$B:$C,2,0)</f>
        <v>040000179535</v>
      </c>
      <c r="C711" s="46">
        <v>12320</v>
      </c>
      <c r="D711" s="81">
        <f t="shared" si="47"/>
        <v>12320</v>
      </c>
      <c r="E711" s="79" t="s">
        <v>2492</v>
      </c>
      <c r="F711" s="82" t="str">
        <f t="shared" si="44"/>
        <v>insert into ins_premium_det (premium_rcv_code,assorted_code, rec_amount,premium_rcv_detail_code,remaining_amt, payrec, mode_code,coinsurance_code,class_cd,it_remarks) values</v>
      </c>
      <c r="G711" s="83" t="str">
        <f t="shared" si="45"/>
        <v>('24Sep240082','040000179535','12320',(select max(to_number(i.premium_rcv_detail_code))+1
from ins_premium_det i),'12320','12320','02', '11000003','00','Request by Mr. Omair Ali 25-Sep-2024 allocation no 24Sep240082 ');</v>
      </c>
      <c r="H711" s="84" t="str">
        <f t="shared" si="46"/>
        <v>insert into ins_premium_det (premium_rcv_code,assorted_code, rec_amount,premium_rcv_detail_code,remaining_amt, payrec, mode_code,coinsurance_code,class_cd,it_remarks) values('24Sep240082','040000179535','12320',(select max(to_number(i.premium_rcv_detail_code))+1
from ins_premium_det i),'12320','12320','02', '11000003','00','Request by Mr. Omair Ali 25-Sep-2024 allocation no 24Sep240082 ');</v>
      </c>
    </row>
    <row r="712" spans="1:8" ht="105" x14ac:dyDescent="0.25">
      <c r="A712" t="s">
        <v>824</v>
      </c>
      <c r="B712" s="80" t="str">
        <f>VLOOKUP(A712,[1]Sheet1!$B:$C,2,0)</f>
        <v>040000179536</v>
      </c>
      <c r="C712" s="46">
        <v>12320</v>
      </c>
      <c r="D712" s="81">
        <f t="shared" si="47"/>
        <v>12320</v>
      </c>
      <c r="E712" s="79" t="s">
        <v>2492</v>
      </c>
      <c r="F712" s="82" t="str">
        <f t="shared" si="44"/>
        <v>insert into ins_premium_det (premium_rcv_code,assorted_code, rec_amount,premium_rcv_detail_code,remaining_amt, payrec, mode_code,coinsurance_code,class_cd,it_remarks) values</v>
      </c>
      <c r="G712" s="83" t="str">
        <f t="shared" si="45"/>
        <v>('24Sep240082','040000179536','12320',(select max(to_number(i.premium_rcv_detail_code))+1
from ins_premium_det i),'12320','12320','02', '11000003','00','Request by Mr. Omair Ali 25-Sep-2024 allocation no 24Sep240082 ');</v>
      </c>
      <c r="H712" s="84" t="str">
        <f t="shared" si="46"/>
        <v>insert into ins_premium_det (premium_rcv_code,assorted_code, rec_amount,premium_rcv_detail_code,remaining_amt, payrec, mode_code,coinsurance_code,class_cd,it_remarks) values('24Sep240082','040000179536','12320',(select max(to_number(i.premium_rcv_detail_code))+1
from ins_premium_det i),'12320','12320','02', '11000003','00','Request by Mr. Omair Ali 25-Sep-2024 allocation no 24Sep240082 ');</v>
      </c>
    </row>
    <row r="713" spans="1:8" ht="105" x14ac:dyDescent="0.25">
      <c r="A713" t="s">
        <v>825</v>
      </c>
      <c r="B713" s="80" t="str">
        <f>VLOOKUP(A713,[1]Sheet1!$B:$C,2,0)</f>
        <v>040000179542</v>
      </c>
      <c r="C713" s="46">
        <v>12320</v>
      </c>
      <c r="D713" s="81">
        <f t="shared" si="47"/>
        <v>12320</v>
      </c>
      <c r="E713" s="79" t="s">
        <v>2492</v>
      </c>
      <c r="F713" s="82" t="str">
        <f t="shared" si="44"/>
        <v>insert into ins_premium_det (premium_rcv_code,assorted_code, rec_amount,premium_rcv_detail_code,remaining_amt, payrec, mode_code,coinsurance_code,class_cd,it_remarks) values</v>
      </c>
      <c r="G713" s="83" t="str">
        <f t="shared" si="45"/>
        <v>('24Sep240082','040000179542','12320',(select max(to_number(i.premium_rcv_detail_code))+1
from ins_premium_det i),'12320','12320','02', '11000003','00','Request by Mr. Omair Ali 25-Sep-2024 allocation no 24Sep240082 ');</v>
      </c>
      <c r="H713" s="84" t="str">
        <f t="shared" si="46"/>
        <v>insert into ins_premium_det (premium_rcv_code,assorted_code, rec_amount,premium_rcv_detail_code,remaining_amt, payrec, mode_code,coinsurance_code,class_cd,it_remarks) values('24Sep240082','040000179542','12320',(select max(to_number(i.premium_rcv_detail_code))+1
from ins_premium_det i),'12320','12320','02', '11000003','00','Request by Mr. Omair Ali 25-Sep-2024 allocation no 24Sep240082 ');</v>
      </c>
    </row>
    <row r="714" spans="1:8" ht="105" x14ac:dyDescent="0.25">
      <c r="A714" t="s">
        <v>826</v>
      </c>
      <c r="B714" s="80" t="str">
        <f>VLOOKUP(A714,[1]Sheet1!$B:$C,2,0)</f>
        <v>040000179544</v>
      </c>
      <c r="C714" s="46">
        <v>13370</v>
      </c>
      <c r="D714" s="81">
        <f t="shared" si="47"/>
        <v>13370</v>
      </c>
      <c r="E714" s="79" t="s">
        <v>2492</v>
      </c>
      <c r="F714" s="82" t="str">
        <f t="shared" si="44"/>
        <v>insert into ins_premium_det (premium_rcv_code,assorted_code, rec_amount,premium_rcv_detail_code,remaining_amt, payrec, mode_code,coinsurance_code,class_cd,it_remarks) values</v>
      </c>
      <c r="G714" s="83" t="str">
        <f t="shared" si="45"/>
        <v>('24Sep240082','040000179544','13370',(select max(to_number(i.premium_rcv_detail_code))+1
from ins_premium_det i),'13370','13370','02', '11000003','00','Request by Mr. Omair Ali 25-Sep-2024 allocation no 24Sep240082 ');</v>
      </c>
      <c r="H714" s="84" t="str">
        <f t="shared" si="46"/>
        <v>insert into ins_premium_det (premium_rcv_code,assorted_code, rec_amount,premium_rcv_detail_code,remaining_amt, payrec, mode_code,coinsurance_code,class_cd,it_remarks) values('24Sep240082','040000179544','13370',(select max(to_number(i.premium_rcv_detail_code))+1
from ins_premium_det i),'13370','13370','02', '11000003','00','Request by Mr. Omair Ali 25-Sep-2024 allocation no 24Sep240082 ');</v>
      </c>
    </row>
    <row r="715" spans="1:8" ht="105" x14ac:dyDescent="0.25">
      <c r="A715" t="s">
        <v>827</v>
      </c>
      <c r="B715" s="80" t="str">
        <f>VLOOKUP(A715,[1]Sheet1!$B:$C,2,0)</f>
        <v>040000179545</v>
      </c>
      <c r="C715" s="46">
        <v>13370</v>
      </c>
      <c r="D715" s="81">
        <f t="shared" si="47"/>
        <v>13370</v>
      </c>
      <c r="E715" s="79" t="s">
        <v>2492</v>
      </c>
      <c r="F715" s="82" t="str">
        <f t="shared" si="44"/>
        <v>insert into ins_premium_det (premium_rcv_code,assorted_code, rec_amount,premium_rcv_detail_code,remaining_amt, payrec, mode_code,coinsurance_code,class_cd,it_remarks) values</v>
      </c>
      <c r="G715" s="83" t="str">
        <f t="shared" si="45"/>
        <v>('24Sep240082','040000179545','13370',(select max(to_number(i.premium_rcv_detail_code))+1
from ins_premium_det i),'13370','13370','02', '11000003','00','Request by Mr. Omair Ali 25-Sep-2024 allocation no 24Sep240082 ');</v>
      </c>
      <c r="H715" s="84" t="str">
        <f t="shared" si="46"/>
        <v>insert into ins_premium_det (premium_rcv_code,assorted_code, rec_amount,premium_rcv_detail_code,remaining_amt, payrec, mode_code,coinsurance_code,class_cd,it_remarks) values('24Sep240082','040000179545','13370',(select max(to_number(i.premium_rcv_detail_code))+1
from ins_premium_det i),'13370','13370','02', '11000003','00','Request by Mr. Omair Ali 25-Sep-2024 allocation no 24Sep240082 ');</v>
      </c>
    </row>
    <row r="716" spans="1:8" ht="105" x14ac:dyDescent="0.25">
      <c r="A716" t="s">
        <v>828</v>
      </c>
      <c r="B716" s="80" t="str">
        <f>VLOOKUP(A716,[1]Sheet1!$B:$C,2,0)</f>
        <v>040000179546</v>
      </c>
      <c r="C716" s="46">
        <v>12320</v>
      </c>
      <c r="D716" s="81">
        <f t="shared" si="47"/>
        <v>12320</v>
      </c>
      <c r="E716" s="79" t="s">
        <v>2492</v>
      </c>
      <c r="F716" s="82" t="str">
        <f t="shared" si="44"/>
        <v>insert into ins_premium_det (premium_rcv_code,assorted_code, rec_amount,premium_rcv_detail_code,remaining_amt, payrec, mode_code,coinsurance_code,class_cd,it_remarks) values</v>
      </c>
      <c r="G716" s="83" t="str">
        <f t="shared" si="45"/>
        <v>('24Sep240082','040000179546','12320',(select max(to_number(i.premium_rcv_detail_code))+1
from ins_premium_det i),'12320','12320','02', '11000003','00','Request by Mr. Omair Ali 25-Sep-2024 allocation no 24Sep240082 ');</v>
      </c>
      <c r="H716" s="84" t="str">
        <f t="shared" si="46"/>
        <v>insert into ins_premium_det (premium_rcv_code,assorted_code, rec_amount,premium_rcv_detail_code,remaining_amt, payrec, mode_code,coinsurance_code,class_cd,it_remarks) values('24Sep240082','040000179546','12320',(select max(to_number(i.premium_rcv_detail_code))+1
from ins_premium_det i),'12320','12320','02', '11000003','00','Request by Mr. Omair Ali 25-Sep-2024 allocation no 24Sep240082 ');</v>
      </c>
    </row>
    <row r="717" spans="1:8" ht="105" x14ac:dyDescent="0.25">
      <c r="A717" t="s">
        <v>829</v>
      </c>
      <c r="B717" s="80" t="str">
        <f>VLOOKUP(A717,[1]Sheet1!$B:$C,2,0)</f>
        <v>040000179553</v>
      </c>
      <c r="C717" s="46">
        <v>13370</v>
      </c>
      <c r="D717" s="81">
        <f t="shared" si="47"/>
        <v>13370</v>
      </c>
      <c r="E717" s="79" t="s">
        <v>2492</v>
      </c>
      <c r="F717" s="82" t="str">
        <f t="shared" si="44"/>
        <v>insert into ins_premium_det (premium_rcv_code,assorted_code, rec_amount,premium_rcv_detail_code,remaining_amt, payrec, mode_code,coinsurance_code,class_cd,it_remarks) values</v>
      </c>
      <c r="G717" s="83" t="str">
        <f t="shared" si="45"/>
        <v>('24Sep240082','040000179553','13370',(select max(to_number(i.premium_rcv_detail_code))+1
from ins_premium_det i),'13370','13370','02', '11000003','00','Request by Mr. Omair Ali 25-Sep-2024 allocation no 24Sep240082 ');</v>
      </c>
      <c r="H717" s="84" t="str">
        <f t="shared" si="46"/>
        <v>insert into ins_premium_det (premium_rcv_code,assorted_code, rec_amount,premium_rcv_detail_code,remaining_amt, payrec, mode_code,coinsurance_code,class_cd,it_remarks) values('24Sep240082','040000179553','13370',(select max(to_number(i.premium_rcv_detail_code))+1
from ins_premium_det i),'13370','13370','02', '11000003','00','Request by Mr. Omair Ali 25-Sep-2024 allocation no 24Sep240082 ');</v>
      </c>
    </row>
    <row r="718" spans="1:8" ht="105" x14ac:dyDescent="0.25">
      <c r="A718" t="s">
        <v>830</v>
      </c>
      <c r="B718" s="80" t="str">
        <f>VLOOKUP(A718,[1]Sheet1!$B:$C,2,0)</f>
        <v>040000179554</v>
      </c>
      <c r="C718" s="46">
        <v>13370</v>
      </c>
      <c r="D718" s="81">
        <f t="shared" si="47"/>
        <v>13370</v>
      </c>
      <c r="E718" s="79" t="s">
        <v>2492</v>
      </c>
      <c r="F718" s="82" t="str">
        <f t="shared" si="44"/>
        <v>insert into ins_premium_det (premium_rcv_code,assorted_code, rec_amount,premium_rcv_detail_code,remaining_amt, payrec, mode_code,coinsurance_code,class_cd,it_remarks) values</v>
      </c>
      <c r="G718" s="83" t="str">
        <f t="shared" si="45"/>
        <v>('24Sep240082','040000179554','13370',(select max(to_number(i.premium_rcv_detail_code))+1
from ins_premium_det i),'13370','13370','02', '11000003','00','Request by Mr. Omair Ali 25-Sep-2024 allocation no 24Sep240082 ');</v>
      </c>
      <c r="H718" s="84" t="str">
        <f t="shared" si="46"/>
        <v>insert into ins_premium_det (premium_rcv_code,assorted_code, rec_amount,premium_rcv_detail_code,remaining_amt, payrec, mode_code,coinsurance_code,class_cd,it_remarks) values('24Sep240082','040000179554','13370',(select max(to_number(i.premium_rcv_detail_code))+1
from ins_premium_det i),'13370','13370','02', '11000003','00','Request by Mr. Omair Ali 25-Sep-2024 allocation no 24Sep240082 ');</v>
      </c>
    </row>
    <row r="719" spans="1:8" ht="105" x14ac:dyDescent="0.25">
      <c r="A719" t="s">
        <v>831</v>
      </c>
      <c r="B719" s="80" t="str">
        <f>VLOOKUP(A719,[1]Sheet1!$B:$C,2,0)</f>
        <v>040000179561</v>
      </c>
      <c r="C719" s="46">
        <v>13370</v>
      </c>
      <c r="D719" s="81">
        <f t="shared" si="47"/>
        <v>13370</v>
      </c>
      <c r="E719" s="79" t="s">
        <v>2492</v>
      </c>
      <c r="F719" s="82" t="str">
        <f t="shared" si="44"/>
        <v>insert into ins_premium_det (premium_rcv_code,assorted_code, rec_amount,premium_rcv_detail_code,remaining_amt, payrec, mode_code,coinsurance_code,class_cd,it_remarks) values</v>
      </c>
      <c r="G719" s="83" t="str">
        <f t="shared" si="45"/>
        <v>('24Sep240082','040000179561','13370',(select max(to_number(i.premium_rcv_detail_code))+1
from ins_premium_det i),'13370','13370','02', '11000003','00','Request by Mr. Omair Ali 25-Sep-2024 allocation no 24Sep240082 ');</v>
      </c>
      <c r="H719" s="84" t="str">
        <f t="shared" si="46"/>
        <v>insert into ins_premium_det (premium_rcv_code,assorted_code, rec_amount,premium_rcv_detail_code,remaining_amt, payrec, mode_code,coinsurance_code,class_cd,it_remarks) values('24Sep240082','040000179561','13370',(select max(to_number(i.premium_rcv_detail_code))+1
from ins_premium_det i),'13370','13370','02', '11000003','00','Request by Mr. Omair Ali 25-Sep-2024 allocation no 24Sep240082 ');</v>
      </c>
    </row>
    <row r="720" spans="1:8" ht="105" x14ac:dyDescent="0.25">
      <c r="A720" t="s">
        <v>832</v>
      </c>
      <c r="B720" s="80" t="str">
        <f>VLOOKUP(A720,[1]Sheet1!$B:$C,2,0)</f>
        <v>040000179562</v>
      </c>
      <c r="C720" s="46">
        <v>19145</v>
      </c>
      <c r="D720" s="81">
        <f t="shared" si="47"/>
        <v>19145</v>
      </c>
      <c r="E720" s="79" t="s">
        <v>2492</v>
      </c>
      <c r="F720" s="82" t="str">
        <f t="shared" si="44"/>
        <v>insert into ins_premium_det (premium_rcv_code,assorted_code, rec_amount,premium_rcv_detail_code,remaining_amt, payrec, mode_code,coinsurance_code,class_cd,it_remarks) values</v>
      </c>
      <c r="G720" s="83" t="str">
        <f t="shared" si="45"/>
        <v>('24Sep240082','040000179562','19145',(select max(to_number(i.premium_rcv_detail_code))+1
from ins_premium_det i),'19145','19145','02', '11000003','00','Request by Mr. Omair Ali 25-Sep-2024 allocation no 24Sep240082 ');</v>
      </c>
      <c r="H720" s="84" t="str">
        <f t="shared" si="46"/>
        <v>insert into ins_premium_det (premium_rcv_code,assorted_code, rec_amount,premium_rcv_detail_code,remaining_amt, payrec, mode_code,coinsurance_code,class_cd,it_remarks) values('24Sep240082','040000179562','19145',(select max(to_number(i.premium_rcv_detail_code))+1
from ins_premium_det i),'19145','19145','02', '11000003','00','Request by Mr. Omair Ali 25-Sep-2024 allocation no 24Sep240082 ');</v>
      </c>
    </row>
    <row r="721" spans="1:8" ht="105" x14ac:dyDescent="0.25">
      <c r="A721" t="s">
        <v>833</v>
      </c>
      <c r="B721" s="80" t="str">
        <f>VLOOKUP(A721,[1]Sheet1!$B:$C,2,0)</f>
        <v>040000179563</v>
      </c>
      <c r="C721" s="46">
        <v>19145</v>
      </c>
      <c r="D721" s="81">
        <f t="shared" si="47"/>
        <v>19145</v>
      </c>
      <c r="E721" s="79" t="s">
        <v>2492</v>
      </c>
      <c r="F721" s="82" t="str">
        <f t="shared" si="44"/>
        <v>insert into ins_premium_det (premium_rcv_code,assorted_code, rec_amount,premium_rcv_detail_code,remaining_amt, payrec, mode_code,coinsurance_code,class_cd,it_remarks) values</v>
      </c>
      <c r="G721" s="83" t="str">
        <f t="shared" si="45"/>
        <v>('24Sep240082','040000179563','19145',(select max(to_number(i.premium_rcv_detail_code))+1
from ins_premium_det i),'19145','19145','02', '11000003','00','Request by Mr. Omair Ali 25-Sep-2024 allocation no 24Sep240082 ');</v>
      </c>
      <c r="H721" s="84" t="str">
        <f t="shared" si="46"/>
        <v>insert into ins_premium_det (premium_rcv_code,assorted_code, rec_amount,premium_rcv_detail_code,remaining_amt, payrec, mode_code,coinsurance_code,class_cd,it_remarks) values('24Sep240082','040000179563','19145',(select max(to_number(i.premium_rcv_detail_code))+1
from ins_premium_det i),'19145','19145','02', '11000003','00','Request by Mr. Omair Ali 25-Sep-2024 allocation no 24Sep240082 ');</v>
      </c>
    </row>
    <row r="722" spans="1:8" ht="105" x14ac:dyDescent="0.25">
      <c r="A722" t="s">
        <v>834</v>
      </c>
      <c r="B722" s="80" t="str">
        <f>VLOOKUP(A722,[1]Sheet1!$B:$C,2,0)</f>
        <v>040000179564</v>
      </c>
      <c r="C722" s="46">
        <v>12320</v>
      </c>
      <c r="D722" s="81">
        <f t="shared" si="47"/>
        <v>12320</v>
      </c>
      <c r="E722" s="79" t="s">
        <v>2492</v>
      </c>
      <c r="F722" s="82" t="str">
        <f t="shared" si="44"/>
        <v>insert into ins_premium_det (premium_rcv_code,assorted_code, rec_amount,premium_rcv_detail_code,remaining_amt, payrec, mode_code,coinsurance_code,class_cd,it_remarks) values</v>
      </c>
      <c r="G722" s="83" t="str">
        <f t="shared" si="45"/>
        <v>('24Sep240082','040000179564','12320',(select max(to_number(i.premium_rcv_detail_code))+1
from ins_premium_det i),'12320','12320','02', '11000003','00','Request by Mr. Omair Ali 25-Sep-2024 allocation no 24Sep240082 ');</v>
      </c>
      <c r="H722" s="84" t="str">
        <f t="shared" si="46"/>
        <v>insert into ins_premium_det (premium_rcv_code,assorted_code, rec_amount,premium_rcv_detail_code,remaining_amt, payrec, mode_code,coinsurance_code,class_cd,it_remarks) values('24Sep240082','040000179564','12320',(select max(to_number(i.premium_rcv_detail_code))+1
from ins_premium_det i),'12320','12320','02', '11000003','00','Request by Mr. Omair Ali 25-Sep-2024 allocation no 24Sep240082 ');</v>
      </c>
    </row>
    <row r="723" spans="1:8" ht="105" x14ac:dyDescent="0.25">
      <c r="A723" t="s">
        <v>835</v>
      </c>
      <c r="B723" s="80" t="str">
        <f>VLOOKUP(A723,[1]Sheet1!$B:$C,2,0)</f>
        <v>040000179565</v>
      </c>
      <c r="C723" s="46">
        <v>12320</v>
      </c>
      <c r="D723" s="81">
        <f t="shared" si="47"/>
        <v>12320</v>
      </c>
      <c r="E723" s="79" t="s">
        <v>2492</v>
      </c>
      <c r="F723" s="82" t="str">
        <f t="shared" si="44"/>
        <v>insert into ins_premium_det (premium_rcv_code,assorted_code, rec_amount,premium_rcv_detail_code,remaining_amt, payrec, mode_code,coinsurance_code,class_cd,it_remarks) values</v>
      </c>
      <c r="G723" s="83" t="str">
        <f t="shared" si="45"/>
        <v>('24Sep240082','040000179565','12320',(select max(to_number(i.premium_rcv_detail_code))+1
from ins_premium_det i),'12320','12320','02', '11000003','00','Request by Mr. Omair Ali 25-Sep-2024 allocation no 24Sep240082 ');</v>
      </c>
      <c r="H723" s="84" t="str">
        <f t="shared" si="46"/>
        <v>insert into ins_premium_det (premium_rcv_code,assorted_code, rec_amount,premium_rcv_detail_code,remaining_amt, payrec, mode_code,coinsurance_code,class_cd,it_remarks) values('24Sep240082','040000179565','12320',(select max(to_number(i.premium_rcv_detail_code))+1
from ins_premium_det i),'12320','12320','02', '11000003','00','Request by Mr. Omair Ali 25-Sep-2024 allocation no 24Sep240082 ');</v>
      </c>
    </row>
    <row r="724" spans="1:8" ht="105" x14ac:dyDescent="0.25">
      <c r="A724" t="s">
        <v>836</v>
      </c>
      <c r="B724" s="80" t="str">
        <f>VLOOKUP(A724,[1]Sheet1!$B:$C,2,0)</f>
        <v>040000179587</v>
      </c>
      <c r="C724" s="46">
        <v>9550</v>
      </c>
      <c r="D724" s="81">
        <f t="shared" si="47"/>
        <v>9550</v>
      </c>
      <c r="E724" s="79" t="s">
        <v>2492</v>
      </c>
      <c r="F724" s="82" t="str">
        <f t="shared" si="44"/>
        <v>insert into ins_premium_det (premium_rcv_code,assorted_code, rec_amount,premium_rcv_detail_code,remaining_amt, payrec, mode_code,coinsurance_code,class_cd,it_remarks) values</v>
      </c>
      <c r="G724" s="83" t="str">
        <f t="shared" si="45"/>
        <v>('24Sep240082','040000179587','9550',(select max(to_number(i.premium_rcv_detail_code))+1
from ins_premium_det i),'9550','9550','02', '11000003','00','Request by Mr. Omair Ali 25-Sep-2024 allocation no 24Sep240082 ');</v>
      </c>
      <c r="H724" s="84" t="str">
        <f t="shared" si="46"/>
        <v>insert into ins_premium_det (premium_rcv_code,assorted_code, rec_amount,premium_rcv_detail_code,remaining_amt, payrec, mode_code,coinsurance_code,class_cd,it_remarks) values('24Sep240082','040000179587','9550',(select max(to_number(i.premium_rcv_detail_code))+1
from ins_premium_det i),'9550','9550','02', '11000003','00','Request by Mr. Omair Ali 25-Sep-2024 allocation no 24Sep240082 ');</v>
      </c>
    </row>
    <row r="725" spans="1:8" ht="105" x14ac:dyDescent="0.25">
      <c r="A725" t="s">
        <v>837</v>
      </c>
      <c r="B725" s="80" t="str">
        <f>VLOOKUP(A725,[1]Sheet1!$B:$C,2,0)</f>
        <v>040000179589</v>
      </c>
      <c r="C725" s="46">
        <v>12320</v>
      </c>
      <c r="D725" s="81">
        <f t="shared" si="47"/>
        <v>12320</v>
      </c>
      <c r="E725" s="79" t="s">
        <v>2492</v>
      </c>
      <c r="F725" s="82" t="str">
        <f t="shared" si="44"/>
        <v>insert into ins_premium_det (premium_rcv_code,assorted_code, rec_amount,premium_rcv_detail_code,remaining_amt, payrec, mode_code,coinsurance_code,class_cd,it_remarks) values</v>
      </c>
      <c r="G725" s="83" t="str">
        <f t="shared" si="45"/>
        <v>('24Sep240082','040000179589','12320',(select max(to_number(i.premium_rcv_detail_code))+1
from ins_premium_det i),'12320','12320','02', '11000003','00','Request by Mr. Omair Ali 25-Sep-2024 allocation no 24Sep240082 ');</v>
      </c>
      <c r="H725" s="84" t="str">
        <f t="shared" si="46"/>
        <v>insert into ins_premium_det (premium_rcv_code,assorted_code, rec_amount,premium_rcv_detail_code,remaining_amt, payrec, mode_code,coinsurance_code,class_cd,it_remarks) values('24Sep240082','040000179589','12320',(select max(to_number(i.premium_rcv_detail_code))+1
from ins_premium_det i),'12320','12320','02', '11000003','00','Request by Mr. Omair Ali 25-Sep-2024 allocation no 24Sep240082 ');</v>
      </c>
    </row>
    <row r="726" spans="1:8" ht="105" x14ac:dyDescent="0.25">
      <c r="A726" t="s">
        <v>838</v>
      </c>
      <c r="B726" s="80" t="str">
        <f>VLOOKUP(A726,[1]Sheet1!$B:$C,2,0)</f>
        <v>040000179590</v>
      </c>
      <c r="C726" s="46">
        <v>12320</v>
      </c>
      <c r="D726" s="81">
        <f t="shared" si="47"/>
        <v>12320</v>
      </c>
      <c r="E726" s="79" t="s">
        <v>2492</v>
      </c>
      <c r="F726" s="82" t="str">
        <f t="shared" si="44"/>
        <v>insert into ins_premium_det (premium_rcv_code,assorted_code, rec_amount,premium_rcv_detail_code,remaining_amt, payrec, mode_code,coinsurance_code,class_cd,it_remarks) values</v>
      </c>
      <c r="G726" s="83" t="str">
        <f t="shared" si="45"/>
        <v>('24Sep240082','040000179590','12320',(select max(to_number(i.premium_rcv_detail_code))+1
from ins_premium_det i),'12320','12320','02', '11000003','00','Request by Mr. Omair Ali 25-Sep-2024 allocation no 24Sep240082 ');</v>
      </c>
      <c r="H726" s="84" t="str">
        <f t="shared" si="46"/>
        <v>insert into ins_premium_det (premium_rcv_code,assorted_code, rec_amount,premium_rcv_detail_code,remaining_amt, payrec, mode_code,coinsurance_code,class_cd,it_remarks) values('24Sep240082','040000179590','12320',(select max(to_number(i.premium_rcv_detail_code))+1
from ins_premium_det i),'12320','12320','02', '11000003','00','Request by Mr. Omair Ali 25-Sep-2024 allocation no 24Sep240082 ');</v>
      </c>
    </row>
    <row r="727" spans="1:8" ht="105" x14ac:dyDescent="0.25">
      <c r="A727" t="s">
        <v>839</v>
      </c>
      <c r="B727" s="80" t="str">
        <f>VLOOKUP(A727,[1]Sheet1!$B:$C,2,0)</f>
        <v>040000179591</v>
      </c>
      <c r="C727" s="46">
        <v>8800</v>
      </c>
      <c r="D727" s="81">
        <f t="shared" si="47"/>
        <v>8800</v>
      </c>
      <c r="E727" s="79" t="s">
        <v>2492</v>
      </c>
      <c r="F727" s="82" t="str">
        <f t="shared" si="44"/>
        <v>insert into ins_premium_det (premium_rcv_code,assorted_code, rec_amount,premium_rcv_detail_code,remaining_amt, payrec, mode_code,coinsurance_code,class_cd,it_remarks) values</v>
      </c>
      <c r="G727" s="83" t="str">
        <f t="shared" si="45"/>
        <v>('24Sep240082','040000179591','8800',(select max(to_number(i.premium_rcv_detail_code))+1
from ins_premium_det i),'8800','8800','02', '11000003','00','Request by Mr. Omair Ali 25-Sep-2024 allocation no 24Sep240082 ');</v>
      </c>
      <c r="H727" s="84" t="str">
        <f t="shared" si="46"/>
        <v>insert into ins_premium_det (premium_rcv_code,assorted_code, rec_amount,premium_rcv_detail_code,remaining_amt, payrec, mode_code,coinsurance_code,class_cd,it_remarks) values('24Sep240082','040000179591','8800',(select max(to_number(i.premium_rcv_detail_code))+1
from ins_premium_det i),'8800','8800','02', '11000003','00','Request by Mr. Omair Ali 25-Sep-2024 allocation no 24Sep240082 ');</v>
      </c>
    </row>
    <row r="728" spans="1:8" ht="105" x14ac:dyDescent="0.25">
      <c r="A728" t="s">
        <v>840</v>
      </c>
      <c r="B728" s="80" t="str">
        <f>VLOOKUP(A728,[1]Sheet1!$B:$C,2,0)</f>
        <v>040000179592</v>
      </c>
      <c r="C728" s="46">
        <v>19145</v>
      </c>
      <c r="D728" s="81">
        <f t="shared" si="47"/>
        <v>19145</v>
      </c>
      <c r="E728" s="79" t="s">
        <v>2492</v>
      </c>
      <c r="F728" s="82" t="str">
        <f t="shared" si="44"/>
        <v>insert into ins_premium_det (premium_rcv_code,assorted_code, rec_amount,premium_rcv_detail_code,remaining_amt, payrec, mode_code,coinsurance_code,class_cd,it_remarks) values</v>
      </c>
      <c r="G728" s="83" t="str">
        <f t="shared" si="45"/>
        <v>('24Sep240082','040000179592','19145',(select max(to_number(i.premium_rcv_detail_code))+1
from ins_premium_det i),'19145','19145','02', '11000003','00','Request by Mr. Omair Ali 25-Sep-2024 allocation no 24Sep240082 ');</v>
      </c>
      <c r="H728" s="84" t="str">
        <f t="shared" si="46"/>
        <v>insert into ins_premium_det (premium_rcv_code,assorted_code, rec_amount,premium_rcv_detail_code,remaining_amt, payrec, mode_code,coinsurance_code,class_cd,it_remarks) values('24Sep240082','040000179592','19145',(select max(to_number(i.premium_rcv_detail_code))+1
from ins_premium_det i),'19145','19145','02', '11000003','00','Request by Mr. Omair Ali 25-Sep-2024 allocation no 24Sep240082 ');</v>
      </c>
    </row>
    <row r="729" spans="1:8" ht="105" x14ac:dyDescent="0.25">
      <c r="A729" t="s">
        <v>841</v>
      </c>
      <c r="B729" s="80" t="str">
        <f>VLOOKUP(A729,[1]Sheet1!$B:$C,2,0)</f>
        <v>040000179593</v>
      </c>
      <c r="C729" s="46">
        <v>19145</v>
      </c>
      <c r="D729" s="81">
        <f t="shared" si="47"/>
        <v>19145</v>
      </c>
      <c r="E729" s="79" t="s">
        <v>2492</v>
      </c>
      <c r="F729" s="82" t="str">
        <f t="shared" si="44"/>
        <v>insert into ins_premium_det (premium_rcv_code,assorted_code, rec_amount,premium_rcv_detail_code,remaining_amt, payrec, mode_code,coinsurance_code,class_cd,it_remarks) values</v>
      </c>
      <c r="G729" s="83" t="str">
        <f t="shared" si="45"/>
        <v>('24Sep240082','040000179593','19145',(select max(to_number(i.premium_rcv_detail_code))+1
from ins_premium_det i),'19145','19145','02', '11000003','00','Request by Mr. Omair Ali 25-Sep-2024 allocation no 24Sep240082 ');</v>
      </c>
      <c r="H729" s="84" t="str">
        <f t="shared" si="46"/>
        <v>insert into ins_premium_det (premium_rcv_code,assorted_code, rec_amount,premium_rcv_detail_code,remaining_amt, payrec, mode_code,coinsurance_code,class_cd,it_remarks) values('24Sep240082','040000179593','19145',(select max(to_number(i.premium_rcv_detail_code))+1
from ins_premium_det i),'19145','19145','02', '11000003','00','Request by Mr. Omair Ali 25-Sep-2024 allocation no 24Sep240082 ');</v>
      </c>
    </row>
    <row r="730" spans="1:8" ht="105" x14ac:dyDescent="0.25">
      <c r="A730" t="s">
        <v>842</v>
      </c>
      <c r="B730" s="80" t="str">
        <f>VLOOKUP(A730,[1]Sheet1!$B:$C,2,0)</f>
        <v>040000179596</v>
      </c>
      <c r="C730" s="46">
        <v>8800</v>
      </c>
      <c r="D730" s="81">
        <f t="shared" si="47"/>
        <v>8800</v>
      </c>
      <c r="E730" s="79" t="s">
        <v>2492</v>
      </c>
      <c r="F730" s="82" t="str">
        <f t="shared" si="44"/>
        <v>insert into ins_premium_det (premium_rcv_code,assorted_code, rec_amount,premium_rcv_detail_code,remaining_amt, payrec, mode_code,coinsurance_code,class_cd,it_remarks) values</v>
      </c>
      <c r="G730" s="83" t="str">
        <f t="shared" si="45"/>
        <v>('24Sep240082','040000179596','8800',(select max(to_number(i.premium_rcv_detail_code))+1
from ins_premium_det i),'8800','8800','02', '11000003','00','Request by Mr. Omair Ali 25-Sep-2024 allocation no 24Sep240082 ');</v>
      </c>
      <c r="H730" s="84" t="str">
        <f t="shared" si="46"/>
        <v>insert into ins_premium_det (premium_rcv_code,assorted_code, rec_amount,premium_rcv_detail_code,remaining_amt, payrec, mode_code,coinsurance_code,class_cd,it_remarks) values('24Sep240082','040000179596','8800',(select max(to_number(i.premium_rcv_detail_code))+1
from ins_premium_det i),'8800','8800','02', '11000003','00','Request by Mr. Omair Ali 25-Sep-2024 allocation no 24Sep240082 ');</v>
      </c>
    </row>
    <row r="731" spans="1:8" ht="105" x14ac:dyDescent="0.25">
      <c r="A731" t="s">
        <v>843</v>
      </c>
      <c r="B731" s="80" t="str">
        <f>VLOOKUP(A731,[1]Sheet1!$B:$C,2,0)</f>
        <v>040000179597</v>
      </c>
      <c r="C731" s="46">
        <v>12320</v>
      </c>
      <c r="D731" s="81">
        <f t="shared" si="47"/>
        <v>12320</v>
      </c>
      <c r="E731" s="79" t="s">
        <v>2492</v>
      </c>
      <c r="F731" s="82" t="str">
        <f t="shared" si="44"/>
        <v>insert into ins_premium_det (premium_rcv_code,assorted_code, rec_amount,premium_rcv_detail_code,remaining_amt, payrec, mode_code,coinsurance_code,class_cd,it_remarks) values</v>
      </c>
      <c r="G731" s="83" t="str">
        <f t="shared" si="45"/>
        <v>('24Sep240082','040000179597','12320',(select max(to_number(i.premium_rcv_detail_code))+1
from ins_premium_det i),'12320','12320','02', '11000003','00','Request by Mr. Omair Ali 25-Sep-2024 allocation no 24Sep240082 ');</v>
      </c>
      <c r="H731" s="84" t="str">
        <f t="shared" si="46"/>
        <v>insert into ins_premium_det (premium_rcv_code,assorted_code, rec_amount,premium_rcv_detail_code,remaining_amt, payrec, mode_code,coinsurance_code,class_cd,it_remarks) values('24Sep240082','040000179597','12320',(select max(to_number(i.premium_rcv_detail_code))+1
from ins_premium_det i),'12320','12320','02', '11000003','00','Request by Mr. Omair Ali 25-Sep-2024 allocation no 24Sep240082 ');</v>
      </c>
    </row>
    <row r="732" spans="1:8" ht="105" x14ac:dyDescent="0.25">
      <c r="A732" t="s">
        <v>844</v>
      </c>
      <c r="B732" s="80" t="str">
        <f>VLOOKUP(A732,[1]Sheet1!$B:$C,2,0)</f>
        <v>040000179599</v>
      </c>
      <c r="C732" s="46">
        <v>8800</v>
      </c>
      <c r="D732" s="81">
        <f t="shared" si="47"/>
        <v>8800</v>
      </c>
      <c r="E732" s="79" t="s">
        <v>2492</v>
      </c>
      <c r="F732" s="82" t="str">
        <f t="shared" si="44"/>
        <v>insert into ins_premium_det (premium_rcv_code,assorted_code, rec_amount,premium_rcv_detail_code,remaining_amt, payrec, mode_code,coinsurance_code,class_cd,it_remarks) values</v>
      </c>
      <c r="G732" s="83" t="str">
        <f t="shared" si="45"/>
        <v>('24Sep240082','040000179599','8800',(select max(to_number(i.premium_rcv_detail_code))+1
from ins_premium_det i),'8800','8800','02', '11000003','00','Request by Mr. Omair Ali 25-Sep-2024 allocation no 24Sep240082 ');</v>
      </c>
      <c r="H732" s="84" t="str">
        <f t="shared" si="46"/>
        <v>insert into ins_premium_det (premium_rcv_code,assorted_code, rec_amount,premium_rcv_detail_code,remaining_amt, payrec, mode_code,coinsurance_code,class_cd,it_remarks) values('24Sep240082','040000179599','8800',(select max(to_number(i.premium_rcv_detail_code))+1
from ins_premium_det i),'8800','8800','02', '11000003','00','Request by Mr. Omair Ali 25-Sep-2024 allocation no 24Sep240082 ');</v>
      </c>
    </row>
    <row r="733" spans="1:8" ht="105" x14ac:dyDescent="0.25">
      <c r="A733" t="s">
        <v>845</v>
      </c>
      <c r="B733" s="80" t="str">
        <f>VLOOKUP(A733,[1]Sheet1!$B:$C,2,0)</f>
        <v>040000179600</v>
      </c>
      <c r="C733" s="46">
        <v>8800</v>
      </c>
      <c r="D733" s="81">
        <f t="shared" si="47"/>
        <v>8800</v>
      </c>
      <c r="E733" s="79" t="s">
        <v>2492</v>
      </c>
      <c r="F733" s="82" t="str">
        <f t="shared" si="44"/>
        <v>insert into ins_premium_det (premium_rcv_code,assorted_code, rec_amount,premium_rcv_detail_code,remaining_amt, payrec, mode_code,coinsurance_code,class_cd,it_remarks) values</v>
      </c>
      <c r="G733" s="83" t="str">
        <f t="shared" si="45"/>
        <v>('24Sep240082','040000179600','8800',(select max(to_number(i.premium_rcv_detail_code))+1
from ins_premium_det i),'8800','8800','02', '11000003','00','Request by Mr. Omair Ali 25-Sep-2024 allocation no 24Sep240082 ');</v>
      </c>
      <c r="H733" s="84" t="str">
        <f t="shared" si="46"/>
        <v>insert into ins_premium_det (premium_rcv_code,assorted_code, rec_amount,premium_rcv_detail_code,remaining_amt, payrec, mode_code,coinsurance_code,class_cd,it_remarks) values('24Sep240082','040000179600','8800',(select max(to_number(i.premium_rcv_detail_code))+1
from ins_premium_det i),'8800','8800','02', '11000003','00','Request by Mr. Omair Ali 25-Sep-2024 allocation no 24Sep240082 ');</v>
      </c>
    </row>
    <row r="734" spans="1:8" ht="105" x14ac:dyDescent="0.25">
      <c r="A734" t="s">
        <v>846</v>
      </c>
      <c r="B734" s="80" t="str">
        <f>VLOOKUP(A734,[1]Sheet1!$B:$C,2,0)</f>
        <v>040000179602</v>
      </c>
      <c r="C734" s="46">
        <v>8800</v>
      </c>
      <c r="D734" s="81">
        <f t="shared" si="47"/>
        <v>8800</v>
      </c>
      <c r="E734" s="79" t="s">
        <v>2492</v>
      </c>
      <c r="F734" s="82" t="str">
        <f t="shared" si="44"/>
        <v>insert into ins_premium_det (premium_rcv_code,assorted_code, rec_amount,premium_rcv_detail_code,remaining_amt, payrec, mode_code,coinsurance_code,class_cd,it_remarks) values</v>
      </c>
      <c r="G734" s="83" t="str">
        <f t="shared" si="45"/>
        <v>('24Sep240082','040000179602','8800',(select max(to_number(i.premium_rcv_detail_code))+1
from ins_premium_det i),'8800','8800','02', '11000003','00','Request by Mr. Omair Ali 25-Sep-2024 allocation no 24Sep240082 ');</v>
      </c>
      <c r="H734" s="84" t="str">
        <f t="shared" si="46"/>
        <v>insert into ins_premium_det (premium_rcv_code,assorted_code, rec_amount,premium_rcv_detail_code,remaining_amt, payrec, mode_code,coinsurance_code,class_cd,it_remarks) values('24Sep240082','040000179602','8800',(select max(to_number(i.premium_rcv_detail_code))+1
from ins_premium_det i),'8800','8800','02', '11000003','00','Request by Mr. Omair Ali 25-Sep-2024 allocation no 24Sep240082 ');</v>
      </c>
    </row>
    <row r="735" spans="1:8" ht="105" x14ac:dyDescent="0.25">
      <c r="A735" t="s">
        <v>847</v>
      </c>
      <c r="B735" s="80" t="str">
        <f>VLOOKUP(A735,[1]Sheet1!$B:$C,2,0)</f>
        <v>040000179603</v>
      </c>
      <c r="C735" s="46">
        <v>9550</v>
      </c>
      <c r="D735" s="81">
        <f t="shared" si="47"/>
        <v>9550</v>
      </c>
      <c r="E735" s="79" t="s">
        <v>2492</v>
      </c>
      <c r="F735" s="82" t="str">
        <f t="shared" si="44"/>
        <v>insert into ins_premium_det (premium_rcv_code,assorted_code, rec_amount,premium_rcv_detail_code,remaining_amt, payrec, mode_code,coinsurance_code,class_cd,it_remarks) values</v>
      </c>
      <c r="G735" s="83" t="str">
        <f t="shared" si="45"/>
        <v>('24Sep240082','040000179603','9550',(select max(to_number(i.premium_rcv_detail_code))+1
from ins_premium_det i),'9550','9550','02', '11000003','00','Request by Mr. Omair Ali 25-Sep-2024 allocation no 24Sep240082 ');</v>
      </c>
      <c r="H735" s="84" t="str">
        <f t="shared" si="46"/>
        <v>insert into ins_premium_det (premium_rcv_code,assorted_code, rec_amount,premium_rcv_detail_code,remaining_amt, payrec, mode_code,coinsurance_code,class_cd,it_remarks) values('24Sep240082','040000179603','9550',(select max(to_number(i.premium_rcv_detail_code))+1
from ins_premium_det i),'9550','9550','02', '11000003','00','Request by Mr. Omair Ali 25-Sep-2024 allocation no 24Sep240082 ');</v>
      </c>
    </row>
    <row r="736" spans="1:8" ht="105" x14ac:dyDescent="0.25">
      <c r="A736" t="s">
        <v>848</v>
      </c>
      <c r="B736" s="80" t="str">
        <f>VLOOKUP(A736,[1]Sheet1!$B:$C,2,0)</f>
        <v>040000179605</v>
      </c>
      <c r="C736" s="46">
        <v>9550</v>
      </c>
      <c r="D736" s="81">
        <f t="shared" si="47"/>
        <v>9550</v>
      </c>
      <c r="E736" s="79" t="s">
        <v>2492</v>
      </c>
      <c r="F736" s="82" t="str">
        <f t="shared" si="44"/>
        <v>insert into ins_premium_det (premium_rcv_code,assorted_code, rec_amount,premium_rcv_detail_code,remaining_amt, payrec, mode_code,coinsurance_code,class_cd,it_remarks) values</v>
      </c>
      <c r="G736" s="83" t="str">
        <f t="shared" si="45"/>
        <v>('24Sep240082','040000179605','9550',(select max(to_number(i.premium_rcv_detail_code))+1
from ins_premium_det i),'9550','9550','02', '11000003','00','Request by Mr. Omair Ali 25-Sep-2024 allocation no 24Sep240082 ');</v>
      </c>
      <c r="H736" s="84" t="str">
        <f t="shared" si="46"/>
        <v>insert into ins_premium_det (premium_rcv_code,assorted_code, rec_amount,premium_rcv_detail_code,remaining_amt, payrec, mode_code,coinsurance_code,class_cd,it_remarks) values('24Sep240082','040000179605','9550',(select max(to_number(i.premium_rcv_detail_code))+1
from ins_premium_det i),'9550','9550','02', '11000003','00','Request by Mr. Omair Ali 25-Sep-2024 allocation no 24Sep240082 ');</v>
      </c>
    </row>
    <row r="737" spans="1:8" ht="105" x14ac:dyDescent="0.25">
      <c r="A737" t="s">
        <v>849</v>
      </c>
      <c r="B737" s="80" t="str">
        <f>VLOOKUP(A737,[1]Sheet1!$B:$C,2,0)</f>
        <v>040000179607</v>
      </c>
      <c r="C737" s="46">
        <v>9550</v>
      </c>
      <c r="D737" s="81">
        <f t="shared" si="47"/>
        <v>9550</v>
      </c>
      <c r="E737" s="79" t="s">
        <v>2492</v>
      </c>
      <c r="F737" s="82" t="str">
        <f t="shared" si="44"/>
        <v>insert into ins_premium_det (premium_rcv_code,assorted_code, rec_amount,premium_rcv_detail_code,remaining_amt, payrec, mode_code,coinsurance_code,class_cd,it_remarks) values</v>
      </c>
      <c r="G737" s="83" t="str">
        <f t="shared" si="45"/>
        <v>('24Sep240082','040000179607','9550',(select max(to_number(i.premium_rcv_detail_code))+1
from ins_premium_det i),'9550','9550','02', '11000003','00','Request by Mr. Omair Ali 25-Sep-2024 allocation no 24Sep240082 ');</v>
      </c>
      <c r="H737" s="84" t="str">
        <f t="shared" si="46"/>
        <v>insert into ins_premium_det (premium_rcv_code,assorted_code, rec_amount,premium_rcv_detail_code,remaining_amt, payrec, mode_code,coinsurance_code,class_cd,it_remarks) values('24Sep240082','040000179607','9550',(select max(to_number(i.premium_rcv_detail_code))+1
from ins_premium_det i),'9550','9550','02', '11000003','00','Request by Mr. Omair Ali 25-Sep-2024 allocation no 24Sep240082 ');</v>
      </c>
    </row>
    <row r="738" spans="1:8" ht="105" x14ac:dyDescent="0.25">
      <c r="A738" t="s">
        <v>850</v>
      </c>
      <c r="B738" s="80" t="str">
        <f>VLOOKUP(A738,[1]Sheet1!$B:$C,2,0)</f>
        <v>040000179610</v>
      </c>
      <c r="C738" s="46">
        <v>8800</v>
      </c>
      <c r="D738" s="81">
        <f t="shared" si="47"/>
        <v>8800</v>
      </c>
      <c r="E738" s="79" t="s">
        <v>2492</v>
      </c>
      <c r="F738" s="82" t="str">
        <f t="shared" si="44"/>
        <v>insert into ins_premium_det (premium_rcv_code,assorted_code, rec_amount,premium_rcv_detail_code,remaining_amt, payrec, mode_code,coinsurance_code,class_cd,it_remarks) values</v>
      </c>
      <c r="G738" s="83" t="str">
        <f t="shared" si="45"/>
        <v>('24Sep240082','040000179610','8800',(select max(to_number(i.premium_rcv_detail_code))+1
from ins_premium_det i),'8800','8800','02', '11000003','00','Request by Mr. Omair Ali 25-Sep-2024 allocation no 24Sep240082 ');</v>
      </c>
      <c r="H738" s="84" t="str">
        <f t="shared" si="46"/>
        <v>insert into ins_premium_det (premium_rcv_code,assorted_code, rec_amount,premium_rcv_detail_code,remaining_amt, payrec, mode_code,coinsurance_code,class_cd,it_remarks) values('24Sep240082','040000179610','8800',(select max(to_number(i.premium_rcv_detail_code))+1
from ins_premium_det i),'8800','8800','02', '11000003','00','Request by Mr. Omair Ali 25-Sep-2024 allocation no 24Sep240082 ');</v>
      </c>
    </row>
    <row r="739" spans="1:8" ht="105" x14ac:dyDescent="0.25">
      <c r="A739" t="s">
        <v>851</v>
      </c>
      <c r="B739" s="80" t="str">
        <f>VLOOKUP(A739,[1]Sheet1!$B:$C,2,0)</f>
        <v>040000179612</v>
      </c>
      <c r="C739" s="46">
        <v>8800</v>
      </c>
      <c r="D739" s="81">
        <f t="shared" si="47"/>
        <v>8800</v>
      </c>
      <c r="E739" s="79" t="s">
        <v>2492</v>
      </c>
      <c r="F739" s="82" t="str">
        <f t="shared" si="44"/>
        <v>insert into ins_premium_det (premium_rcv_code,assorted_code, rec_amount,premium_rcv_detail_code,remaining_amt, payrec, mode_code,coinsurance_code,class_cd,it_remarks) values</v>
      </c>
      <c r="G739" s="83" t="str">
        <f t="shared" si="45"/>
        <v>('24Sep240082','040000179612','8800',(select max(to_number(i.premium_rcv_detail_code))+1
from ins_premium_det i),'8800','8800','02', '11000003','00','Request by Mr. Omair Ali 25-Sep-2024 allocation no 24Sep240082 ');</v>
      </c>
      <c r="H739" s="84" t="str">
        <f t="shared" si="46"/>
        <v>insert into ins_premium_det (premium_rcv_code,assorted_code, rec_amount,premium_rcv_detail_code,remaining_amt, payrec, mode_code,coinsurance_code,class_cd,it_remarks) values('24Sep240082','040000179612','8800',(select max(to_number(i.premium_rcv_detail_code))+1
from ins_premium_det i),'8800','8800','02', '11000003','00','Request by Mr. Omair Ali 25-Sep-2024 allocation no 24Sep240082 ');</v>
      </c>
    </row>
    <row r="740" spans="1:8" ht="105" x14ac:dyDescent="0.25">
      <c r="A740" t="s">
        <v>852</v>
      </c>
      <c r="B740" s="80" t="str">
        <f>VLOOKUP(A740,[1]Sheet1!$B:$C,2,0)</f>
        <v>040000179618</v>
      </c>
      <c r="C740" s="46">
        <v>12320</v>
      </c>
      <c r="D740" s="81">
        <f t="shared" si="47"/>
        <v>12320</v>
      </c>
      <c r="E740" s="79" t="s">
        <v>2492</v>
      </c>
      <c r="F740" s="82" t="str">
        <f t="shared" si="44"/>
        <v>insert into ins_premium_det (premium_rcv_code,assorted_code, rec_amount,premium_rcv_detail_code,remaining_amt, payrec, mode_code,coinsurance_code,class_cd,it_remarks) values</v>
      </c>
      <c r="G740" s="83" t="str">
        <f t="shared" si="45"/>
        <v>('24Sep240082','040000179618','12320',(select max(to_number(i.premium_rcv_detail_code))+1
from ins_premium_det i),'12320','12320','02', '11000003','00','Request by Mr. Omair Ali 25-Sep-2024 allocation no 24Sep240082 ');</v>
      </c>
      <c r="H740" s="84" t="str">
        <f t="shared" si="46"/>
        <v>insert into ins_premium_det (premium_rcv_code,assorted_code, rec_amount,premium_rcv_detail_code,remaining_amt, payrec, mode_code,coinsurance_code,class_cd,it_remarks) values('24Sep240082','040000179618','12320',(select max(to_number(i.premium_rcv_detail_code))+1
from ins_premium_det i),'12320','12320','02', '11000003','00','Request by Mr. Omair Ali 25-Sep-2024 allocation no 24Sep240082 ');</v>
      </c>
    </row>
    <row r="741" spans="1:8" ht="105" x14ac:dyDescent="0.25">
      <c r="A741" t="s">
        <v>853</v>
      </c>
      <c r="B741" s="80" t="str">
        <f>VLOOKUP(A741,[1]Sheet1!$B:$C,2,0)</f>
        <v>040000179620</v>
      </c>
      <c r="C741" s="46">
        <v>8800</v>
      </c>
      <c r="D741" s="81">
        <f t="shared" si="47"/>
        <v>8800</v>
      </c>
      <c r="E741" s="79" t="s">
        <v>2492</v>
      </c>
      <c r="F741" s="82" t="str">
        <f t="shared" si="44"/>
        <v>insert into ins_premium_det (premium_rcv_code,assorted_code, rec_amount,premium_rcv_detail_code,remaining_amt, payrec, mode_code,coinsurance_code,class_cd,it_remarks) values</v>
      </c>
      <c r="G741" s="83" t="str">
        <f t="shared" si="45"/>
        <v>('24Sep240082','040000179620','8800',(select max(to_number(i.premium_rcv_detail_code))+1
from ins_premium_det i),'8800','8800','02', '11000003','00','Request by Mr. Omair Ali 25-Sep-2024 allocation no 24Sep240082 ');</v>
      </c>
      <c r="H741" s="84" t="str">
        <f t="shared" si="46"/>
        <v>insert into ins_premium_det (premium_rcv_code,assorted_code, rec_amount,premium_rcv_detail_code,remaining_amt, payrec, mode_code,coinsurance_code,class_cd,it_remarks) values('24Sep240082','040000179620','8800',(select max(to_number(i.premium_rcv_detail_code))+1
from ins_premium_det i),'8800','8800','02', '11000003','00','Request by Mr. Omair Ali 25-Sep-2024 allocation no 24Sep240082 ');</v>
      </c>
    </row>
    <row r="742" spans="1:8" ht="105" x14ac:dyDescent="0.25">
      <c r="A742" t="s">
        <v>854</v>
      </c>
      <c r="B742" s="80" t="str">
        <f>VLOOKUP(A742,[1]Sheet1!$B:$C,2,0)</f>
        <v>040000179622</v>
      </c>
      <c r="C742" s="46">
        <v>13675</v>
      </c>
      <c r="D742" s="81">
        <f t="shared" si="47"/>
        <v>13675</v>
      </c>
      <c r="E742" s="79" t="s">
        <v>2492</v>
      </c>
      <c r="F742" s="82" t="str">
        <f t="shared" si="44"/>
        <v>insert into ins_premium_det (premium_rcv_code,assorted_code, rec_amount,premium_rcv_detail_code,remaining_amt, payrec, mode_code,coinsurance_code,class_cd,it_remarks) values</v>
      </c>
      <c r="G742" s="83" t="str">
        <f t="shared" si="45"/>
        <v>('24Sep240082','040000179622','13675',(select max(to_number(i.premium_rcv_detail_code))+1
from ins_premium_det i),'13675','13675','02', '11000003','00','Request by Mr. Omair Ali 25-Sep-2024 allocation no 24Sep240082 ');</v>
      </c>
      <c r="H742" s="84" t="str">
        <f t="shared" si="46"/>
        <v>insert into ins_premium_det (premium_rcv_code,assorted_code, rec_amount,premium_rcv_detail_code,remaining_amt, payrec, mode_code,coinsurance_code,class_cd,it_remarks) values('24Sep240082','040000179622','13675',(select max(to_number(i.premium_rcv_detail_code))+1
from ins_premium_det i),'13675','13675','02', '11000003','00','Request by Mr. Omair Ali 25-Sep-2024 allocation no 24Sep240082 ');</v>
      </c>
    </row>
    <row r="743" spans="1:8" ht="105" x14ac:dyDescent="0.25">
      <c r="A743" t="s">
        <v>855</v>
      </c>
      <c r="B743" s="80" t="str">
        <f>VLOOKUP(A743,[1]Sheet1!$B:$C,2,0)</f>
        <v>040000179624</v>
      </c>
      <c r="C743" s="46">
        <v>8800</v>
      </c>
      <c r="D743" s="81">
        <f t="shared" si="47"/>
        <v>8800</v>
      </c>
      <c r="E743" s="79" t="s">
        <v>2492</v>
      </c>
      <c r="F743" s="82" t="str">
        <f t="shared" si="44"/>
        <v>insert into ins_premium_det (premium_rcv_code,assorted_code, rec_amount,premium_rcv_detail_code,remaining_amt, payrec, mode_code,coinsurance_code,class_cd,it_remarks) values</v>
      </c>
      <c r="G743" s="83" t="str">
        <f t="shared" si="45"/>
        <v>('24Sep240082','040000179624','8800',(select max(to_number(i.premium_rcv_detail_code))+1
from ins_premium_det i),'8800','8800','02', '11000003','00','Request by Mr. Omair Ali 25-Sep-2024 allocation no 24Sep240082 ');</v>
      </c>
      <c r="H743" s="84" t="str">
        <f t="shared" si="46"/>
        <v>insert into ins_premium_det (premium_rcv_code,assorted_code, rec_amount,premium_rcv_detail_code,remaining_amt, payrec, mode_code,coinsurance_code,class_cd,it_remarks) values('24Sep240082','040000179624','8800',(select max(to_number(i.premium_rcv_detail_code))+1
from ins_premium_det i),'8800','8800','02', '11000003','00','Request by Mr. Omair Ali 25-Sep-2024 allocation no 24Sep240082 ');</v>
      </c>
    </row>
    <row r="744" spans="1:8" ht="105" x14ac:dyDescent="0.25">
      <c r="A744" t="s">
        <v>856</v>
      </c>
      <c r="B744" s="80" t="str">
        <f>VLOOKUP(A744,[1]Sheet1!$B:$C,2,0)</f>
        <v>040000179625</v>
      </c>
      <c r="C744" s="46">
        <v>8800</v>
      </c>
      <c r="D744" s="81">
        <f t="shared" si="47"/>
        <v>8800</v>
      </c>
      <c r="E744" s="79" t="s">
        <v>2492</v>
      </c>
      <c r="F744" s="82" t="str">
        <f t="shared" si="44"/>
        <v>insert into ins_premium_det (premium_rcv_code,assorted_code, rec_amount,premium_rcv_detail_code,remaining_amt, payrec, mode_code,coinsurance_code,class_cd,it_remarks) values</v>
      </c>
      <c r="G744" s="83" t="str">
        <f t="shared" si="45"/>
        <v>('24Sep240082','040000179625','8800',(select max(to_number(i.premium_rcv_detail_code))+1
from ins_premium_det i),'8800','8800','02', '11000003','00','Request by Mr. Omair Ali 25-Sep-2024 allocation no 24Sep240082 ');</v>
      </c>
      <c r="H744" s="84" t="str">
        <f t="shared" si="46"/>
        <v>insert into ins_premium_det (premium_rcv_code,assorted_code, rec_amount,premium_rcv_detail_code,remaining_amt, payrec, mode_code,coinsurance_code,class_cd,it_remarks) values('24Sep240082','040000179625','8800',(select max(to_number(i.premium_rcv_detail_code))+1
from ins_premium_det i),'8800','8800','02', '11000003','00','Request by Mr. Omair Ali 25-Sep-2024 allocation no 24Sep240082 ');</v>
      </c>
    </row>
    <row r="745" spans="1:8" ht="105" x14ac:dyDescent="0.25">
      <c r="A745" t="s">
        <v>857</v>
      </c>
      <c r="B745" s="80" t="str">
        <f>VLOOKUP(A745,[1]Sheet1!$B:$C,2,0)</f>
        <v>040000179629</v>
      </c>
      <c r="C745" s="46">
        <v>8800</v>
      </c>
      <c r="D745" s="81">
        <f t="shared" si="47"/>
        <v>8800</v>
      </c>
      <c r="E745" s="79" t="s">
        <v>2492</v>
      </c>
      <c r="F745" s="82" t="str">
        <f t="shared" si="44"/>
        <v>insert into ins_premium_det (premium_rcv_code,assorted_code, rec_amount,premium_rcv_detail_code,remaining_amt, payrec, mode_code,coinsurance_code,class_cd,it_remarks) values</v>
      </c>
      <c r="G745" s="83" t="str">
        <f t="shared" si="45"/>
        <v>('24Sep240082','040000179629','8800',(select max(to_number(i.premium_rcv_detail_code))+1
from ins_premium_det i),'8800','8800','02', '11000003','00','Request by Mr. Omair Ali 25-Sep-2024 allocation no 24Sep240082 ');</v>
      </c>
      <c r="H745" s="84" t="str">
        <f t="shared" si="46"/>
        <v>insert into ins_premium_det (premium_rcv_code,assorted_code, rec_amount,premium_rcv_detail_code,remaining_amt, payrec, mode_code,coinsurance_code,class_cd,it_remarks) values('24Sep240082','040000179629','8800',(select max(to_number(i.premium_rcv_detail_code))+1
from ins_premium_det i),'8800','8800','02', '11000003','00','Request by Mr. Omair Ali 25-Sep-2024 allocation no 24Sep240082 ');</v>
      </c>
    </row>
    <row r="746" spans="1:8" ht="105" x14ac:dyDescent="0.25">
      <c r="A746" t="s">
        <v>858</v>
      </c>
      <c r="B746" s="80" t="str">
        <f>VLOOKUP(A746,[1]Sheet1!$B:$C,2,0)</f>
        <v>040000179630</v>
      </c>
      <c r="C746" s="46">
        <v>8800</v>
      </c>
      <c r="D746" s="81">
        <f t="shared" si="47"/>
        <v>8800</v>
      </c>
      <c r="E746" s="79" t="s">
        <v>2492</v>
      </c>
      <c r="F746" s="82" t="str">
        <f t="shared" si="44"/>
        <v>insert into ins_premium_det (premium_rcv_code,assorted_code, rec_amount,premium_rcv_detail_code,remaining_amt, payrec, mode_code,coinsurance_code,class_cd,it_remarks) values</v>
      </c>
      <c r="G746" s="83" t="str">
        <f t="shared" si="45"/>
        <v>('24Sep240082','040000179630','8800',(select max(to_number(i.premium_rcv_detail_code))+1
from ins_premium_det i),'8800','8800','02', '11000003','00','Request by Mr. Omair Ali 25-Sep-2024 allocation no 24Sep240082 ');</v>
      </c>
      <c r="H746" s="84" t="str">
        <f t="shared" si="46"/>
        <v>insert into ins_premium_det (premium_rcv_code,assorted_code, rec_amount,premium_rcv_detail_code,remaining_amt, payrec, mode_code,coinsurance_code,class_cd,it_remarks) values('24Sep240082','040000179630','8800',(select max(to_number(i.premium_rcv_detail_code))+1
from ins_premium_det i),'8800','8800','02', '11000003','00','Request by Mr. Omair Ali 25-Sep-2024 allocation no 24Sep240082 ');</v>
      </c>
    </row>
    <row r="747" spans="1:8" ht="105" x14ac:dyDescent="0.25">
      <c r="A747" t="s">
        <v>859</v>
      </c>
      <c r="B747" s="80" t="str">
        <f>VLOOKUP(A747,[1]Sheet1!$B:$C,2,0)</f>
        <v>040000179636</v>
      </c>
      <c r="C747" s="46">
        <v>13675</v>
      </c>
      <c r="D747" s="81">
        <f t="shared" si="47"/>
        <v>13675</v>
      </c>
      <c r="E747" s="79" t="s">
        <v>2492</v>
      </c>
      <c r="F747" s="82" t="str">
        <f t="shared" si="44"/>
        <v>insert into ins_premium_det (premium_rcv_code,assorted_code, rec_amount,premium_rcv_detail_code,remaining_amt, payrec, mode_code,coinsurance_code,class_cd,it_remarks) values</v>
      </c>
      <c r="G747" s="83" t="str">
        <f t="shared" si="45"/>
        <v>('24Sep240082','040000179636','13675',(select max(to_number(i.premium_rcv_detail_code))+1
from ins_premium_det i),'13675','13675','02', '11000003','00','Request by Mr. Omair Ali 25-Sep-2024 allocation no 24Sep240082 ');</v>
      </c>
      <c r="H747" s="84" t="str">
        <f t="shared" si="46"/>
        <v>insert into ins_premium_det (premium_rcv_code,assorted_code, rec_amount,premium_rcv_detail_code,remaining_amt, payrec, mode_code,coinsurance_code,class_cd,it_remarks) values('24Sep240082','040000179636','13675',(select max(to_number(i.premium_rcv_detail_code))+1
from ins_premium_det i),'13675','13675','02', '11000003','00','Request by Mr. Omair Ali 25-Sep-2024 allocation no 24Sep240082 ');</v>
      </c>
    </row>
    <row r="748" spans="1:8" ht="105" x14ac:dyDescent="0.25">
      <c r="A748" t="s">
        <v>860</v>
      </c>
      <c r="B748" s="80" t="str">
        <f>VLOOKUP(A748,[1]Sheet1!$B:$C,2,0)</f>
        <v>040000179637</v>
      </c>
      <c r="C748" s="46">
        <v>13370</v>
      </c>
      <c r="D748" s="81">
        <f t="shared" si="47"/>
        <v>13370</v>
      </c>
      <c r="E748" s="79" t="s">
        <v>2492</v>
      </c>
      <c r="F748" s="82" t="str">
        <f t="shared" si="44"/>
        <v>insert into ins_premium_det (premium_rcv_code,assorted_code, rec_amount,premium_rcv_detail_code,remaining_amt, payrec, mode_code,coinsurance_code,class_cd,it_remarks) values</v>
      </c>
      <c r="G748" s="83" t="str">
        <f t="shared" si="45"/>
        <v>('24Sep240082','040000179637','13370',(select max(to_number(i.premium_rcv_detail_code))+1
from ins_premium_det i),'13370','13370','02', '11000003','00','Request by Mr. Omair Ali 25-Sep-2024 allocation no 24Sep240082 ');</v>
      </c>
      <c r="H748" s="84" t="str">
        <f t="shared" si="46"/>
        <v>insert into ins_premium_det (premium_rcv_code,assorted_code, rec_amount,premium_rcv_detail_code,remaining_amt, payrec, mode_code,coinsurance_code,class_cd,it_remarks) values('24Sep240082','040000179637','13370',(select max(to_number(i.premium_rcv_detail_code))+1
from ins_premium_det i),'13370','13370','02', '11000003','00','Request by Mr. Omair Ali 25-Sep-2024 allocation no 24Sep240082 ');</v>
      </c>
    </row>
    <row r="749" spans="1:8" ht="105" x14ac:dyDescent="0.25">
      <c r="A749" t="s">
        <v>861</v>
      </c>
      <c r="B749" s="80" t="str">
        <f>VLOOKUP(A749,[1]Sheet1!$B:$C,2,0)</f>
        <v>040000179638</v>
      </c>
      <c r="C749" s="46">
        <v>13370</v>
      </c>
      <c r="D749" s="81">
        <f t="shared" si="47"/>
        <v>13370</v>
      </c>
      <c r="E749" s="79" t="s">
        <v>2492</v>
      </c>
      <c r="F749" s="82" t="str">
        <f t="shared" si="44"/>
        <v>insert into ins_premium_det (premium_rcv_code,assorted_code, rec_amount,premium_rcv_detail_code,remaining_amt, payrec, mode_code,coinsurance_code,class_cd,it_remarks) values</v>
      </c>
      <c r="G749" s="83" t="str">
        <f t="shared" si="45"/>
        <v>('24Sep240082','040000179638','13370',(select max(to_number(i.premium_rcv_detail_code))+1
from ins_premium_det i),'13370','13370','02', '11000003','00','Request by Mr. Omair Ali 25-Sep-2024 allocation no 24Sep240082 ');</v>
      </c>
      <c r="H749" s="84" t="str">
        <f t="shared" si="46"/>
        <v>insert into ins_premium_det (premium_rcv_code,assorted_code, rec_amount,premium_rcv_detail_code,remaining_amt, payrec, mode_code,coinsurance_code,class_cd,it_remarks) values('24Sep240082','040000179638','13370',(select max(to_number(i.premium_rcv_detail_code))+1
from ins_premium_det i),'13370','13370','02', '11000003','00','Request by Mr. Omair Ali 25-Sep-2024 allocation no 24Sep240082 ');</v>
      </c>
    </row>
    <row r="750" spans="1:8" ht="105" x14ac:dyDescent="0.25">
      <c r="A750" t="s">
        <v>862</v>
      </c>
      <c r="B750" s="80" t="str">
        <f>VLOOKUP(A750,[1]Sheet1!$B:$C,2,0)</f>
        <v>040000179648</v>
      </c>
      <c r="C750" s="46">
        <v>9550</v>
      </c>
      <c r="D750" s="81">
        <f t="shared" si="47"/>
        <v>9550</v>
      </c>
      <c r="E750" s="79" t="s">
        <v>2492</v>
      </c>
      <c r="F750" s="82" t="str">
        <f t="shared" si="44"/>
        <v>insert into ins_premium_det (premium_rcv_code,assorted_code, rec_amount,premium_rcv_detail_code,remaining_amt, payrec, mode_code,coinsurance_code,class_cd,it_remarks) values</v>
      </c>
      <c r="G750" s="83" t="str">
        <f t="shared" si="45"/>
        <v>('24Sep240082','040000179648','9550',(select max(to_number(i.premium_rcv_detail_code))+1
from ins_premium_det i),'9550','9550','02', '11000003','00','Request by Mr. Omair Ali 25-Sep-2024 allocation no 24Sep240082 ');</v>
      </c>
      <c r="H750" s="84" t="str">
        <f t="shared" si="46"/>
        <v>insert into ins_premium_det (premium_rcv_code,assorted_code, rec_amount,premium_rcv_detail_code,remaining_amt, payrec, mode_code,coinsurance_code,class_cd,it_remarks) values('24Sep240082','040000179648','9550',(select max(to_number(i.premium_rcv_detail_code))+1
from ins_premium_det i),'9550','9550','02', '11000003','00','Request by Mr. Omair Ali 25-Sep-2024 allocation no 24Sep240082 ');</v>
      </c>
    </row>
    <row r="751" spans="1:8" ht="105" x14ac:dyDescent="0.25">
      <c r="A751" t="s">
        <v>863</v>
      </c>
      <c r="B751" s="80" t="str">
        <f>VLOOKUP(A751,[1]Sheet1!$B:$C,2,0)</f>
        <v>040000179661</v>
      </c>
      <c r="C751" s="46">
        <v>13675</v>
      </c>
      <c r="D751" s="81">
        <f t="shared" si="47"/>
        <v>13675</v>
      </c>
      <c r="E751" s="79" t="s">
        <v>2492</v>
      </c>
      <c r="F751" s="82" t="str">
        <f t="shared" si="44"/>
        <v>insert into ins_premium_det (premium_rcv_code,assorted_code, rec_amount,premium_rcv_detail_code,remaining_amt, payrec, mode_code,coinsurance_code,class_cd,it_remarks) values</v>
      </c>
      <c r="G751" s="83" t="str">
        <f t="shared" si="45"/>
        <v>('24Sep240082','040000179661','13675',(select max(to_number(i.premium_rcv_detail_code))+1
from ins_premium_det i),'13675','13675','02', '11000003','00','Request by Mr. Omair Ali 25-Sep-2024 allocation no 24Sep240082 ');</v>
      </c>
      <c r="H751" s="84" t="str">
        <f t="shared" si="46"/>
        <v>insert into ins_premium_det (premium_rcv_code,assorted_code, rec_amount,premium_rcv_detail_code,remaining_amt, payrec, mode_code,coinsurance_code,class_cd,it_remarks) values('24Sep240082','040000179661','13675',(select max(to_number(i.premium_rcv_detail_code))+1
from ins_premium_det i),'13675','13675','02', '11000003','00','Request by Mr. Omair Ali 25-Sep-2024 allocation no 24Sep240082 ');</v>
      </c>
    </row>
    <row r="752" spans="1:8" ht="105" x14ac:dyDescent="0.25">
      <c r="A752" t="s">
        <v>864</v>
      </c>
      <c r="B752" s="80" t="str">
        <f>VLOOKUP(A752,[1]Sheet1!$B:$C,2,0)</f>
        <v>040000179663</v>
      </c>
      <c r="C752" s="46">
        <v>9550</v>
      </c>
      <c r="D752" s="81">
        <f t="shared" si="47"/>
        <v>9550</v>
      </c>
      <c r="E752" s="79" t="s">
        <v>2492</v>
      </c>
      <c r="F752" s="82" t="str">
        <f t="shared" si="44"/>
        <v>insert into ins_premium_det (premium_rcv_code,assorted_code, rec_amount,premium_rcv_detail_code,remaining_amt, payrec, mode_code,coinsurance_code,class_cd,it_remarks) values</v>
      </c>
      <c r="G752" s="83" t="str">
        <f t="shared" si="45"/>
        <v>('24Sep240082','040000179663','9550',(select max(to_number(i.premium_rcv_detail_code))+1
from ins_premium_det i),'9550','9550','02', '11000003','00','Request by Mr. Omair Ali 25-Sep-2024 allocation no 24Sep240082 ');</v>
      </c>
      <c r="H752" s="84" t="str">
        <f t="shared" si="46"/>
        <v>insert into ins_premium_det (premium_rcv_code,assorted_code, rec_amount,premium_rcv_detail_code,remaining_amt, payrec, mode_code,coinsurance_code,class_cd,it_remarks) values('24Sep240082','040000179663','9550',(select max(to_number(i.premium_rcv_detail_code))+1
from ins_premium_det i),'9550','9550','02', '11000003','00','Request by Mr. Omair Ali 25-Sep-2024 allocation no 24Sep240082 ');</v>
      </c>
    </row>
    <row r="753" spans="1:8" ht="105" x14ac:dyDescent="0.25">
      <c r="A753" t="s">
        <v>865</v>
      </c>
      <c r="B753" s="80" t="str">
        <f>VLOOKUP(A753,[1]Sheet1!$B:$C,2,0)</f>
        <v>040000179674</v>
      </c>
      <c r="C753" s="46">
        <v>12320</v>
      </c>
      <c r="D753" s="81">
        <f t="shared" si="47"/>
        <v>12320</v>
      </c>
      <c r="E753" s="79" t="s">
        <v>2492</v>
      </c>
      <c r="F753" s="82" t="str">
        <f t="shared" si="44"/>
        <v>insert into ins_premium_det (premium_rcv_code,assorted_code, rec_amount,premium_rcv_detail_code,remaining_amt, payrec, mode_code,coinsurance_code,class_cd,it_remarks) values</v>
      </c>
      <c r="G753" s="83" t="str">
        <f t="shared" si="45"/>
        <v>('24Sep240082','040000179674','12320',(select max(to_number(i.premium_rcv_detail_code))+1
from ins_premium_det i),'12320','12320','02', '11000003','00','Request by Mr. Omair Ali 25-Sep-2024 allocation no 24Sep240082 ');</v>
      </c>
      <c r="H753" s="84" t="str">
        <f t="shared" si="46"/>
        <v>insert into ins_premium_det (premium_rcv_code,assorted_code, rec_amount,premium_rcv_detail_code,remaining_amt, payrec, mode_code,coinsurance_code,class_cd,it_remarks) values('24Sep240082','040000179674','12320',(select max(to_number(i.premium_rcv_detail_code))+1
from ins_premium_det i),'12320','12320','02', '11000003','00','Request by Mr. Omair Ali 25-Sep-2024 allocation no 24Sep240082 ');</v>
      </c>
    </row>
    <row r="754" spans="1:8" ht="105" x14ac:dyDescent="0.25">
      <c r="A754" t="s">
        <v>866</v>
      </c>
      <c r="B754" s="80" t="str">
        <f>VLOOKUP(A754,[1]Sheet1!$B:$C,2,0)</f>
        <v>040000179676</v>
      </c>
      <c r="C754" s="46">
        <v>12320</v>
      </c>
      <c r="D754" s="81">
        <f t="shared" si="47"/>
        <v>12320</v>
      </c>
      <c r="E754" s="79" t="s">
        <v>2492</v>
      </c>
      <c r="F754" s="82" t="str">
        <f t="shared" si="44"/>
        <v>insert into ins_premium_det (premium_rcv_code,assorted_code, rec_amount,premium_rcv_detail_code,remaining_amt, payrec, mode_code,coinsurance_code,class_cd,it_remarks) values</v>
      </c>
      <c r="G754" s="83" t="str">
        <f t="shared" si="45"/>
        <v>('24Sep240082','040000179676','12320',(select max(to_number(i.premium_rcv_detail_code))+1
from ins_premium_det i),'12320','12320','02', '11000003','00','Request by Mr. Omair Ali 25-Sep-2024 allocation no 24Sep240082 ');</v>
      </c>
      <c r="H754" s="84" t="str">
        <f t="shared" si="46"/>
        <v>insert into ins_premium_det (premium_rcv_code,assorted_code, rec_amount,premium_rcv_detail_code,remaining_amt, payrec, mode_code,coinsurance_code,class_cd,it_remarks) values('24Sep240082','040000179676','12320',(select max(to_number(i.premium_rcv_detail_code))+1
from ins_premium_det i),'12320','12320','02', '11000003','00','Request by Mr. Omair Ali 25-Sep-2024 allocation no 24Sep240082 ');</v>
      </c>
    </row>
    <row r="755" spans="1:8" ht="105" x14ac:dyDescent="0.25">
      <c r="A755" t="s">
        <v>867</v>
      </c>
      <c r="B755" s="80" t="str">
        <f>VLOOKUP(A755,[1]Sheet1!$B:$C,2,0)</f>
        <v>040000179685</v>
      </c>
      <c r="C755" s="46">
        <v>13675</v>
      </c>
      <c r="D755" s="81">
        <f t="shared" si="47"/>
        <v>13675</v>
      </c>
      <c r="E755" s="79" t="s">
        <v>2492</v>
      </c>
      <c r="F755" s="82" t="str">
        <f t="shared" si="44"/>
        <v>insert into ins_premium_det (premium_rcv_code,assorted_code, rec_amount,premium_rcv_detail_code,remaining_amt, payrec, mode_code,coinsurance_code,class_cd,it_remarks) values</v>
      </c>
      <c r="G755" s="83" t="str">
        <f t="shared" si="45"/>
        <v>('24Sep240082','040000179685','13675',(select max(to_number(i.premium_rcv_detail_code))+1
from ins_premium_det i),'13675','13675','02', '11000003','00','Request by Mr. Omair Ali 25-Sep-2024 allocation no 24Sep240082 ');</v>
      </c>
      <c r="H755" s="84" t="str">
        <f t="shared" si="46"/>
        <v>insert into ins_premium_det (premium_rcv_code,assorted_code, rec_amount,premium_rcv_detail_code,remaining_amt, payrec, mode_code,coinsurance_code,class_cd,it_remarks) values('24Sep240082','040000179685','13675',(select max(to_number(i.premium_rcv_detail_code))+1
from ins_premium_det i),'13675','13675','02', '11000003','00','Request by Mr. Omair Ali 25-Sep-2024 allocation no 24Sep240082 ');</v>
      </c>
    </row>
    <row r="756" spans="1:8" ht="105" x14ac:dyDescent="0.25">
      <c r="A756" t="s">
        <v>868</v>
      </c>
      <c r="B756" s="80" t="str">
        <f>VLOOKUP(A756,[1]Sheet1!$B:$C,2,0)</f>
        <v>040000179687</v>
      </c>
      <c r="C756" s="46">
        <v>12475</v>
      </c>
      <c r="D756" s="81">
        <f t="shared" si="47"/>
        <v>12475</v>
      </c>
      <c r="E756" s="79" t="s">
        <v>2492</v>
      </c>
      <c r="F756" s="82" t="str">
        <f t="shared" si="44"/>
        <v>insert into ins_premium_det (premium_rcv_code,assorted_code, rec_amount,premium_rcv_detail_code,remaining_amt, payrec, mode_code,coinsurance_code,class_cd,it_remarks) values</v>
      </c>
      <c r="G756" s="83" t="str">
        <f t="shared" si="45"/>
        <v>('24Sep240082','040000179687','12475',(select max(to_number(i.premium_rcv_detail_code))+1
from ins_premium_det i),'12475','12475','02', '11000003','00','Request by Mr. Omair Ali 25-Sep-2024 allocation no 24Sep240082 ');</v>
      </c>
      <c r="H756" s="84" t="str">
        <f t="shared" si="46"/>
        <v>insert into ins_premium_det (premium_rcv_code,assorted_code, rec_amount,premium_rcv_detail_code,remaining_amt, payrec, mode_code,coinsurance_code,class_cd,it_remarks) values('24Sep240082','040000179687','12475',(select max(to_number(i.premium_rcv_detail_code))+1
from ins_premium_det i),'12475','12475','02', '11000003','00','Request by Mr. Omair Ali 25-Sep-2024 allocation no 24Sep240082 ');</v>
      </c>
    </row>
    <row r="757" spans="1:8" ht="105" x14ac:dyDescent="0.25">
      <c r="A757" t="s">
        <v>869</v>
      </c>
      <c r="B757" s="80" t="str">
        <f>VLOOKUP(A757,[1]Sheet1!$B:$C,2,0)</f>
        <v>040000179699</v>
      </c>
      <c r="C757" s="46">
        <v>12320</v>
      </c>
      <c r="D757" s="81">
        <f t="shared" si="47"/>
        <v>12320</v>
      </c>
      <c r="E757" s="79" t="s">
        <v>2492</v>
      </c>
      <c r="F757" s="82" t="str">
        <f t="shared" si="44"/>
        <v>insert into ins_premium_det (premium_rcv_code,assorted_code, rec_amount,premium_rcv_detail_code,remaining_amt, payrec, mode_code,coinsurance_code,class_cd,it_remarks) values</v>
      </c>
      <c r="G757" s="83" t="str">
        <f t="shared" si="45"/>
        <v>('24Sep240082','040000179699','12320',(select max(to_number(i.premium_rcv_detail_code))+1
from ins_premium_det i),'12320','12320','02', '11000003','00','Request by Mr. Omair Ali 25-Sep-2024 allocation no 24Sep240082 ');</v>
      </c>
      <c r="H757" s="84" t="str">
        <f t="shared" si="46"/>
        <v>insert into ins_premium_det (premium_rcv_code,assorted_code, rec_amount,premium_rcv_detail_code,remaining_amt, payrec, mode_code,coinsurance_code,class_cd,it_remarks) values('24Sep240082','040000179699','12320',(select max(to_number(i.premium_rcv_detail_code))+1
from ins_premium_det i),'12320','12320','02', '11000003','00','Request by Mr. Omair Ali 25-Sep-2024 allocation no 24Sep240082 ');</v>
      </c>
    </row>
    <row r="758" spans="1:8" ht="105" x14ac:dyDescent="0.25">
      <c r="A758" t="s">
        <v>870</v>
      </c>
      <c r="B758" s="80" t="str">
        <f>VLOOKUP(A758,[1]Sheet1!$B:$C,2,0)</f>
        <v>040000179701</v>
      </c>
      <c r="C758" s="46">
        <v>9550</v>
      </c>
      <c r="D758" s="81">
        <f t="shared" si="47"/>
        <v>9550</v>
      </c>
      <c r="E758" s="79" t="s">
        <v>2492</v>
      </c>
      <c r="F758" s="82" t="str">
        <f t="shared" si="44"/>
        <v>insert into ins_premium_det (premium_rcv_code,assorted_code, rec_amount,premium_rcv_detail_code,remaining_amt, payrec, mode_code,coinsurance_code,class_cd,it_remarks) values</v>
      </c>
      <c r="G758" s="83" t="str">
        <f t="shared" si="45"/>
        <v>('24Sep240082','040000179701','9550',(select max(to_number(i.premium_rcv_detail_code))+1
from ins_premium_det i),'9550','9550','02', '11000003','00','Request by Mr. Omair Ali 25-Sep-2024 allocation no 24Sep240082 ');</v>
      </c>
      <c r="H758" s="84" t="str">
        <f t="shared" si="46"/>
        <v>insert into ins_premium_det (premium_rcv_code,assorted_code, rec_amount,premium_rcv_detail_code,remaining_amt, payrec, mode_code,coinsurance_code,class_cd,it_remarks) values('24Sep240082','040000179701','9550',(select max(to_number(i.premium_rcv_detail_code))+1
from ins_premium_det i),'9550','9550','02', '11000003','00','Request by Mr. Omair Ali 25-Sep-2024 allocation no 24Sep240082 ');</v>
      </c>
    </row>
    <row r="759" spans="1:8" ht="105" x14ac:dyDescent="0.25">
      <c r="A759" t="s">
        <v>871</v>
      </c>
      <c r="B759" s="80" t="str">
        <f>VLOOKUP(A759,[1]Sheet1!$B:$C,2,0)</f>
        <v>040000179705</v>
      </c>
      <c r="C759" s="46">
        <v>9550</v>
      </c>
      <c r="D759" s="81">
        <f t="shared" si="47"/>
        <v>9550</v>
      </c>
      <c r="E759" s="79" t="s">
        <v>2492</v>
      </c>
      <c r="F759" s="82" t="str">
        <f t="shared" si="44"/>
        <v>insert into ins_premium_det (premium_rcv_code,assorted_code, rec_amount,premium_rcv_detail_code,remaining_amt, payrec, mode_code,coinsurance_code,class_cd,it_remarks) values</v>
      </c>
      <c r="G759" s="83" t="str">
        <f t="shared" si="45"/>
        <v>('24Sep240082','040000179705','9550',(select max(to_number(i.premium_rcv_detail_code))+1
from ins_premium_det i),'9550','9550','02', '11000003','00','Request by Mr. Omair Ali 25-Sep-2024 allocation no 24Sep240082 ');</v>
      </c>
      <c r="H759" s="84" t="str">
        <f t="shared" si="46"/>
        <v>insert into ins_premium_det (premium_rcv_code,assorted_code, rec_amount,premium_rcv_detail_code,remaining_amt, payrec, mode_code,coinsurance_code,class_cd,it_remarks) values('24Sep240082','040000179705','9550',(select max(to_number(i.premium_rcv_detail_code))+1
from ins_premium_det i),'9550','9550','02', '11000003','00','Request by Mr. Omair Ali 25-Sep-2024 allocation no 24Sep240082 ');</v>
      </c>
    </row>
    <row r="760" spans="1:8" ht="105" x14ac:dyDescent="0.25">
      <c r="A760" t="s">
        <v>872</v>
      </c>
      <c r="B760" s="80" t="str">
        <f>VLOOKUP(A760,[1]Sheet1!$B:$C,2,0)</f>
        <v>040000179707</v>
      </c>
      <c r="C760" s="46">
        <v>12320</v>
      </c>
      <c r="D760" s="81">
        <f t="shared" si="47"/>
        <v>12320</v>
      </c>
      <c r="E760" s="79" t="s">
        <v>2492</v>
      </c>
      <c r="F760" s="82" t="str">
        <f t="shared" si="44"/>
        <v>insert into ins_premium_det (premium_rcv_code,assorted_code, rec_amount,premium_rcv_detail_code,remaining_amt, payrec, mode_code,coinsurance_code,class_cd,it_remarks) values</v>
      </c>
      <c r="G760" s="83" t="str">
        <f t="shared" si="45"/>
        <v>('24Sep240082','040000179707','12320',(select max(to_number(i.premium_rcv_detail_code))+1
from ins_premium_det i),'12320','12320','02', '11000003','00','Request by Mr. Omair Ali 25-Sep-2024 allocation no 24Sep240082 ');</v>
      </c>
      <c r="H760" s="84" t="str">
        <f t="shared" si="46"/>
        <v>insert into ins_premium_det (premium_rcv_code,assorted_code, rec_amount,premium_rcv_detail_code,remaining_amt, payrec, mode_code,coinsurance_code,class_cd,it_remarks) values('24Sep240082','040000179707','12320',(select max(to_number(i.premium_rcv_detail_code))+1
from ins_premium_det i),'12320','12320','02', '11000003','00','Request by Mr. Omair Ali 25-Sep-2024 allocation no 24Sep240082 ');</v>
      </c>
    </row>
    <row r="761" spans="1:8" ht="105" x14ac:dyDescent="0.25">
      <c r="A761" t="s">
        <v>873</v>
      </c>
      <c r="B761" s="80" t="str">
        <f>VLOOKUP(A761,[1]Sheet1!$B:$C,2,0)</f>
        <v>040000179708</v>
      </c>
      <c r="C761" s="46">
        <v>12320</v>
      </c>
      <c r="D761" s="81">
        <f t="shared" si="47"/>
        <v>12320</v>
      </c>
      <c r="E761" s="79" t="s">
        <v>2492</v>
      </c>
      <c r="F761" s="82" t="str">
        <f t="shared" si="44"/>
        <v>insert into ins_premium_det (premium_rcv_code,assorted_code, rec_amount,premium_rcv_detail_code,remaining_amt, payrec, mode_code,coinsurance_code,class_cd,it_remarks) values</v>
      </c>
      <c r="G761" s="83" t="str">
        <f t="shared" si="45"/>
        <v>('24Sep240082','040000179708','12320',(select max(to_number(i.premium_rcv_detail_code))+1
from ins_premium_det i),'12320','12320','02', '11000003','00','Request by Mr. Omair Ali 25-Sep-2024 allocation no 24Sep240082 ');</v>
      </c>
      <c r="H761" s="84" t="str">
        <f t="shared" si="46"/>
        <v>insert into ins_premium_det (premium_rcv_code,assorted_code, rec_amount,premium_rcv_detail_code,remaining_amt, payrec, mode_code,coinsurance_code,class_cd,it_remarks) values('24Sep240082','040000179708','12320',(select max(to_number(i.premium_rcv_detail_code))+1
from ins_premium_det i),'12320','12320','02', '11000003','00','Request by Mr. Omair Ali 25-Sep-2024 allocation no 24Sep240082 ');</v>
      </c>
    </row>
    <row r="762" spans="1:8" ht="105" x14ac:dyDescent="0.25">
      <c r="A762" t="s">
        <v>874</v>
      </c>
      <c r="B762" s="80" t="str">
        <f>VLOOKUP(A762,[1]Sheet1!$B:$C,2,0)</f>
        <v>040000179711</v>
      </c>
      <c r="C762" s="46">
        <v>8800</v>
      </c>
      <c r="D762" s="81">
        <f t="shared" si="47"/>
        <v>8800</v>
      </c>
      <c r="E762" s="79" t="s">
        <v>2492</v>
      </c>
      <c r="F762" s="82" t="str">
        <f t="shared" si="44"/>
        <v>insert into ins_premium_det (premium_rcv_code,assorted_code, rec_amount,premium_rcv_detail_code,remaining_amt, payrec, mode_code,coinsurance_code,class_cd,it_remarks) values</v>
      </c>
      <c r="G762" s="83" t="str">
        <f t="shared" si="45"/>
        <v>('24Sep240082','040000179711','8800',(select max(to_number(i.premium_rcv_detail_code))+1
from ins_premium_det i),'8800','8800','02', '11000003','00','Request by Mr. Omair Ali 25-Sep-2024 allocation no 24Sep240082 ');</v>
      </c>
      <c r="H762" s="84" t="str">
        <f t="shared" si="46"/>
        <v>insert into ins_premium_det (premium_rcv_code,assorted_code, rec_amount,premium_rcv_detail_code,remaining_amt, payrec, mode_code,coinsurance_code,class_cd,it_remarks) values('24Sep240082','040000179711','8800',(select max(to_number(i.premium_rcv_detail_code))+1
from ins_premium_det i),'8800','8800','02', '11000003','00','Request by Mr. Omair Ali 25-Sep-2024 allocation no 24Sep240082 ');</v>
      </c>
    </row>
    <row r="763" spans="1:8" ht="105" x14ac:dyDescent="0.25">
      <c r="A763" t="s">
        <v>875</v>
      </c>
      <c r="B763" s="80" t="str">
        <f>VLOOKUP(A763,[1]Sheet1!$B:$C,2,0)</f>
        <v>040000179713</v>
      </c>
      <c r="C763" s="46">
        <v>8800</v>
      </c>
      <c r="D763" s="81">
        <f t="shared" si="47"/>
        <v>8800</v>
      </c>
      <c r="E763" s="79" t="s">
        <v>2492</v>
      </c>
      <c r="F763" s="82" t="str">
        <f t="shared" si="44"/>
        <v>insert into ins_premium_det (premium_rcv_code,assorted_code, rec_amount,premium_rcv_detail_code,remaining_amt, payrec, mode_code,coinsurance_code,class_cd,it_remarks) values</v>
      </c>
      <c r="G763" s="83" t="str">
        <f t="shared" si="45"/>
        <v>('24Sep240082','040000179713','8800',(select max(to_number(i.premium_rcv_detail_code))+1
from ins_premium_det i),'8800','8800','02', '11000003','00','Request by Mr. Omair Ali 25-Sep-2024 allocation no 24Sep240082 ');</v>
      </c>
      <c r="H763" s="84" t="str">
        <f t="shared" si="46"/>
        <v>insert into ins_premium_det (premium_rcv_code,assorted_code, rec_amount,premium_rcv_detail_code,remaining_amt, payrec, mode_code,coinsurance_code,class_cd,it_remarks) values('24Sep240082','040000179713','8800',(select max(to_number(i.premium_rcv_detail_code))+1
from ins_premium_det i),'8800','8800','02', '11000003','00','Request by Mr. Omair Ali 25-Sep-2024 allocation no 24Sep240082 ');</v>
      </c>
    </row>
    <row r="764" spans="1:8" ht="105" x14ac:dyDescent="0.25">
      <c r="A764" t="s">
        <v>876</v>
      </c>
      <c r="B764" s="80" t="str">
        <f>VLOOKUP(A764,[1]Sheet1!$B:$C,2,0)</f>
        <v>040000179714</v>
      </c>
      <c r="C764" s="46">
        <v>8800</v>
      </c>
      <c r="D764" s="81">
        <f t="shared" si="47"/>
        <v>8800</v>
      </c>
      <c r="E764" s="79" t="s">
        <v>2492</v>
      </c>
      <c r="F764" s="82" t="str">
        <f t="shared" si="44"/>
        <v>insert into ins_premium_det (premium_rcv_code,assorted_code, rec_amount,premium_rcv_detail_code,remaining_amt, payrec, mode_code,coinsurance_code,class_cd,it_remarks) values</v>
      </c>
      <c r="G764" s="83" t="str">
        <f t="shared" si="45"/>
        <v>('24Sep240082','040000179714','8800',(select max(to_number(i.premium_rcv_detail_code))+1
from ins_premium_det i),'8800','8800','02', '11000003','00','Request by Mr. Omair Ali 25-Sep-2024 allocation no 24Sep240082 ');</v>
      </c>
      <c r="H764" s="84" t="str">
        <f t="shared" si="46"/>
        <v>insert into ins_premium_det (premium_rcv_code,assorted_code, rec_amount,premium_rcv_detail_code,remaining_amt, payrec, mode_code,coinsurance_code,class_cd,it_remarks) values('24Sep240082','040000179714','8800',(select max(to_number(i.premium_rcv_detail_code))+1
from ins_premium_det i),'8800','8800','02', '11000003','00','Request by Mr. Omair Ali 25-Sep-2024 allocation no 24Sep240082 ');</v>
      </c>
    </row>
    <row r="765" spans="1:8" ht="105" x14ac:dyDescent="0.25">
      <c r="A765" t="s">
        <v>877</v>
      </c>
      <c r="B765" s="80" t="str">
        <f>VLOOKUP(A765,[1]Sheet1!$B:$C,2,0)</f>
        <v>040000179715</v>
      </c>
      <c r="C765" s="46">
        <v>9550</v>
      </c>
      <c r="D765" s="81">
        <f t="shared" si="47"/>
        <v>9550</v>
      </c>
      <c r="E765" s="79" t="s">
        <v>2492</v>
      </c>
      <c r="F765" s="82" t="str">
        <f t="shared" si="44"/>
        <v>insert into ins_premium_det (premium_rcv_code,assorted_code, rec_amount,premium_rcv_detail_code,remaining_amt, payrec, mode_code,coinsurance_code,class_cd,it_remarks) values</v>
      </c>
      <c r="G765" s="83" t="str">
        <f t="shared" si="45"/>
        <v>('24Sep240082','040000179715','9550',(select max(to_number(i.premium_rcv_detail_code))+1
from ins_premium_det i),'9550','9550','02', '11000003','00','Request by Mr. Omair Ali 25-Sep-2024 allocation no 24Sep240082 ');</v>
      </c>
      <c r="H765" s="84" t="str">
        <f t="shared" si="46"/>
        <v>insert into ins_premium_det (premium_rcv_code,assorted_code, rec_amount,premium_rcv_detail_code,remaining_amt, payrec, mode_code,coinsurance_code,class_cd,it_remarks) values('24Sep240082','040000179715','9550',(select max(to_number(i.premium_rcv_detail_code))+1
from ins_premium_det i),'9550','9550','02', '11000003','00','Request by Mr. Omair Ali 25-Sep-2024 allocation no 24Sep240082 ');</v>
      </c>
    </row>
    <row r="766" spans="1:8" ht="105" x14ac:dyDescent="0.25">
      <c r="A766" t="s">
        <v>878</v>
      </c>
      <c r="B766" s="80" t="str">
        <f>VLOOKUP(A766,[1]Sheet1!$B:$C,2,0)</f>
        <v>040000179717</v>
      </c>
      <c r="C766" s="46">
        <v>8800</v>
      </c>
      <c r="D766" s="81">
        <f t="shared" si="47"/>
        <v>8800</v>
      </c>
      <c r="E766" s="79" t="s">
        <v>2492</v>
      </c>
      <c r="F766" s="82" t="str">
        <f t="shared" si="44"/>
        <v>insert into ins_premium_det (premium_rcv_code,assorted_code, rec_amount,premium_rcv_detail_code,remaining_amt, payrec, mode_code,coinsurance_code,class_cd,it_remarks) values</v>
      </c>
      <c r="G766" s="83" t="str">
        <f t="shared" si="45"/>
        <v>('24Sep240082','040000179717','8800',(select max(to_number(i.premium_rcv_detail_code))+1
from ins_premium_det i),'8800','8800','02', '11000003','00','Request by Mr. Omair Ali 25-Sep-2024 allocation no 24Sep240082 ');</v>
      </c>
      <c r="H766" s="84" t="str">
        <f t="shared" si="46"/>
        <v>insert into ins_premium_det (premium_rcv_code,assorted_code, rec_amount,premium_rcv_detail_code,remaining_amt, payrec, mode_code,coinsurance_code,class_cd,it_remarks) values('24Sep240082','040000179717','8800',(select max(to_number(i.premium_rcv_detail_code))+1
from ins_premium_det i),'8800','8800','02', '11000003','00','Request by Mr. Omair Ali 25-Sep-2024 allocation no 24Sep240082 ');</v>
      </c>
    </row>
    <row r="767" spans="1:8" ht="105" x14ac:dyDescent="0.25">
      <c r="A767" t="s">
        <v>879</v>
      </c>
      <c r="B767" s="80" t="str">
        <f>VLOOKUP(A767,[1]Sheet1!$B:$C,2,0)</f>
        <v>040000179718</v>
      </c>
      <c r="C767" s="46">
        <v>8800</v>
      </c>
      <c r="D767" s="81">
        <f t="shared" si="47"/>
        <v>8800</v>
      </c>
      <c r="E767" s="79" t="s">
        <v>2492</v>
      </c>
      <c r="F767" s="82" t="str">
        <f t="shared" si="44"/>
        <v>insert into ins_premium_det (premium_rcv_code,assorted_code, rec_amount,premium_rcv_detail_code,remaining_amt, payrec, mode_code,coinsurance_code,class_cd,it_remarks) values</v>
      </c>
      <c r="G767" s="83" t="str">
        <f t="shared" si="45"/>
        <v>('24Sep240082','040000179718','8800',(select max(to_number(i.premium_rcv_detail_code))+1
from ins_premium_det i),'8800','8800','02', '11000003','00','Request by Mr. Omair Ali 25-Sep-2024 allocation no 24Sep240082 ');</v>
      </c>
      <c r="H767" s="84" t="str">
        <f t="shared" si="46"/>
        <v>insert into ins_premium_det (premium_rcv_code,assorted_code, rec_amount,premium_rcv_detail_code,remaining_amt, payrec, mode_code,coinsurance_code,class_cd,it_remarks) values('24Sep240082','040000179718','8800',(select max(to_number(i.premium_rcv_detail_code))+1
from ins_premium_det i),'8800','8800','02', '11000003','00','Request by Mr. Omair Ali 25-Sep-2024 allocation no 24Sep240082 ');</v>
      </c>
    </row>
    <row r="768" spans="1:8" ht="105" x14ac:dyDescent="0.25">
      <c r="A768" t="s">
        <v>880</v>
      </c>
      <c r="B768" s="80" t="str">
        <f>VLOOKUP(A768,[1]Sheet1!$B:$C,2,0)</f>
        <v>040000179723</v>
      </c>
      <c r="C768" s="46">
        <v>8800</v>
      </c>
      <c r="D768" s="81">
        <f t="shared" si="47"/>
        <v>8800</v>
      </c>
      <c r="E768" s="79" t="s">
        <v>2492</v>
      </c>
      <c r="F768" s="82" t="str">
        <f t="shared" si="44"/>
        <v>insert into ins_premium_det (premium_rcv_code,assorted_code, rec_amount,premium_rcv_detail_code,remaining_amt, payrec, mode_code,coinsurance_code,class_cd,it_remarks) values</v>
      </c>
      <c r="G768" s="83" t="str">
        <f t="shared" si="45"/>
        <v>('24Sep240082','040000179723','8800',(select max(to_number(i.premium_rcv_detail_code))+1
from ins_premium_det i),'8800','8800','02', '11000003','00','Request by Mr. Omair Ali 25-Sep-2024 allocation no 24Sep240082 ');</v>
      </c>
      <c r="H768" s="84" t="str">
        <f t="shared" si="46"/>
        <v>insert into ins_premium_det (premium_rcv_code,assorted_code, rec_amount,premium_rcv_detail_code,remaining_amt, payrec, mode_code,coinsurance_code,class_cd,it_remarks) values('24Sep240082','040000179723','8800',(select max(to_number(i.premium_rcv_detail_code))+1
from ins_premium_det i),'8800','8800','02', '11000003','00','Request by Mr. Omair Ali 25-Sep-2024 allocation no 24Sep240082 ');</v>
      </c>
    </row>
    <row r="769" spans="1:8" ht="105" x14ac:dyDescent="0.25">
      <c r="A769" t="s">
        <v>881</v>
      </c>
      <c r="B769" s="80" t="str">
        <f>VLOOKUP(A769,[1]Sheet1!$B:$C,2,0)</f>
        <v>040000179726</v>
      </c>
      <c r="C769" s="46">
        <v>13675</v>
      </c>
      <c r="D769" s="81">
        <f t="shared" si="47"/>
        <v>13675</v>
      </c>
      <c r="E769" s="79" t="s">
        <v>2492</v>
      </c>
      <c r="F769" s="82" t="str">
        <f t="shared" si="44"/>
        <v>insert into ins_premium_det (premium_rcv_code,assorted_code, rec_amount,premium_rcv_detail_code,remaining_amt, payrec, mode_code,coinsurance_code,class_cd,it_remarks) values</v>
      </c>
      <c r="G769" s="83" t="str">
        <f t="shared" si="45"/>
        <v>('24Sep240082','040000179726','13675',(select max(to_number(i.premium_rcv_detail_code))+1
from ins_premium_det i),'13675','13675','02', '11000003','00','Request by Mr. Omair Ali 25-Sep-2024 allocation no 24Sep240082 ');</v>
      </c>
      <c r="H769" s="84" t="str">
        <f t="shared" si="46"/>
        <v>insert into ins_premium_det (premium_rcv_code,assorted_code, rec_amount,premium_rcv_detail_code,remaining_amt, payrec, mode_code,coinsurance_code,class_cd,it_remarks) values('24Sep240082','040000179726','13675',(select max(to_number(i.premium_rcv_detail_code))+1
from ins_premium_det i),'13675','13675','02', '11000003','00','Request by Mr. Omair Ali 25-Sep-2024 allocation no 24Sep240082 ');</v>
      </c>
    </row>
    <row r="770" spans="1:8" ht="105" x14ac:dyDescent="0.25">
      <c r="A770" t="s">
        <v>882</v>
      </c>
      <c r="B770" s="80" t="str">
        <f>VLOOKUP(A770,[1]Sheet1!$B:$C,2,0)</f>
        <v>040000179727</v>
      </c>
      <c r="C770" s="46">
        <v>9550</v>
      </c>
      <c r="D770" s="81">
        <f t="shared" si="47"/>
        <v>9550</v>
      </c>
      <c r="E770" s="79" t="s">
        <v>2492</v>
      </c>
      <c r="F770" s="82" t="str">
        <f t="shared" ref="F770:F833" si="4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70" s="83" t="str">
        <f t="shared" si="45"/>
        <v>('24Sep240082','040000179727','9550',(select max(to_number(i.premium_rcv_detail_code))+1
from ins_premium_det i),'9550','9550','02', '11000003','00','Request by Mr. Omair Ali 25-Sep-2024 allocation no 24Sep240082 ');</v>
      </c>
      <c r="H770" s="84" t="str">
        <f t="shared" si="46"/>
        <v>insert into ins_premium_det (premium_rcv_code,assorted_code, rec_amount,premium_rcv_detail_code,remaining_amt, payrec, mode_code,coinsurance_code,class_cd,it_remarks) values('24Sep240082','040000179727','9550',(select max(to_number(i.premium_rcv_detail_code))+1
from ins_premium_det i),'9550','9550','02', '11000003','00','Request by Mr. Omair Ali 25-Sep-2024 allocation no 24Sep240082 ');</v>
      </c>
    </row>
    <row r="771" spans="1:8" ht="105" x14ac:dyDescent="0.25">
      <c r="A771" t="s">
        <v>883</v>
      </c>
      <c r="B771" s="80" t="str">
        <f>VLOOKUP(A771,[1]Sheet1!$B:$C,2,0)</f>
        <v>040000179728</v>
      </c>
      <c r="C771" s="46">
        <v>13675</v>
      </c>
      <c r="D771" s="81">
        <f t="shared" si="47"/>
        <v>13675</v>
      </c>
      <c r="E771" s="79" t="s">
        <v>2492</v>
      </c>
      <c r="F771" s="82" t="str">
        <f t="shared" si="48"/>
        <v>insert into ins_premium_det (premium_rcv_code,assorted_code, rec_amount,premium_rcv_detail_code,remaining_amt, payrec, mode_code,coinsurance_code,class_cd,it_remarks) values</v>
      </c>
      <c r="G771" s="83" t="str">
        <f t="shared" ref="G771:G834" si="49">"('"&amp;E771&amp;"','"&amp;B771&amp;"','"&amp;D771&amp;"',(select max(to_number(i.premium_rcv_detail_code))+1
from ins_premium_det i),'"&amp;D771&amp;"','"&amp;D771&amp;"','02', '11000003','00','Request by Mr. Omair Ali 25-Sep-2024 allocation no 24Sep240082 ');"</f>
        <v>('24Sep240082','040000179728','13675',(select max(to_number(i.premium_rcv_detail_code))+1
from ins_premium_det i),'13675','13675','02', '11000003','00','Request by Mr. Omair Ali 25-Sep-2024 allocation no 24Sep240082 ');</v>
      </c>
      <c r="H771" s="84" t="str">
        <f t="shared" ref="H771:H834" si="50">F771&amp;G771</f>
        <v>insert into ins_premium_det (premium_rcv_code,assorted_code, rec_amount,premium_rcv_detail_code,remaining_amt, payrec, mode_code,coinsurance_code,class_cd,it_remarks) values('24Sep240082','040000179728','13675',(select max(to_number(i.premium_rcv_detail_code))+1
from ins_premium_det i),'13675','13675','02', '11000003','00','Request by Mr. Omair Ali 25-Sep-2024 allocation no 24Sep240082 ');</v>
      </c>
    </row>
    <row r="772" spans="1:8" ht="105" x14ac:dyDescent="0.25">
      <c r="A772" t="s">
        <v>884</v>
      </c>
      <c r="B772" s="80" t="str">
        <f>VLOOKUP(A772,[1]Sheet1!$B:$C,2,0)</f>
        <v>040000179730</v>
      </c>
      <c r="C772" s="46">
        <v>9550</v>
      </c>
      <c r="D772" s="81">
        <f t="shared" ref="D772:D835" si="51">ROUND(C772,0)</f>
        <v>9550</v>
      </c>
      <c r="E772" s="79" t="s">
        <v>2492</v>
      </c>
      <c r="F772" s="82" t="str">
        <f t="shared" si="48"/>
        <v>insert into ins_premium_det (premium_rcv_code,assorted_code, rec_amount,premium_rcv_detail_code,remaining_amt, payrec, mode_code,coinsurance_code,class_cd,it_remarks) values</v>
      </c>
      <c r="G772" s="83" t="str">
        <f t="shared" si="49"/>
        <v>('24Sep240082','040000179730','9550',(select max(to_number(i.premium_rcv_detail_code))+1
from ins_premium_det i),'9550','9550','02', '11000003','00','Request by Mr. Omair Ali 25-Sep-2024 allocation no 24Sep240082 ');</v>
      </c>
      <c r="H772" s="84" t="str">
        <f t="shared" si="50"/>
        <v>insert into ins_premium_det (premium_rcv_code,assorted_code, rec_amount,premium_rcv_detail_code,remaining_amt, payrec, mode_code,coinsurance_code,class_cd,it_remarks) values('24Sep240082','040000179730','9550',(select max(to_number(i.premium_rcv_detail_code))+1
from ins_premium_det i),'9550','9550','02', '11000003','00','Request by Mr. Omair Ali 25-Sep-2024 allocation no 24Sep240082 ');</v>
      </c>
    </row>
    <row r="773" spans="1:8" ht="105" x14ac:dyDescent="0.25">
      <c r="A773" t="s">
        <v>885</v>
      </c>
      <c r="B773" s="80" t="str">
        <f>VLOOKUP(A773,[1]Sheet1!$B:$C,2,0)</f>
        <v>040000179731</v>
      </c>
      <c r="C773" s="46">
        <v>9550</v>
      </c>
      <c r="D773" s="81">
        <f t="shared" si="51"/>
        <v>9550</v>
      </c>
      <c r="E773" s="79" t="s">
        <v>2492</v>
      </c>
      <c r="F773" s="82" t="str">
        <f t="shared" si="48"/>
        <v>insert into ins_premium_det (premium_rcv_code,assorted_code, rec_amount,premium_rcv_detail_code,remaining_amt, payrec, mode_code,coinsurance_code,class_cd,it_remarks) values</v>
      </c>
      <c r="G773" s="83" t="str">
        <f t="shared" si="49"/>
        <v>('24Sep240082','040000179731','9550',(select max(to_number(i.premium_rcv_detail_code))+1
from ins_premium_det i),'9550','9550','02', '11000003','00','Request by Mr. Omair Ali 25-Sep-2024 allocation no 24Sep240082 ');</v>
      </c>
      <c r="H773" s="84" t="str">
        <f t="shared" si="50"/>
        <v>insert into ins_premium_det (premium_rcv_code,assorted_code, rec_amount,premium_rcv_detail_code,remaining_amt, payrec, mode_code,coinsurance_code,class_cd,it_remarks) values('24Sep240082','040000179731','9550',(select max(to_number(i.premium_rcv_detail_code))+1
from ins_premium_det i),'9550','9550','02', '11000003','00','Request by Mr. Omair Ali 25-Sep-2024 allocation no 24Sep240082 ');</v>
      </c>
    </row>
    <row r="774" spans="1:8" ht="105" x14ac:dyDescent="0.25">
      <c r="A774" t="s">
        <v>886</v>
      </c>
      <c r="B774" s="80" t="str">
        <f>VLOOKUP(A774,[1]Sheet1!$B:$C,2,0)</f>
        <v>040000179735</v>
      </c>
      <c r="C774" s="46">
        <v>9550</v>
      </c>
      <c r="D774" s="81">
        <f t="shared" si="51"/>
        <v>9550</v>
      </c>
      <c r="E774" s="79" t="s">
        <v>2492</v>
      </c>
      <c r="F774" s="82" t="str">
        <f t="shared" si="48"/>
        <v>insert into ins_premium_det (premium_rcv_code,assorted_code, rec_amount,premium_rcv_detail_code,remaining_amt, payrec, mode_code,coinsurance_code,class_cd,it_remarks) values</v>
      </c>
      <c r="G774" s="83" t="str">
        <f t="shared" si="49"/>
        <v>('24Sep240082','040000179735','9550',(select max(to_number(i.premium_rcv_detail_code))+1
from ins_premium_det i),'9550','9550','02', '11000003','00','Request by Mr. Omair Ali 25-Sep-2024 allocation no 24Sep240082 ');</v>
      </c>
      <c r="H774" s="84" t="str">
        <f t="shared" si="50"/>
        <v>insert into ins_premium_det (premium_rcv_code,assorted_code, rec_amount,premium_rcv_detail_code,remaining_amt, payrec, mode_code,coinsurance_code,class_cd,it_remarks) values('24Sep240082','040000179735','9550',(select max(to_number(i.premium_rcv_detail_code))+1
from ins_premium_det i),'9550','9550','02', '11000003','00','Request by Mr. Omair Ali 25-Sep-2024 allocation no 24Sep240082 ');</v>
      </c>
    </row>
    <row r="775" spans="1:8" ht="105" x14ac:dyDescent="0.25">
      <c r="A775" t="s">
        <v>887</v>
      </c>
      <c r="B775" s="80" t="str">
        <f>VLOOKUP(A775,[1]Sheet1!$B:$C,2,0)</f>
        <v>040000179739</v>
      </c>
      <c r="C775" s="46">
        <v>8800</v>
      </c>
      <c r="D775" s="81">
        <f t="shared" si="51"/>
        <v>8800</v>
      </c>
      <c r="E775" s="79" t="s">
        <v>2492</v>
      </c>
      <c r="F775" s="82" t="str">
        <f t="shared" si="48"/>
        <v>insert into ins_premium_det (premium_rcv_code,assorted_code, rec_amount,premium_rcv_detail_code,remaining_amt, payrec, mode_code,coinsurance_code,class_cd,it_remarks) values</v>
      </c>
      <c r="G775" s="83" t="str">
        <f t="shared" si="49"/>
        <v>('24Sep240082','040000179739','8800',(select max(to_number(i.premium_rcv_detail_code))+1
from ins_premium_det i),'8800','8800','02', '11000003','00','Request by Mr. Omair Ali 25-Sep-2024 allocation no 24Sep240082 ');</v>
      </c>
      <c r="H775" s="84" t="str">
        <f t="shared" si="50"/>
        <v>insert into ins_premium_det (premium_rcv_code,assorted_code, rec_amount,premium_rcv_detail_code,remaining_amt, payrec, mode_code,coinsurance_code,class_cd,it_remarks) values('24Sep240082','040000179739','8800',(select max(to_number(i.premium_rcv_detail_code))+1
from ins_premium_det i),'8800','8800','02', '11000003','00','Request by Mr. Omair Ali 25-Sep-2024 allocation no 24Sep240082 ');</v>
      </c>
    </row>
    <row r="776" spans="1:8" ht="105" x14ac:dyDescent="0.25">
      <c r="A776" t="s">
        <v>888</v>
      </c>
      <c r="B776" s="80" t="str">
        <f>VLOOKUP(A776,[1]Sheet1!$B:$C,2,0)</f>
        <v>040000179749</v>
      </c>
      <c r="C776" s="46">
        <v>8800</v>
      </c>
      <c r="D776" s="81">
        <f t="shared" si="51"/>
        <v>8800</v>
      </c>
      <c r="E776" s="79" t="s">
        <v>2492</v>
      </c>
      <c r="F776" s="82" t="str">
        <f t="shared" si="48"/>
        <v>insert into ins_premium_det (premium_rcv_code,assorted_code, rec_amount,premium_rcv_detail_code,remaining_amt, payrec, mode_code,coinsurance_code,class_cd,it_remarks) values</v>
      </c>
      <c r="G776" s="83" t="str">
        <f t="shared" si="49"/>
        <v>('24Sep240082','040000179749','8800',(select max(to_number(i.premium_rcv_detail_code))+1
from ins_premium_det i),'8800','8800','02', '11000003','00','Request by Mr. Omair Ali 25-Sep-2024 allocation no 24Sep240082 ');</v>
      </c>
      <c r="H776" s="84" t="str">
        <f t="shared" si="50"/>
        <v>insert into ins_premium_det (premium_rcv_code,assorted_code, rec_amount,premium_rcv_detail_code,remaining_amt, payrec, mode_code,coinsurance_code,class_cd,it_remarks) values('24Sep240082','040000179749','8800',(select max(to_number(i.premium_rcv_detail_code))+1
from ins_premium_det i),'8800','8800','02', '11000003','00','Request by Mr. Omair Ali 25-Sep-2024 allocation no 24Sep240082 ');</v>
      </c>
    </row>
    <row r="777" spans="1:8" ht="105" x14ac:dyDescent="0.25">
      <c r="A777" t="s">
        <v>889</v>
      </c>
      <c r="B777" s="80" t="str">
        <f>VLOOKUP(A777,[1]Sheet1!$B:$C,2,0)</f>
        <v>040000179751</v>
      </c>
      <c r="C777" s="46">
        <v>12320</v>
      </c>
      <c r="D777" s="81">
        <f t="shared" si="51"/>
        <v>12320</v>
      </c>
      <c r="E777" s="79" t="s">
        <v>2492</v>
      </c>
      <c r="F777" s="82" t="str">
        <f t="shared" si="48"/>
        <v>insert into ins_premium_det (premium_rcv_code,assorted_code, rec_amount,premium_rcv_detail_code,remaining_amt, payrec, mode_code,coinsurance_code,class_cd,it_remarks) values</v>
      </c>
      <c r="G777" s="83" t="str">
        <f t="shared" si="49"/>
        <v>('24Sep240082','040000179751','12320',(select max(to_number(i.premium_rcv_detail_code))+1
from ins_premium_det i),'12320','12320','02', '11000003','00','Request by Mr. Omair Ali 25-Sep-2024 allocation no 24Sep240082 ');</v>
      </c>
      <c r="H777" s="84" t="str">
        <f t="shared" si="50"/>
        <v>insert into ins_premium_det (premium_rcv_code,assorted_code, rec_amount,premium_rcv_detail_code,remaining_amt, payrec, mode_code,coinsurance_code,class_cd,it_remarks) values('24Sep240082','040000179751','12320',(select max(to_number(i.premium_rcv_detail_code))+1
from ins_premium_det i),'12320','12320','02', '11000003','00','Request by Mr. Omair Ali 25-Sep-2024 allocation no 24Sep240082 ');</v>
      </c>
    </row>
    <row r="778" spans="1:8" ht="105" x14ac:dyDescent="0.25">
      <c r="A778" t="s">
        <v>890</v>
      </c>
      <c r="B778" s="80" t="str">
        <f>VLOOKUP(A778,[1]Sheet1!$B:$C,2,0)</f>
        <v>040000179759</v>
      </c>
      <c r="C778" s="46">
        <v>13370</v>
      </c>
      <c r="D778" s="81">
        <f t="shared" si="51"/>
        <v>13370</v>
      </c>
      <c r="E778" s="79" t="s">
        <v>2492</v>
      </c>
      <c r="F778" s="82" t="str">
        <f t="shared" si="48"/>
        <v>insert into ins_premium_det (premium_rcv_code,assorted_code, rec_amount,premium_rcv_detail_code,remaining_amt, payrec, mode_code,coinsurance_code,class_cd,it_remarks) values</v>
      </c>
      <c r="G778" s="83" t="str">
        <f t="shared" si="49"/>
        <v>('24Sep240082','040000179759','13370',(select max(to_number(i.premium_rcv_detail_code))+1
from ins_premium_det i),'13370','13370','02', '11000003','00','Request by Mr. Omair Ali 25-Sep-2024 allocation no 24Sep240082 ');</v>
      </c>
      <c r="H778" s="84" t="str">
        <f t="shared" si="50"/>
        <v>insert into ins_premium_det (premium_rcv_code,assorted_code, rec_amount,premium_rcv_detail_code,remaining_amt, payrec, mode_code,coinsurance_code,class_cd,it_remarks) values('24Sep240082','040000179759','13370',(select max(to_number(i.premium_rcv_detail_code))+1
from ins_premium_det i),'13370','13370','02', '11000003','00','Request by Mr. Omair Ali 25-Sep-2024 allocation no 24Sep240082 ');</v>
      </c>
    </row>
    <row r="779" spans="1:8" ht="105" x14ac:dyDescent="0.25">
      <c r="A779" t="s">
        <v>891</v>
      </c>
      <c r="B779" s="80" t="str">
        <f>VLOOKUP(A779,[1]Sheet1!$B:$C,2,0)</f>
        <v>040000179784</v>
      </c>
      <c r="C779" s="46">
        <v>12320</v>
      </c>
      <c r="D779" s="81">
        <f t="shared" si="51"/>
        <v>12320</v>
      </c>
      <c r="E779" s="79" t="s">
        <v>2492</v>
      </c>
      <c r="F779" s="82" t="str">
        <f t="shared" si="48"/>
        <v>insert into ins_premium_det (premium_rcv_code,assorted_code, rec_amount,premium_rcv_detail_code,remaining_amt, payrec, mode_code,coinsurance_code,class_cd,it_remarks) values</v>
      </c>
      <c r="G779" s="83" t="str">
        <f t="shared" si="49"/>
        <v>('24Sep240082','040000179784','12320',(select max(to_number(i.premium_rcv_detail_code))+1
from ins_premium_det i),'12320','12320','02', '11000003','00','Request by Mr. Omair Ali 25-Sep-2024 allocation no 24Sep240082 ');</v>
      </c>
      <c r="H779" s="84" t="str">
        <f t="shared" si="50"/>
        <v>insert into ins_premium_det (premium_rcv_code,assorted_code, rec_amount,premium_rcv_detail_code,remaining_amt, payrec, mode_code,coinsurance_code,class_cd,it_remarks) values('24Sep240082','040000179784','12320',(select max(to_number(i.premium_rcv_detail_code))+1
from ins_premium_det i),'12320','12320','02', '11000003','00','Request by Mr. Omair Ali 25-Sep-2024 allocation no 24Sep240082 ');</v>
      </c>
    </row>
    <row r="780" spans="1:8" ht="105" x14ac:dyDescent="0.25">
      <c r="A780" t="s">
        <v>892</v>
      </c>
      <c r="B780" s="80" t="str">
        <f>VLOOKUP(A780,[1]Sheet1!$B:$C,2,0)</f>
        <v>040000179789</v>
      </c>
      <c r="C780" s="46">
        <v>9550</v>
      </c>
      <c r="D780" s="81">
        <f t="shared" si="51"/>
        <v>9550</v>
      </c>
      <c r="E780" s="79" t="s">
        <v>2492</v>
      </c>
      <c r="F780" s="82" t="str">
        <f t="shared" si="48"/>
        <v>insert into ins_premium_det (premium_rcv_code,assorted_code, rec_amount,premium_rcv_detail_code,remaining_amt, payrec, mode_code,coinsurance_code,class_cd,it_remarks) values</v>
      </c>
      <c r="G780" s="83" t="str">
        <f t="shared" si="49"/>
        <v>('24Sep240082','040000179789','9550',(select max(to_number(i.premium_rcv_detail_code))+1
from ins_premium_det i),'9550','9550','02', '11000003','00','Request by Mr. Omair Ali 25-Sep-2024 allocation no 24Sep240082 ');</v>
      </c>
      <c r="H780" s="84" t="str">
        <f t="shared" si="50"/>
        <v>insert into ins_premium_det (premium_rcv_code,assorted_code, rec_amount,premium_rcv_detail_code,remaining_amt, payrec, mode_code,coinsurance_code,class_cd,it_remarks) values('24Sep240082','040000179789','9550',(select max(to_number(i.premium_rcv_detail_code))+1
from ins_premium_det i),'9550','9550','02', '11000003','00','Request by Mr. Omair Ali 25-Sep-2024 allocation no 24Sep240082 ');</v>
      </c>
    </row>
    <row r="781" spans="1:8" ht="105" x14ac:dyDescent="0.25">
      <c r="A781" t="s">
        <v>893</v>
      </c>
      <c r="B781" s="80" t="str">
        <f>VLOOKUP(A781,[1]Sheet1!$B:$C,2,0)</f>
        <v>040000179797</v>
      </c>
      <c r="C781" s="46">
        <v>8800</v>
      </c>
      <c r="D781" s="81">
        <f t="shared" si="51"/>
        <v>8800</v>
      </c>
      <c r="E781" s="79" t="s">
        <v>2492</v>
      </c>
      <c r="F781" s="82" t="str">
        <f t="shared" si="48"/>
        <v>insert into ins_premium_det (premium_rcv_code,assorted_code, rec_amount,premium_rcv_detail_code,remaining_amt, payrec, mode_code,coinsurance_code,class_cd,it_remarks) values</v>
      </c>
      <c r="G781" s="83" t="str">
        <f t="shared" si="49"/>
        <v>('24Sep240082','040000179797','8800',(select max(to_number(i.premium_rcv_detail_code))+1
from ins_premium_det i),'8800','8800','02', '11000003','00','Request by Mr. Omair Ali 25-Sep-2024 allocation no 24Sep240082 ');</v>
      </c>
      <c r="H781" s="84" t="str">
        <f t="shared" si="50"/>
        <v>insert into ins_premium_det (premium_rcv_code,assorted_code, rec_amount,premium_rcv_detail_code,remaining_amt, payrec, mode_code,coinsurance_code,class_cd,it_remarks) values('24Sep240082','040000179797','8800',(select max(to_number(i.premium_rcv_detail_code))+1
from ins_premium_det i),'8800','8800','02', '11000003','00','Request by Mr. Omair Ali 25-Sep-2024 allocation no 24Sep240082 ');</v>
      </c>
    </row>
    <row r="782" spans="1:8" ht="105" x14ac:dyDescent="0.25">
      <c r="A782" t="s">
        <v>894</v>
      </c>
      <c r="B782" s="80" t="str">
        <f>VLOOKUP(A782,[1]Sheet1!$B:$C,2,0)</f>
        <v>040000179809</v>
      </c>
      <c r="C782" s="46">
        <v>8800</v>
      </c>
      <c r="D782" s="81">
        <f t="shared" si="51"/>
        <v>8800</v>
      </c>
      <c r="E782" s="79" t="s">
        <v>2492</v>
      </c>
      <c r="F782" s="82" t="str">
        <f t="shared" si="48"/>
        <v>insert into ins_premium_det (premium_rcv_code,assorted_code, rec_amount,premium_rcv_detail_code,remaining_amt, payrec, mode_code,coinsurance_code,class_cd,it_remarks) values</v>
      </c>
      <c r="G782" s="83" t="str">
        <f t="shared" si="49"/>
        <v>('24Sep240082','040000179809','8800',(select max(to_number(i.premium_rcv_detail_code))+1
from ins_premium_det i),'8800','8800','02', '11000003','00','Request by Mr. Omair Ali 25-Sep-2024 allocation no 24Sep240082 ');</v>
      </c>
      <c r="H782" s="84" t="str">
        <f t="shared" si="50"/>
        <v>insert into ins_premium_det (premium_rcv_code,assorted_code, rec_amount,premium_rcv_detail_code,remaining_amt, payrec, mode_code,coinsurance_code,class_cd,it_remarks) values('24Sep240082','040000179809','8800',(select max(to_number(i.premium_rcv_detail_code))+1
from ins_premium_det i),'8800','8800','02', '11000003','00','Request by Mr. Omair Ali 25-Sep-2024 allocation no 24Sep240082 ');</v>
      </c>
    </row>
    <row r="783" spans="1:8" ht="105" x14ac:dyDescent="0.25">
      <c r="A783" t="s">
        <v>895</v>
      </c>
      <c r="B783" s="80" t="str">
        <f>VLOOKUP(A783,[1]Sheet1!$B:$C,2,0)</f>
        <v>040000179810</v>
      </c>
      <c r="C783" s="46">
        <v>12320</v>
      </c>
      <c r="D783" s="81">
        <f t="shared" si="51"/>
        <v>12320</v>
      </c>
      <c r="E783" s="79" t="s">
        <v>2492</v>
      </c>
      <c r="F783" s="82" t="str">
        <f t="shared" si="48"/>
        <v>insert into ins_premium_det (premium_rcv_code,assorted_code, rec_amount,premium_rcv_detail_code,remaining_amt, payrec, mode_code,coinsurance_code,class_cd,it_remarks) values</v>
      </c>
      <c r="G783" s="83" t="str">
        <f t="shared" si="49"/>
        <v>('24Sep240082','040000179810','12320',(select max(to_number(i.premium_rcv_detail_code))+1
from ins_premium_det i),'12320','12320','02', '11000003','00','Request by Mr. Omair Ali 25-Sep-2024 allocation no 24Sep240082 ');</v>
      </c>
      <c r="H783" s="84" t="str">
        <f t="shared" si="50"/>
        <v>insert into ins_premium_det (premium_rcv_code,assorted_code, rec_amount,premium_rcv_detail_code,remaining_amt, payrec, mode_code,coinsurance_code,class_cd,it_remarks) values('24Sep240082','040000179810','12320',(select max(to_number(i.premium_rcv_detail_code))+1
from ins_premium_det i),'12320','12320','02', '11000003','00','Request by Mr. Omair Ali 25-Sep-2024 allocation no 24Sep240082 ');</v>
      </c>
    </row>
    <row r="784" spans="1:8" ht="105" x14ac:dyDescent="0.25">
      <c r="A784" t="s">
        <v>896</v>
      </c>
      <c r="B784" s="80" t="str">
        <f>VLOOKUP(A784,[1]Sheet1!$B:$C,2,0)</f>
        <v>040000179813</v>
      </c>
      <c r="C784" s="46">
        <v>13370</v>
      </c>
      <c r="D784" s="81">
        <f t="shared" si="51"/>
        <v>13370</v>
      </c>
      <c r="E784" s="79" t="s">
        <v>2492</v>
      </c>
      <c r="F784" s="82" t="str">
        <f t="shared" si="48"/>
        <v>insert into ins_premium_det (premium_rcv_code,assorted_code, rec_amount,premium_rcv_detail_code,remaining_amt, payrec, mode_code,coinsurance_code,class_cd,it_remarks) values</v>
      </c>
      <c r="G784" s="83" t="str">
        <f t="shared" si="49"/>
        <v>('24Sep240082','040000179813','13370',(select max(to_number(i.premium_rcv_detail_code))+1
from ins_premium_det i),'13370','13370','02', '11000003','00','Request by Mr. Omair Ali 25-Sep-2024 allocation no 24Sep240082 ');</v>
      </c>
      <c r="H784" s="84" t="str">
        <f t="shared" si="50"/>
        <v>insert into ins_premium_det (premium_rcv_code,assorted_code, rec_amount,premium_rcv_detail_code,remaining_amt, payrec, mode_code,coinsurance_code,class_cd,it_remarks) values('24Sep240082','040000179813','13370',(select max(to_number(i.premium_rcv_detail_code))+1
from ins_premium_det i),'13370','13370','02', '11000003','00','Request by Mr. Omair Ali 25-Sep-2024 allocation no 24Sep240082 ');</v>
      </c>
    </row>
    <row r="785" spans="1:8" ht="105" x14ac:dyDescent="0.25">
      <c r="A785" t="s">
        <v>897</v>
      </c>
      <c r="B785" s="80" t="str">
        <f>VLOOKUP(A785,[1]Sheet1!$B:$C,2,0)</f>
        <v>040000179814</v>
      </c>
      <c r="C785" s="46">
        <v>13370</v>
      </c>
      <c r="D785" s="81">
        <f t="shared" si="51"/>
        <v>13370</v>
      </c>
      <c r="E785" s="79" t="s">
        <v>2492</v>
      </c>
      <c r="F785" s="82" t="str">
        <f t="shared" si="48"/>
        <v>insert into ins_premium_det (premium_rcv_code,assorted_code, rec_amount,premium_rcv_detail_code,remaining_amt, payrec, mode_code,coinsurance_code,class_cd,it_remarks) values</v>
      </c>
      <c r="G785" s="83" t="str">
        <f t="shared" si="49"/>
        <v>('24Sep240082','040000179814','13370',(select max(to_number(i.premium_rcv_detail_code))+1
from ins_premium_det i),'13370','13370','02', '11000003','00','Request by Mr. Omair Ali 25-Sep-2024 allocation no 24Sep240082 ');</v>
      </c>
      <c r="H785" s="84" t="str">
        <f t="shared" si="50"/>
        <v>insert into ins_premium_det (premium_rcv_code,assorted_code, rec_amount,premium_rcv_detail_code,remaining_amt, payrec, mode_code,coinsurance_code,class_cd,it_remarks) values('24Sep240082','040000179814','13370',(select max(to_number(i.premium_rcv_detail_code))+1
from ins_premium_det i),'13370','13370','02', '11000003','00','Request by Mr. Omair Ali 25-Sep-2024 allocation no 24Sep240082 ');</v>
      </c>
    </row>
    <row r="786" spans="1:8" ht="105" x14ac:dyDescent="0.25">
      <c r="A786" t="s">
        <v>898</v>
      </c>
      <c r="B786" s="80" t="str">
        <f>VLOOKUP(A786,[1]Sheet1!$B:$C,2,0)</f>
        <v>040000179819</v>
      </c>
      <c r="C786" s="46">
        <v>9550</v>
      </c>
      <c r="D786" s="81">
        <f t="shared" si="51"/>
        <v>9550</v>
      </c>
      <c r="E786" s="79" t="s">
        <v>2492</v>
      </c>
      <c r="F786" s="82" t="str">
        <f t="shared" si="48"/>
        <v>insert into ins_premium_det (premium_rcv_code,assorted_code, rec_amount,premium_rcv_detail_code,remaining_amt, payrec, mode_code,coinsurance_code,class_cd,it_remarks) values</v>
      </c>
      <c r="G786" s="83" t="str">
        <f t="shared" si="49"/>
        <v>('24Sep240082','040000179819','9550',(select max(to_number(i.premium_rcv_detail_code))+1
from ins_premium_det i),'9550','9550','02', '11000003','00','Request by Mr. Omair Ali 25-Sep-2024 allocation no 24Sep240082 ');</v>
      </c>
      <c r="H786" s="84" t="str">
        <f t="shared" si="50"/>
        <v>insert into ins_premium_det (premium_rcv_code,assorted_code, rec_amount,premium_rcv_detail_code,remaining_amt, payrec, mode_code,coinsurance_code,class_cd,it_remarks) values('24Sep240082','040000179819','9550',(select max(to_number(i.premium_rcv_detail_code))+1
from ins_premium_det i),'9550','9550','02', '11000003','00','Request by Mr. Omair Ali 25-Sep-2024 allocation no 24Sep240082 ');</v>
      </c>
    </row>
    <row r="787" spans="1:8" ht="105" x14ac:dyDescent="0.25">
      <c r="A787" t="s">
        <v>899</v>
      </c>
      <c r="B787" s="80" t="str">
        <f>VLOOKUP(A787,[1]Sheet1!$B:$C,2,0)</f>
        <v>040000179830</v>
      </c>
      <c r="C787" s="46">
        <v>12320</v>
      </c>
      <c r="D787" s="81">
        <f t="shared" si="51"/>
        <v>12320</v>
      </c>
      <c r="E787" s="79" t="s">
        <v>2492</v>
      </c>
      <c r="F787" s="82" t="str">
        <f t="shared" si="48"/>
        <v>insert into ins_premium_det (premium_rcv_code,assorted_code, rec_amount,premium_rcv_detail_code,remaining_amt, payrec, mode_code,coinsurance_code,class_cd,it_remarks) values</v>
      </c>
      <c r="G787" s="83" t="str">
        <f t="shared" si="49"/>
        <v>('24Sep240082','040000179830','12320',(select max(to_number(i.premium_rcv_detail_code))+1
from ins_premium_det i),'12320','12320','02', '11000003','00','Request by Mr. Omair Ali 25-Sep-2024 allocation no 24Sep240082 ');</v>
      </c>
      <c r="H787" s="84" t="str">
        <f t="shared" si="50"/>
        <v>insert into ins_premium_det (premium_rcv_code,assorted_code, rec_amount,premium_rcv_detail_code,remaining_amt, payrec, mode_code,coinsurance_code,class_cd,it_remarks) values('24Sep240082','040000179830','12320',(select max(to_number(i.premium_rcv_detail_code))+1
from ins_premium_det i),'12320','12320','02', '11000003','00','Request by Mr. Omair Ali 25-Sep-2024 allocation no 24Sep240082 ');</v>
      </c>
    </row>
    <row r="788" spans="1:8" ht="105" x14ac:dyDescent="0.25">
      <c r="A788" t="s">
        <v>900</v>
      </c>
      <c r="B788" s="80" t="str">
        <f>VLOOKUP(A788,[1]Sheet1!$B:$C,2,0)</f>
        <v>040000179832</v>
      </c>
      <c r="C788" s="46">
        <v>9550</v>
      </c>
      <c r="D788" s="81">
        <f t="shared" si="51"/>
        <v>9550</v>
      </c>
      <c r="E788" s="79" t="s">
        <v>2492</v>
      </c>
      <c r="F788" s="82" t="str">
        <f t="shared" si="48"/>
        <v>insert into ins_premium_det (premium_rcv_code,assorted_code, rec_amount,premium_rcv_detail_code,remaining_amt, payrec, mode_code,coinsurance_code,class_cd,it_remarks) values</v>
      </c>
      <c r="G788" s="83" t="str">
        <f t="shared" si="49"/>
        <v>('24Sep240082','040000179832','9550',(select max(to_number(i.premium_rcv_detail_code))+1
from ins_premium_det i),'9550','9550','02', '11000003','00','Request by Mr. Omair Ali 25-Sep-2024 allocation no 24Sep240082 ');</v>
      </c>
      <c r="H788" s="84" t="str">
        <f t="shared" si="50"/>
        <v>insert into ins_premium_det (premium_rcv_code,assorted_code, rec_amount,premium_rcv_detail_code,remaining_amt, payrec, mode_code,coinsurance_code,class_cd,it_remarks) values('24Sep240082','040000179832','9550',(select max(to_number(i.premium_rcv_detail_code))+1
from ins_premium_det i),'9550','9550','02', '11000003','00','Request by Mr. Omair Ali 25-Sep-2024 allocation no 24Sep240082 ');</v>
      </c>
    </row>
    <row r="789" spans="1:8" ht="105" x14ac:dyDescent="0.25">
      <c r="A789" t="s">
        <v>901</v>
      </c>
      <c r="B789" s="80" t="str">
        <f>VLOOKUP(A789,[1]Sheet1!$B:$C,2,0)</f>
        <v>040000179834</v>
      </c>
      <c r="C789" s="46">
        <v>12475</v>
      </c>
      <c r="D789" s="81">
        <f t="shared" si="51"/>
        <v>12475</v>
      </c>
      <c r="E789" s="79" t="s">
        <v>2492</v>
      </c>
      <c r="F789" s="82" t="str">
        <f t="shared" si="48"/>
        <v>insert into ins_premium_det (premium_rcv_code,assorted_code, rec_amount,premium_rcv_detail_code,remaining_amt, payrec, mode_code,coinsurance_code,class_cd,it_remarks) values</v>
      </c>
      <c r="G789" s="83" t="str">
        <f t="shared" si="49"/>
        <v>('24Sep240082','040000179834','12475',(select max(to_number(i.premium_rcv_detail_code))+1
from ins_premium_det i),'12475','12475','02', '11000003','00','Request by Mr. Omair Ali 25-Sep-2024 allocation no 24Sep240082 ');</v>
      </c>
      <c r="H789" s="84" t="str">
        <f t="shared" si="50"/>
        <v>insert into ins_premium_det (premium_rcv_code,assorted_code, rec_amount,premium_rcv_detail_code,remaining_amt, payrec, mode_code,coinsurance_code,class_cd,it_remarks) values('24Sep240082','040000179834','12475',(select max(to_number(i.premium_rcv_detail_code))+1
from ins_premium_det i),'12475','12475','02', '11000003','00','Request by Mr. Omair Ali 25-Sep-2024 allocation no 24Sep240082 ');</v>
      </c>
    </row>
    <row r="790" spans="1:8" ht="105" x14ac:dyDescent="0.25">
      <c r="A790" t="s">
        <v>902</v>
      </c>
      <c r="B790" s="80" t="str">
        <f>VLOOKUP(A790,[1]Sheet1!$B:$C,2,0)</f>
        <v>040000179839</v>
      </c>
      <c r="C790" s="46">
        <v>19145</v>
      </c>
      <c r="D790" s="81">
        <f t="shared" si="51"/>
        <v>19145</v>
      </c>
      <c r="E790" s="79" t="s">
        <v>2492</v>
      </c>
      <c r="F790" s="82" t="str">
        <f t="shared" si="48"/>
        <v>insert into ins_premium_det (premium_rcv_code,assorted_code, rec_amount,premium_rcv_detail_code,remaining_amt, payrec, mode_code,coinsurance_code,class_cd,it_remarks) values</v>
      </c>
      <c r="G790" s="83" t="str">
        <f t="shared" si="49"/>
        <v>('24Sep240082','040000179839','19145',(select max(to_number(i.premium_rcv_detail_code))+1
from ins_premium_det i),'19145','19145','02', '11000003','00','Request by Mr. Omair Ali 25-Sep-2024 allocation no 24Sep240082 ');</v>
      </c>
      <c r="H790" s="84" t="str">
        <f t="shared" si="50"/>
        <v>insert into ins_premium_det (premium_rcv_code,assorted_code, rec_amount,premium_rcv_detail_code,remaining_amt, payrec, mode_code,coinsurance_code,class_cd,it_remarks) values('24Sep240082','040000179839','19145',(select max(to_number(i.premium_rcv_detail_code))+1
from ins_premium_det i),'19145','19145','02', '11000003','00','Request by Mr. Omair Ali 25-Sep-2024 allocation no 24Sep240082 ');</v>
      </c>
    </row>
    <row r="791" spans="1:8" ht="105" x14ac:dyDescent="0.25">
      <c r="A791" t="s">
        <v>903</v>
      </c>
      <c r="B791" s="80" t="str">
        <f>VLOOKUP(A791,[1]Sheet1!$B:$C,2,0)</f>
        <v>040000179845</v>
      </c>
      <c r="C791" s="46">
        <v>13370</v>
      </c>
      <c r="D791" s="81">
        <f t="shared" si="51"/>
        <v>13370</v>
      </c>
      <c r="E791" s="79" t="s">
        <v>2492</v>
      </c>
      <c r="F791" s="82" t="str">
        <f t="shared" si="48"/>
        <v>insert into ins_premium_det (premium_rcv_code,assorted_code, rec_amount,premium_rcv_detail_code,remaining_amt, payrec, mode_code,coinsurance_code,class_cd,it_remarks) values</v>
      </c>
      <c r="G791" s="83" t="str">
        <f t="shared" si="49"/>
        <v>('24Sep240082','040000179845','13370',(select max(to_number(i.premium_rcv_detail_code))+1
from ins_premium_det i),'13370','13370','02', '11000003','00','Request by Mr. Omair Ali 25-Sep-2024 allocation no 24Sep240082 ');</v>
      </c>
      <c r="H791" s="84" t="str">
        <f t="shared" si="50"/>
        <v>insert into ins_premium_det (premium_rcv_code,assorted_code, rec_amount,premium_rcv_detail_code,remaining_amt, payrec, mode_code,coinsurance_code,class_cd,it_remarks) values('24Sep240082','040000179845','13370',(select max(to_number(i.premium_rcv_detail_code))+1
from ins_premium_det i),'13370','13370','02', '11000003','00','Request by Mr. Omair Ali 25-Sep-2024 allocation no 24Sep240082 ');</v>
      </c>
    </row>
    <row r="792" spans="1:8" ht="105" x14ac:dyDescent="0.25">
      <c r="A792" t="s">
        <v>904</v>
      </c>
      <c r="B792" s="80" t="str">
        <f>VLOOKUP(A792,[1]Sheet1!$B:$C,2,0)</f>
        <v>040000179847</v>
      </c>
      <c r="C792" s="46">
        <v>12320</v>
      </c>
      <c r="D792" s="81">
        <f t="shared" si="51"/>
        <v>12320</v>
      </c>
      <c r="E792" s="79" t="s">
        <v>2492</v>
      </c>
      <c r="F792" s="82" t="str">
        <f t="shared" si="48"/>
        <v>insert into ins_premium_det (premium_rcv_code,assorted_code, rec_amount,premium_rcv_detail_code,remaining_amt, payrec, mode_code,coinsurance_code,class_cd,it_remarks) values</v>
      </c>
      <c r="G792" s="83" t="str">
        <f t="shared" si="49"/>
        <v>('24Sep240082','040000179847','12320',(select max(to_number(i.premium_rcv_detail_code))+1
from ins_premium_det i),'12320','12320','02', '11000003','00','Request by Mr. Omair Ali 25-Sep-2024 allocation no 24Sep240082 ');</v>
      </c>
      <c r="H792" s="84" t="str">
        <f t="shared" si="50"/>
        <v>insert into ins_premium_det (premium_rcv_code,assorted_code, rec_amount,premium_rcv_detail_code,remaining_amt, payrec, mode_code,coinsurance_code,class_cd,it_remarks) values('24Sep240082','040000179847','12320',(select max(to_number(i.premium_rcv_detail_code))+1
from ins_premium_det i),'12320','12320','02', '11000003','00','Request by Mr. Omair Ali 25-Sep-2024 allocation no 24Sep240082 ');</v>
      </c>
    </row>
    <row r="793" spans="1:8" ht="105" x14ac:dyDescent="0.25">
      <c r="A793" t="s">
        <v>905</v>
      </c>
      <c r="B793" s="80" t="str">
        <f>VLOOKUP(A793,[1]Sheet1!$B:$C,2,0)</f>
        <v>040000179851</v>
      </c>
      <c r="C793" s="46">
        <v>12320</v>
      </c>
      <c r="D793" s="81">
        <f t="shared" si="51"/>
        <v>12320</v>
      </c>
      <c r="E793" s="79" t="s">
        <v>2492</v>
      </c>
      <c r="F793" s="82" t="str">
        <f t="shared" si="48"/>
        <v>insert into ins_premium_det (premium_rcv_code,assorted_code, rec_amount,premium_rcv_detail_code,remaining_amt, payrec, mode_code,coinsurance_code,class_cd,it_remarks) values</v>
      </c>
      <c r="G793" s="83" t="str">
        <f t="shared" si="49"/>
        <v>('24Sep240082','040000179851','12320',(select max(to_number(i.premium_rcv_detail_code))+1
from ins_premium_det i),'12320','12320','02', '11000003','00','Request by Mr. Omair Ali 25-Sep-2024 allocation no 24Sep240082 ');</v>
      </c>
      <c r="H793" s="84" t="str">
        <f t="shared" si="50"/>
        <v>insert into ins_premium_det (premium_rcv_code,assorted_code, rec_amount,premium_rcv_detail_code,remaining_amt, payrec, mode_code,coinsurance_code,class_cd,it_remarks) values('24Sep240082','040000179851','12320',(select max(to_number(i.premium_rcv_detail_code))+1
from ins_premium_det i),'12320','12320','02', '11000003','00','Request by Mr. Omair Ali 25-Sep-2024 allocation no 24Sep240082 ');</v>
      </c>
    </row>
    <row r="794" spans="1:8" ht="105" x14ac:dyDescent="0.25">
      <c r="A794" t="s">
        <v>906</v>
      </c>
      <c r="B794" s="80" t="str">
        <f>VLOOKUP(A794,[1]Sheet1!$B:$C,2,0)</f>
        <v>040000179852</v>
      </c>
      <c r="C794" s="46">
        <v>12320</v>
      </c>
      <c r="D794" s="81">
        <f t="shared" si="51"/>
        <v>12320</v>
      </c>
      <c r="E794" s="79" t="s">
        <v>2492</v>
      </c>
      <c r="F794" s="82" t="str">
        <f t="shared" si="48"/>
        <v>insert into ins_premium_det (premium_rcv_code,assorted_code, rec_amount,premium_rcv_detail_code,remaining_amt, payrec, mode_code,coinsurance_code,class_cd,it_remarks) values</v>
      </c>
      <c r="G794" s="83" t="str">
        <f t="shared" si="49"/>
        <v>('24Sep240082','040000179852','12320',(select max(to_number(i.premium_rcv_detail_code))+1
from ins_premium_det i),'12320','12320','02', '11000003','00','Request by Mr. Omair Ali 25-Sep-2024 allocation no 24Sep240082 ');</v>
      </c>
      <c r="H794" s="84" t="str">
        <f t="shared" si="50"/>
        <v>insert into ins_premium_det (premium_rcv_code,assorted_code, rec_amount,premium_rcv_detail_code,remaining_amt, payrec, mode_code,coinsurance_code,class_cd,it_remarks) values('24Sep240082','040000179852','12320',(select max(to_number(i.premium_rcv_detail_code))+1
from ins_premium_det i),'12320','12320','02', '11000003','00','Request by Mr. Omair Ali 25-Sep-2024 allocation no 24Sep240082 ');</v>
      </c>
    </row>
    <row r="795" spans="1:8" ht="105" x14ac:dyDescent="0.25">
      <c r="A795" t="s">
        <v>907</v>
      </c>
      <c r="B795" s="80" t="str">
        <f>VLOOKUP(A795,[1]Sheet1!$B:$C,2,0)</f>
        <v>040000179857</v>
      </c>
      <c r="C795" s="46">
        <v>8800</v>
      </c>
      <c r="D795" s="81">
        <f t="shared" si="51"/>
        <v>8800</v>
      </c>
      <c r="E795" s="79" t="s">
        <v>2492</v>
      </c>
      <c r="F795" s="82" t="str">
        <f t="shared" si="48"/>
        <v>insert into ins_premium_det (premium_rcv_code,assorted_code, rec_amount,premium_rcv_detail_code,remaining_amt, payrec, mode_code,coinsurance_code,class_cd,it_remarks) values</v>
      </c>
      <c r="G795" s="83" t="str">
        <f t="shared" si="49"/>
        <v>('24Sep240082','040000179857','8800',(select max(to_number(i.premium_rcv_detail_code))+1
from ins_premium_det i),'8800','8800','02', '11000003','00','Request by Mr. Omair Ali 25-Sep-2024 allocation no 24Sep240082 ');</v>
      </c>
      <c r="H795" s="84" t="str">
        <f t="shared" si="50"/>
        <v>insert into ins_premium_det (premium_rcv_code,assorted_code, rec_amount,premium_rcv_detail_code,remaining_amt, payrec, mode_code,coinsurance_code,class_cd,it_remarks) values('24Sep240082','040000179857','8800',(select max(to_number(i.premium_rcv_detail_code))+1
from ins_premium_det i),'8800','8800','02', '11000003','00','Request by Mr. Omair Ali 25-Sep-2024 allocation no 24Sep240082 ');</v>
      </c>
    </row>
    <row r="796" spans="1:8" ht="105" x14ac:dyDescent="0.25">
      <c r="A796" t="s">
        <v>908</v>
      </c>
      <c r="B796" s="80" t="str">
        <f>VLOOKUP(A796,[1]Sheet1!$B:$C,2,0)</f>
        <v>040000179858</v>
      </c>
      <c r="C796" s="46">
        <v>19145</v>
      </c>
      <c r="D796" s="81">
        <f t="shared" si="51"/>
        <v>19145</v>
      </c>
      <c r="E796" s="79" t="s">
        <v>2492</v>
      </c>
      <c r="F796" s="82" t="str">
        <f t="shared" si="48"/>
        <v>insert into ins_premium_det (premium_rcv_code,assorted_code, rec_amount,premium_rcv_detail_code,remaining_amt, payrec, mode_code,coinsurance_code,class_cd,it_remarks) values</v>
      </c>
      <c r="G796" s="83" t="str">
        <f t="shared" si="49"/>
        <v>('24Sep240082','040000179858','19145',(select max(to_number(i.premium_rcv_detail_code))+1
from ins_premium_det i),'19145','19145','02', '11000003','00','Request by Mr. Omair Ali 25-Sep-2024 allocation no 24Sep240082 ');</v>
      </c>
      <c r="H796" s="84" t="str">
        <f t="shared" si="50"/>
        <v>insert into ins_premium_det (premium_rcv_code,assorted_code, rec_amount,premium_rcv_detail_code,remaining_amt, payrec, mode_code,coinsurance_code,class_cd,it_remarks) values('24Sep240082','040000179858','19145',(select max(to_number(i.premium_rcv_detail_code))+1
from ins_premium_det i),'19145','19145','02', '11000003','00','Request by Mr. Omair Ali 25-Sep-2024 allocation no 24Sep240082 ');</v>
      </c>
    </row>
    <row r="797" spans="1:8" ht="105" x14ac:dyDescent="0.25">
      <c r="A797" t="s">
        <v>909</v>
      </c>
      <c r="B797" s="80" t="str">
        <f>VLOOKUP(A797,[1]Sheet1!$B:$C,2,0)</f>
        <v>040000179862</v>
      </c>
      <c r="C797" s="46">
        <v>8800</v>
      </c>
      <c r="D797" s="81">
        <f t="shared" si="51"/>
        <v>8800</v>
      </c>
      <c r="E797" s="79" t="s">
        <v>2492</v>
      </c>
      <c r="F797" s="82" t="str">
        <f t="shared" si="48"/>
        <v>insert into ins_premium_det (premium_rcv_code,assorted_code, rec_amount,premium_rcv_detail_code,remaining_amt, payrec, mode_code,coinsurance_code,class_cd,it_remarks) values</v>
      </c>
      <c r="G797" s="83" t="str">
        <f t="shared" si="49"/>
        <v>('24Sep240082','040000179862','8800',(select max(to_number(i.premium_rcv_detail_code))+1
from ins_premium_det i),'8800','8800','02', '11000003','00','Request by Mr. Omair Ali 25-Sep-2024 allocation no 24Sep240082 ');</v>
      </c>
      <c r="H797" s="84" t="str">
        <f t="shared" si="50"/>
        <v>insert into ins_premium_det (premium_rcv_code,assorted_code, rec_amount,premium_rcv_detail_code,remaining_amt, payrec, mode_code,coinsurance_code,class_cd,it_remarks) values('24Sep240082','040000179862','8800',(select max(to_number(i.premium_rcv_detail_code))+1
from ins_premium_det i),'8800','8800','02', '11000003','00','Request by Mr. Omair Ali 25-Sep-2024 allocation no 24Sep240082 ');</v>
      </c>
    </row>
    <row r="798" spans="1:8" ht="105" x14ac:dyDescent="0.25">
      <c r="A798" t="s">
        <v>910</v>
      </c>
      <c r="B798" s="80" t="str">
        <f>VLOOKUP(A798,[1]Sheet1!$B:$C,2,0)</f>
        <v>040000179864</v>
      </c>
      <c r="C798" s="46">
        <v>12320</v>
      </c>
      <c r="D798" s="81">
        <f t="shared" si="51"/>
        <v>12320</v>
      </c>
      <c r="E798" s="79" t="s">
        <v>2492</v>
      </c>
      <c r="F798" s="82" t="str">
        <f t="shared" si="48"/>
        <v>insert into ins_premium_det (premium_rcv_code,assorted_code, rec_amount,premium_rcv_detail_code,remaining_amt, payrec, mode_code,coinsurance_code,class_cd,it_remarks) values</v>
      </c>
      <c r="G798" s="83" t="str">
        <f t="shared" si="49"/>
        <v>('24Sep240082','040000179864','12320',(select max(to_number(i.premium_rcv_detail_code))+1
from ins_premium_det i),'12320','12320','02', '11000003','00','Request by Mr. Omair Ali 25-Sep-2024 allocation no 24Sep240082 ');</v>
      </c>
      <c r="H798" s="84" t="str">
        <f t="shared" si="50"/>
        <v>insert into ins_premium_det (premium_rcv_code,assorted_code, rec_amount,premium_rcv_detail_code,remaining_amt, payrec, mode_code,coinsurance_code,class_cd,it_remarks) values('24Sep240082','040000179864','12320',(select max(to_number(i.premium_rcv_detail_code))+1
from ins_premium_det i),'12320','12320','02', '11000003','00','Request by Mr. Omair Ali 25-Sep-2024 allocation no 24Sep240082 ');</v>
      </c>
    </row>
    <row r="799" spans="1:8" ht="105" x14ac:dyDescent="0.25">
      <c r="A799" t="s">
        <v>911</v>
      </c>
      <c r="B799" s="80" t="str">
        <f>VLOOKUP(A799,[1]Sheet1!$B:$C,2,0)</f>
        <v>040000179867</v>
      </c>
      <c r="C799" s="46">
        <v>8800</v>
      </c>
      <c r="D799" s="81">
        <f t="shared" si="51"/>
        <v>8800</v>
      </c>
      <c r="E799" s="79" t="s">
        <v>2492</v>
      </c>
      <c r="F799" s="82" t="str">
        <f t="shared" si="48"/>
        <v>insert into ins_premium_det (premium_rcv_code,assorted_code, rec_amount,premium_rcv_detail_code,remaining_amt, payrec, mode_code,coinsurance_code,class_cd,it_remarks) values</v>
      </c>
      <c r="G799" s="83" t="str">
        <f t="shared" si="49"/>
        <v>('24Sep240082','040000179867','8800',(select max(to_number(i.premium_rcv_detail_code))+1
from ins_premium_det i),'8800','8800','02', '11000003','00','Request by Mr. Omair Ali 25-Sep-2024 allocation no 24Sep240082 ');</v>
      </c>
      <c r="H799" s="84" t="str">
        <f t="shared" si="50"/>
        <v>insert into ins_premium_det (premium_rcv_code,assorted_code, rec_amount,premium_rcv_detail_code,remaining_amt, payrec, mode_code,coinsurance_code,class_cd,it_remarks) values('24Sep240082','040000179867','8800',(select max(to_number(i.premium_rcv_detail_code))+1
from ins_premium_det i),'8800','8800','02', '11000003','00','Request by Mr. Omair Ali 25-Sep-2024 allocation no 24Sep240082 ');</v>
      </c>
    </row>
    <row r="800" spans="1:8" ht="105" x14ac:dyDescent="0.25">
      <c r="A800" t="s">
        <v>912</v>
      </c>
      <c r="B800" s="80" t="str">
        <f>VLOOKUP(A800,[1]Sheet1!$B:$C,2,0)</f>
        <v>040000179870</v>
      </c>
      <c r="C800" s="46">
        <v>19145</v>
      </c>
      <c r="D800" s="81">
        <f t="shared" si="51"/>
        <v>19145</v>
      </c>
      <c r="E800" s="79" t="s">
        <v>2492</v>
      </c>
      <c r="F800" s="82" t="str">
        <f t="shared" si="48"/>
        <v>insert into ins_premium_det (premium_rcv_code,assorted_code, rec_amount,premium_rcv_detail_code,remaining_amt, payrec, mode_code,coinsurance_code,class_cd,it_remarks) values</v>
      </c>
      <c r="G800" s="83" t="str">
        <f t="shared" si="49"/>
        <v>('24Sep240082','040000179870','19145',(select max(to_number(i.premium_rcv_detail_code))+1
from ins_premium_det i),'19145','19145','02', '11000003','00','Request by Mr. Omair Ali 25-Sep-2024 allocation no 24Sep240082 ');</v>
      </c>
      <c r="H800" s="84" t="str">
        <f t="shared" si="50"/>
        <v>insert into ins_premium_det (premium_rcv_code,assorted_code, rec_amount,premium_rcv_detail_code,remaining_amt, payrec, mode_code,coinsurance_code,class_cd,it_remarks) values('24Sep240082','040000179870','19145',(select max(to_number(i.premium_rcv_detail_code))+1
from ins_premium_det i),'19145','19145','02', '11000003','00','Request by Mr. Omair Ali 25-Sep-2024 allocation no 24Sep240082 ');</v>
      </c>
    </row>
    <row r="801" spans="1:8" ht="105" x14ac:dyDescent="0.25">
      <c r="A801" t="s">
        <v>913</v>
      </c>
      <c r="B801" s="80" t="str">
        <f>VLOOKUP(A801,[1]Sheet1!$B:$C,2,0)</f>
        <v>040000179871</v>
      </c>
      <c r="C801" s="46">
        <v>19145</v>
      </c>
      <c r="D801" s="81">
        <f t="shared" si="51"/>
        <v>19145</v>
      </c>
      <c r="E801" s="79" t="s">
        <v>2492</v>
      </c>
      <c r="F801" s="82" t="str">
        <f t="shared" si="48"/>
        <v>insert into ins_premium_det (premium_rcv_code,assorted_code, rec_amount,premium_rcv_detail_code,remaining_amt, payrec, mode_code,coinsurance_code,class_cd,it_remarks) values</v>
      </c>
      <c r="G801" s="83" t="str">
        <f t="shared" si="49"/>
        <v>('24Sep240082','040000179871','19145',(select max(to_number(i.premium_rcv_detail_code))+1
from ins_premium_det i),'19145','19145','02', '11000003','00','Request by Mr. Omair Ali 25-Sep-2024 allocation no 24Sep240082 ');</v>
      </c>
      <c r="H801" s="84" t="str">
        <f t="shared" si="50"/>
        <v>insert into ins_premium_det (premium_rcv_code,assorted_code, rec_amount,premium_rcv_detail_code,remaining_amt, payrec, mode_code,coinsurance_code,class_cd,it_remarks) values('24Sep240082','040000179871','19145',(select max(to_number(i.premium_rcv_detail_code))+1
from ins_premium_det i),'19145','19145','02', '11000003','00','Request by Mr. Omair Ali 25-Sep-2024 allocation no 24Sep240082 ');</v>
      </c>
    </row>
    <row r="802" spans="1:8" ht="105" x14ac:dyDescent="0.25">
      <c r="A802" t="s">
        <v>914</v>
      </c>
      <c r="B802" s="80" t="str">
        <f>VLOOKUP(A802,[1]Sheet1!$B:$C,2,0)</f>
        <v>040000179872</v>
      </c>
      <c r="C802" s="46">
        <v>9550</v>
      </c>
      <c r="D802" s="81">
        <f t="shared" si="51"/>
        <v>9550</v>
      </c>
      <c r="E802" s="79" t="s">
        <v>2492</v>
      </c>
      <c r="F802" s="82" t="str">
        <f t="shared" si="48"/>
        <v>insert into ins_premium_det (premium_rcv_code,assorted_code, rec_amount,premium_rcv_detail_code,remaining_amt, payrec, mode_code,coinsurance_code,class_cd,it_remarks) values</v>
      </c>
      <c r="G802" s="83" t="str">
        <f t="shared" si="49"/>
        <v>('24Sep240082','040000179872','9550',(select max(to_number(i.premium_rcv_detail_code))+1
from ins_premium_det i),'9550','9550','02', '11000003','00','Request by Mr. Omair Ali 25-Sep-2024 allocation no 24Sep240082 ');</v>
      </c>
      <c r="H802" s="84" t="str">
        <f t="shared" si="50"/>
        <v>insert into ins_premium_det (premium_rcv_code,assorted_code, rec_amount,premium_rcv_detail_code,remaining_amt, payrec, mode_code,coinsurance_code,class_cd,it_remarks) values('24Sep240082','040000179872','9550',(select max(to_number(i.premium_rcv_detail_code))+1
from ins_premium_det i),'9550','9550','02', '11000003','00','Request by Mr. Omair Ali 25-Sep-2024 allocation no 24Sep240082 ');</v>
      </c>
    </row>
    <row r="803" spans="1:8" ht="105" x14ac:dyDescent="0.25">
      <c r="A803" t="s">
        <v>915</v>
      </c>
      <c r="B803" s="80" t="str">
        <f>VLOOKUP(A803,[1]Sheet1!$B:$C,2,0)</f>
        <v>040000179875</v>
      </c>
      <c r="C803" s="46">
        <v>12320</v>
      </c>
      <c r="D803" s="81">
        <f t="shared" si="51"/>
        <v>12320</v>
      </c>
      <c r="E803" s="79" t="s">
        <v>2492</v>
      </c>
      <c r="F803" s="82" t="str">
        <f t="shared" si="48"/>
        <v>insert into ins_premium_det (premium_rcv_code,assorted_code, rec_amount,premium_rcv_detail_code,remaining_amt, payrec, mode_code,coinsurance_code,class_cd,it_remarks) values</v>
      </c>
      <c r="G803" s="83" t="str">
        <f t="shared" si="49"/>
        <v>('24Sep240082','040000179875','12320',(select max(to_number(i.premium_rcv_detail_code))+1
from ins_premium_det i),'12320','12320','02', '11000003','00','Request by Mr. Omair Ali 25-Sep-2024 allocation no 24Sep240082 ');</v>
      </c>
      <c r="H803" s="84" t="str">
        <f t="shared" si="50"/>
        <v>insert into ins_premium_det (premium_rcv_code,assorted_code, rec_amount,premium_rcv_detail_code,remaining_amt, payrec, mode_code,coinsurance_code,class_cd,it_remarks) values('24Sep240082','040000179875','12320',(select max(to_number(i.premium_rcv_detail_code))+1
from ins_premium_det i),'12320','12320','02', '11000003','00','Request by Mr. Omair Ali 25-Sep-2024 allocation no 24Sep240082 ');</v>
      </c>
    </row>
    <row r="804" spans="1:8" ht="105" x14ac:dyDescent="0.25">
      <c r="A804" t="s">
        <v>916</v>
      </c>
      <c r="B804" s="80" t="str">
        <f>VLOOKUP(A804,[1]Sheet1!$B:$C,2,0)</f>
        <v>040000179876</v>
      </c>
      <c r="C804" s="46">
        <v>12320</v>
      </c>
      <c r="D804" s="81">
        <f t="shared" si="51"/>
        <v>12320</v>
      </c>
      <c r="E804" s="79" t="s">
        <v>2492</v>
      </c>
      <c r="F804" s="82" t="str">
        <f t="shared" si="48"/>
        <v>insert into ins_premium_det (premium_rcv_code,assorted_code, rec_amount,premium_rcv_detail_code,remaining_amt, payrec, mode_code,coinsurance_code,class_cd,it_remarks) values</v>
      </c>
      <c r="G804" s="83" t="str">
        <f t="shared" si="49"/>
        <v>('24Sep240082','040000179876','12320',(select max(to_number(i.premium_rcv_detail_code))+1
from ins_premium_det i),'12320','12320','02', '11000003','00','Request by Mr. Omair Ali 25-Sep-2024 allocation no 24Sep240082 ');</v>
      </c>
      <c r="H804" s="84" t="str">
        <f t="shared" si="50"/>
        <v>insert into ins_premium_det (premium_rcv_code,assorted_code, rec_amount,premium_rcv_detail_code,remaining_amt, payrec, mode_code,coinsurance_code,class_cd,it_remarks) values('24Sep240082','040000179876','12320',(select max(to_number(i.premium_rcv_detail_code))+1
from ins_premium_det i),'12320','12320','02', '11000003','00','Request by Mr. Omair Ali 25-Sep-2024 allocation no 24Sep240082 ');</v>
      </c>
    </row>
    <row r="805" spans="1:8" ht="105" x14ac:dyDescent="0.25">
      <c r="A805" t="s">
        <v>917</v>
      </c>
      <c r="B805" s="80" t="str">
        <f>VLOOKUP(A805,[1]Sheet1!$B:$C,2,0)</f>
        <v>040000179877</v>
      </c>
      <c r="C805" s="46">
        <v>12320</v>
      </c>
      <c r="D805" s="81">
        <f t="shared" si="51"/>
        <v>12320</v>
      </c>
      <c r="E805" s="79" t="s">
        <v>2492</v>
      </c>
      <c r="F805" s="82" t="str">
        <f t="shared" si="48"/>
        <v>insert into ins_premium_det (premium_rcv_code,assorted_code, rec_amount,premium_rcv_detail_code,remaining_amt, payrec, mode_code,coinsurance_code,class_cd,it_remarks) values</v>
      </c>
      <c r="G805" s="83" t="str">
        <f t="shared" si="49"/>
        <v>('24Sep240082','040000179877','12320',(select max(to_number(i.premium_rcv_detail_code))+1
from ins_premium_det i),'12320','12320','02', '11000003','00','Request by Mr. Omair Ali 25-Sep-2024 allocation no 24Sep240082 ');</v>
      </c>
      <c r="H805" s="84" t="str">
        <f t="shared" si="50"/>
        <v>insert into ins_premium_det (premium_rcv_code,assorted_code, rec_amount,premium_rcv_detail_code,remaining_amt, payrec, mode_code,coinsurance_code,class_cd,it_remarks) values('24Sep240082','040000179877','12320',(select max(to_number(i.premium_rcv_detail_code))+1
from ins_premium_det i),'12320','12320','02', '11000003','00','Request by Mr. Omair Ali 25-Sep-2024 allocation no 24Sep240082 ');</v>
      </c>
    </row>
    <row r="806" spans="1:8" ht="105" x14ac:dyDescent="0.25">
      <c r="A806" t="s">
        <v>918</v>
      </c>
      <c r="B806" s="80" t="str">
        <f>VLOOKUP(A806,[1]Sheet1!$B:$C,2,0)</f>
        <v>040000179878</v>
      </c>
      <c r="C806" s="46">
        <v>12320</v>
      </c>
      <c r="D806" s="81">
        <f t="shared" si="51"/>
        <v>12320</v>
      </c>
      <c r="E806" s="79" t="s">
        <v>2492</v>
      </c>
      <c r="F806" s="82" t="str">
        <f t="shared" si="48"/>
        <v>insert into ins_premium_det (premium_rcv_code,assorted_code, rec_amount,premium_rcv_detail_code,remaining_amt, payrec, mode_code,coinsurance_code,class_cd,it_remarks) values</v>
      </c>
      <c r="G806" s="83" t="str">
        <f t="shared" si="49"/>
        <v>('24Sep240082','040000179878','12320',(select max(to_number(i.premium_rcv_detail_code))+1
from ins_premium_det i),'12320','12320','02', '11000003','00','Request by Mr. Omair Ali 25-Sep-2024 allocation no 24Sep240082 ');</v>
      </c>
      <c r="H806" s="84" t="str">
        <f t="shared" si="50"/>
        <v>insert into ins_premium_det (premium_rcv_code,assorted_code, rec_amount,premium_rcv_detail_code,remaining_amt, payrec, mode_code,coinsurance_code,class_cd,it_remarks) values('24Sep240082','040000179878','12320',(select max(to_number(i.premium_rcv_detail_code))+1
from ins_premium_det i),'12320','12320','02', '11000003','00','Request by Mr. Omair Ali 25-Sep-2024 allocation no 24Sep240082 ');</v>
      </c>
    </row>
    <row r="807" spans="1:8" ht="105" x14ac:dyDescent="0.25">
      <c r="A807" t="s">
        <v>919</v>
      </c>
      <c r="B807" s="80" t="str">
        <f>VLOOKUP(A807,[1]Sheet1!$B:$C,2,0)</f>
        <v>040000179881</v>
      </c>
      <c r="C807" s="46">
        <v>12320</v>
      </c>
      <c r="D807" s="81">
        <f t="shared" si="51"/>
        <v>12320</v>
      </c>
      <c r="E807" s="79" t="s">
        <v>2492</v>
      </c>
      <c r="F807" s="82" t="str">
        <f t="shared" si="48"/>
        <v>insert into ins_premium_det (premium_rcv_code,assorted_code, rec_amount,premium_rcv_detail_code,remaining_amt, payrec, mode_code,coinsurance_code,class_cd,it_remarks) values</v>
      </c>
      <c r="G807" s="83" t="str">
        <f t="shared" si="49"/>
        <v>('24Sep240082','040000179881','12320',(select max(to_number(i.premium_rcv_detail_code))+1
from ins_premium_det i),'12320','12320','02', '11000003','00','Request by Mr. Omair Ali 25-Sep-2024 allocation no 24Sep240082 ');</v>
      </c>
      <c r="H807" s="84" t="str">
        <f t="shared" si="50"/>
        <v>insert into ins_premium_det (premium_rcv_code,assorted_code, rec_amount,premium_rcv_detail_code,remaining_amt, payrec, mode_code,coinsurance_code,class_cd,it_remarks) values('24Sep240082','040000179881','12320',(select max(to_number(i.premium_rcv_detail_code))+1
from ins_premium_det i),'12320','12320','02', '11000003','00','Request by Mr. Omair Ali 25-Sep-2024 allocation no 24Sep240082 ');</v>
      </c>
    </row>
    <row r="808" spans="1:8" ht="105" x14ac:dyDescent="0.25">
      <c r="A808" t="s">
        <v>920</v>
      </c>
      <c r="B808" s="80" t="str">
        <f>VLOOKUP(A808,[1]Sheet1!$B:$C,2,0)</f>
        <v>040000179882</v>
      </c>
      <c r="C808" s="46">
        <v>8800</v>
      </c>
      <c r="D808" s="81">
        <f t="shared" si="51"/>
        <v>8800</v>
      </c>
      <c r="E808" s="79" t="s">
        <v>2492</v>
      </c>
      <c r="F808" s="82" t="str">
        <f t="shared" si="48"/>
        <v>insert into ins_premium_det (premium_rcv_code,assorted_code, rec_amount,premium_rcv_detail_code,remaining_amt, payrec, mode_code,coinsurance_code,class_cd,it_remarks) values</v>
      </c>
      <c r="G808" s="83" t="str">
        <f t="shared" si="49"/>
        <v>('24Sep240082','040000179882','8800',(select max(to_number(i.premium_rcv_detail_code))+1
from ins_premium_det i),'8800','8800','02', '11000003','00','Request by Mr. Omair Ali 25-Sep-2024 allocation no 24Sep240082 ');</v>
      </c>
      <c r="H808" s="84" t="str">
        <f t="shared" si="50"/>
        <v>insert into ins_premium_det (premium_rcv_code,assorted_code, rec_amount,premium_rcv_detail_code,remaining_amt, payrec, mode_code,coinsurance_code,class_cd,it_remarks) values('24Sep240082','040000179882','8800',(select max(to_number(i.premium_rcv_detail_code))+1
from ins_premium_det i),'8800','8800','02', '11000003','00','Request by Mr. Omair Ali 25-Sep-2024 allocation no 24Sep240082 ');</v>
      </c>
    </row>
    <row r="809" spans="1:8" ht="105" x14ac:dyDescent="0.25">
      <c r="A809" t="s">
        <v>921</v>
      </c>
      <c r="B809" s="80" t="str">
        <f>VLOOKUP(A809,[1]Sheet1!$B:$C,2,0)</f>
        <v>040000179883</v>
      </c>
      <c r="C809" s="46">
        <v>8800</v>
      </c>
      <c r="D809" s="81">
        <f t="shared" si="51"/>
        <v>8800</v>
      </c>
      <c r="E809" s="79" t="s">
        <v>2492</v>
      </c>
      <c r="F809" s="82" t="str">
        <f t="shared" si="48"/>
        <v>insert into ins_premium_det (premium_rcv_code,assorted_code, rec_amount,premium_rcv_detail_code,remaining_amt, payrec, mode_code,coinsurance_code,class_cd,it_remarks) values</v>
      </c>
      <c r="G809" s="83" t="str">
        <f t="shared" si="49"/>
        <v>('24Sep240082','040000179883','8800',(select max(to_number(i.premium_rcv_detail_code))+1
from ins_premium_det i),'8800','8800','02', '11000003','00','Request by Mr. Omair Ali 25-Sep-2024 allocation no 24Sep240082 ');</v>
      </c>
      <c r="H809" s="84" t="str">
        <f t="shared" si="50"/>
        <v>insert into ins_premium_det (premium_rcv_code,assorted_code, rec_amount,premium_rcv_detail_code,remaining_amt, payrec, mode_code,coinsurance_code,class_cd,it_remarks) values('24Sep240082','040000179883','8800',(select max(to_number(i.premium_rcv_detail_code))+1
from ins_premium_det i),'8800','8800','02', '11000003','00','Request by Mr. Omair Ali 25-Sep-2024 allocation no 24Sep240082 ');</v>
      </c>
    </row>
    <row r="810" spans="1:8" ht="105" x14ac:dyDescent="0.25">
      <c r="A810" t="s">
        <v>922</v>
      </c>
      <c r="B810" s="80" t="str">
        <f>VLOOKUP(A810,[1]Sheet1!$B:$C,2,0)</f>
        <v>040000179885</v>
      </c>
      <c r="C810" s="46">
        <v>12320</v>
      </c>
      <c r="D810" s="81">
        <f t="shared" si="51"/>
        <v>12320</v>
      </c>
      <c r="E810" s="79" t="s">
        <v>2492</v>
      </c>
      <c r="F810" s="82" t="str">
        <f t="shared" si="48"/>
        <v>insert into ins_premium_det (premium_rcv_code,assorted_code, rec_amount,premium_rcv_detail_code,remaining_amt, payrec, mode_code,coinsurance_code,class_cd,it_remarks) values</v>
      </c>
      <c r="G810" s="83" t="str">
        <f t="shared" si="49"/>
        <v>('24Sep240082','040000179885','12320',(select max(to_number(i.premium_rcv_detail_code))+1
from ins_premium_det i),'12320','12320','02', '11000003','00','Request by Mr. Omair Ali 25-Sep-2024 allocation no 24Sep240082 ');</v>
      </c>
      <c r="H810" s="84" t="str">
        <f t="shared" si="50"/>
        <v>insert into ins_premium_det (premium_rcv_code,assorted_code, rec_amount,premium_rcv_detail_code,remaining_amt, payrec, mode_code,coinsurance_code,class_cd,it_remarks) values('24Sep240082','040000179885','12320',(select max(to_number(i.premium_rcv_detail_code))+1
from ins_premium_det i),'12320','12320','02', '11000003','00','Request by Mr. Omair Ali 25-Sep-2024 allocation no 24Sep240082 ');</v>
      </c>
    </row>
    <row r="811" spans="1:8" ht="105" x14ac:dyDescent="0.25">
      <c r="A811" t="s">
        <v>923</v>
      </c>
      <c r="B811" s="80" t="str">
        <f>VLOOKUP(A811,[1]Sheet1!$B:$C,2,0)</f>
        <v>040000179886</v>
      </c>
      <c r="C811" s="46">
        <v>12320</v>
      </c>
      <c r="D811" s="81">
        <f t="shared" si="51"/>
        <v>12320</v>
      </c>
      <c r="E811" s="79" t="s">
        <v>2492</v>
      </c>
      <c r="F811" s="82" t="str">
        <f t="shared" si="48"/>
        <v>insert into ins_premium_det (premium_rcv_code,assorted_code, rec_amount,premium_rcv_detail_code,remaining_amt, payrec, mode_code,coinsurance_code,class_cd,it_remarks) values</v>
      </c>
      <c r="G811" s="83" t="str">
        <f t="shared" si="49"/>
        <v>('24Sep240082','040000179886','12320',(select max(to_number(i.premium_rcv_detail_code))+1
from ins_premium_det i),'12320','12320','02', '11000003','00','Request by Mr. Omair Ali 25-Sep-2024 allocation no 24Sep240082 ');</v>
      </c>
      <c r="H811" s="84" t="str">
        <f t="shared" si="50"/>
        <v>insert into ins_premium_det (premium_rcv_code,assorted_code, rec_amount,premium_rcv_detail_code,remaining_amt, payrec, mode_code,coinsurance_code,class_cd,it_remarks) values('24Sep240082','040000179886','12320',(select max(to_number(i.premium_rcv_detail_code))+1
from ins_premium_det i),'12320','12320','02', '11000003','00','Request by Mr. Omair Ali 25-Sep-2024 allocation no 24Sep240082 ');</v>
      </c>
    </row>
    <row r="812" spans="1:8" ht="105" x14ac:dyDescent="0.25">
      <c r="A812" t="s">
        <v>924</v>
      </c>
      <c r="B812" s="80" t="str">
        <f>VLOOKUP(A812,[1]Sheet1!$B:$C,2,0)</f>
        <v>040000179888</v>
      </c>
      <c r="C812" s="46">
        <v>13370</v>
      </c>
      <c r="D812" s="81">
        <f t="shared" si="51"/>
        <v>13370</v>
      </c>
      <c r="E812" s="79" t="s">
        <v>2492</v>
      </c>
      <c r="F812" s="82" t="str">
        <f t="shared" si="48"/>
        <v>insert into ins_premium_det (premium_rcv_code,assorted_code, rec_amount,premium_rcv_detail_code,remaining_amt, payrec, mode_code,coinsurance_code,class_cd,it_remarks) values</v>
      </c>
      <c r="G812" s="83" t="str">
        <f t="shared" si="49"/>
        <v>('24Sep240082','040000179888','13370',(select max(to_number(i.premium_rcv_detail_code))+1
from ins_premium_det i),'13370','13370','02', '11000003','00','Request by Mr. Omair Ali 25-Sep-2024 allocation no 24Sep240082 ');</v>
      </c>
      <c r="H812" s="84" t="str">
        <f t="shared" si="50"/>
        <v>insert into ins_premium_det (premium_rcv_code,assorted_code, rec_amount,premium_rcv_detail_code,remaining_amt, payrec, mode_code,coinsurance_code,class_cd,it_remarks) values('24Sep240082','040000179888','13370',(select max(to_number(i.premium_rcv_detail_code))+1
from ins_premium_det i),'13370','13370','02', '11000003','00','Request by Mr. Omair Ali 25-Sep-2024 allocation no 24Sep240082 ');</v>
      </c>
    </row>
    <row r="813" spans="1:8" ht="105" x14ac:dyDescent="0.25">
      <c r="A813" t="s">
        <v>925</v>
      </c>
      <c r="B813" s="80" t="str">
        <f>VLOOKUP(A813,[1]Sheet1!$B:$C,2,0)</f>
        <v>040000179889</v>
      </c>
      <c r="C813" s="46">
        <v>13370</v>
      </c>
      <c r="D813" s="81">
        <f t="shared" si="51"/>
        <v>13370</v>
      </c>
      <c r="E813" s="79" t="s">
        <v>2492</v>
      </c>
      <c r="F813" s="82" t="str">
        <f t="shared" si="48"/>
        <v>insert into ins_premium_det (premium_rcv_code,assorted_code, rec_amount,premium_rcv_detail_code,remaining_amt, payrec, mode_code,coinsurance_code,class_cd,it_remarks) values</v>
      </c>
      <c r="G813" s="83" t="str">
        <f t="shared" si="49"/>
        <v>('24Sep240082','040000179889','13370',(select max(to_number(i.premium_rcv_detail_code))+1
from ins_premium_det i),'13370','13370','02', '11000003','00','Request by Mr. Omair Ali 25-Sep-2024 allocation no 24Sep240082 ');</v>
      </c>
      <c r="H813" s="84" t="str">
        <f t="shared" si="50"/>
        <v>insert into ins_premium_det (premium_rcv_code,assorted_code, rec_amount,premium_rcv_detail_code,remaining_amt, payrec, mode_code,coinsurance_code,class_cd,it_remarks) values('24Sep240082','040000179889','13370',(select max(to_number(i.premium_rcv_detail_code))+1
from ins_premium_det i),'13370','13370','02', '11000003','00','Request by Mr. Omair Ali 25-Sep-2024 allocation no 24Sep240082 ');</v>
      </c>
    </row>
    <row r="814" spans="1:8" ht="105" x14ac:dyDescent="0.25">
      <c r="A814" t="s">
        <v>926</v>
      </c>
      <c r="B814" s="80" t="str">
        <f>VLOOKUP(A814,[1]Sheet1!$B:$C,2,0)</f>
        <v>040000179895</v>
      </c>
      <c r="C814" s="46">
        <v>13370</v>
      </c>
      <c r="D814" s="81">
        <f t="shared" si="51"/>
        <v>13370</v>
      </c>
      <c r="E814" s="79" t="s">
        <v>2492</v>
      </c>
      <c r="F814" s="82" t="str">
        <f t="shared" si="48"/>
        <v>insert into ins_premium_det (premium_rcv_code,assorted_code, rec_amount,premium_rcv_detail_code,remaining_amt, payrec, mode_code,coinsurance_code,class_cd,it_remarks) values</v>
      </c>
      <c r="G814" s="83" t="str">
        <f t="shared" si="49"/>
        <v>('24Sep240082','040000179895','13370',(select max(to_number(i.premium_rcv_detail_code))+1
from ins_premium_det i),'13370','13370','02', '11000003','00','Request by Mr. Omair Ali 25-Sep-2024 allocation no 24Sep240082 ');</v>
      </c>
      <c r="H814" s="84" t="str">
        <f t="shared" si="50"/>
        <v>insert into ins_premium_det (premium_rcv_code,assorted_code, rec_amount,premium_rcv_detail_code,remaining_amt, payrec, mode_code,coinsurance_code,class_cd,it_remarks) values('24Sep240082','040000179895','13370',(select max(to_number(i.premium_rcv_detail_code))+1
from ins_premium_det i),'13370','13370','02', '11000003','00','Request by Mr. Omair Ali 25-Sep-2024 allocation no 24Sep240082 ');</v>
      </c>
    </row>
    <row r="815" spans="1:8" ht="105" x14ac:dyDescent="0.25">
      <c r="A815" t="s">
        <v>927</v>
      </c>
      <c r="B815" s="80" t="str">
        <f>VLOOKUP(A815,[1]Sheet1!$B:$C,2,0)</f>
        <v>040000179896</v>
      </c>
      <c r="C815" s="46">
        <v>13370</v>
      </c>
      <c r="D815" s="81">
        <f t="shared" si="51"/>
        <v>13370</v>
      </c>
      <c r="E815" s="79" t="s">
        <v>2492</v>
      </c>
      <c r="F815" s="82" t="str">
        <f t="shared" si="48"/>
        <v>insert into ins_premium_det (premium_rcv_code,assorted_code, rec_amount,premium_rcv_detail_code,remaining_amt, payrec, mode_code,coinsurance_code,class_cd,it_remarks) values</v>
      </c>
      <c r="G815" s="83" t="str">
        <f t="shared" si="49"/>
        <v>('24Sep240082','040000179896','13370',(select max(to_number(i.premium_rcv_detail_code))+1
from ins_premium_det i),'13370','13370','02', '11000003','00','Request by Mr. Omair Ali 25-Sep-2024 allocation no 24Sep240082 ');</v>
      </c>
      <c r="H815" s="84" t="str">
        <f t="shared" si="50"/>
        <v>insert into ins_premium_det (premium_rcv_code,assorted_code, rec_amount,premium_rcv_detail_code,remaining_amt, payrec, mode_code,coinsurance_code,class_cd,it_remarks) values('24Sep240082','040000179896','13370',(select max(to_number(i.premium_rcv_detail_code))+1
from ins_premium_det i),'13370','13370','02', '11000003','00','Request by Mr. Omair Ali 25-Sep-2024 allocation no 24Sep240082 ');</v>
      </c>
    </row>
    <row r="816" spans="1:8" ht="105" x14ac:dyDescent="0.25">
      <c r="A816" t="s">
        <v>928</v>
      </c>
      <c r="B816" s="80" t="str">
        <f>VLOOKUP(A816,[1]Sheet1!$B:$C,2,0)</f>
        <v>040000179899</v>
      </c>
      <c r="C816" s="46">
        <v>8800</v>
      </c>
      <c r="D816" s="81">
        <f t="shared" si="51"/>
        <v>8800</v>
      </c>
      <c r="E816" s="79" t="s">
        <v>2492</v>
      </c>
      <c r="F816" s="82" t="str">
        <f t="shared" si="48"/>
        <v>insert into ins_premium_det (premium_rcv_code,assorted_code, rec_amount,premium_rcv_detail_code,remaining_amt, payrec, mode_code,coinsurance_code,class_cd,it_remarks) values</v>
      </c>
      <c r="G816" s="83" t="str">
        <f t="shared" si="49"/>
        <v>('24Sep240082','040000179899','8800',(select max(to_number(i.premium_rcv_detail_code))+1
from ins_premium_det i),'8800','8800','02', '11000003','00','Request by Mr. Omair Ali 25-Sep-2024 allocation no 24Sep240082 ');</v>
      </c>
      <c r="H816" s="84" t="str">
        <f t="shared" si="50"/>
        <v>insert into ins_premium_det (premium_rcv_code,assorted_code, rec_amount,premium_rcv_detail_code,remaining_amt, payrec, mode_code,coinsurance_code,class_cd,it_remarks) values('24Sep240082','040000179899','8800',(select max(to_number(i.premium_rcv_detail_code))+1
from ins_premium_det i),'8800','8800','02', '11000003','00','Request by Mr. Omair Ali 25-Sep-2024 allocation no 24Sep240082 ');</v>
      </c>
    </row>
    <row r="817" spans="1:8" ht="105" x14ac:dyDescent="0.25">
      <c r="A817" t="s">
        <v>929</v>
      </c>
      <c r="B817" s="80" t="str">
        <f>VLOOKUP(A817,[1]Sheet1!$B:$C,2,0)</f>
        <v>040000179900</v>
      </c>
      <c r="C817" s="46">
        <v>13370</v>
      </c>
      <c r="D817" s="81">
        <f t="shared" si="51"/>
        <v>13370</v>
      </c>
      <c r="E817" s="79" t="s">
        <v>2492</v>
      </c>
      <c r="F817" s="82" t="str">
        <f t="shared" si="48"/>
        <v>insert into ins_premium_det (premium_rcv_code,assorted_code, rec_amount,premium_rcv_detail_code,remaining_amt, payrec, mode_code,coinsurance_code,class_cd,it_remarks) values</v>
      </c>
      <c r="G817" s="83" t="str">
        <f t="shared" si="49"/>
        <v>('24Sep240082','040000179900','13370',(select max(to_number(i.premium_rcv_detail_code))+1
from ins_premium_det i),'13370','13370','02', '11000003','00','Request by Mr. Omair Ali 25-Sep-2024 allocation no 24Sep240082 ');</v>
      </c>
      <c r="H817" s="84" t="str">
        <f t="shared" si="50"/>
        <v>insert into ins_premium_det (premium_rcv_code,assorted_code, rec_amount,premium_rcv_detail_code,remaining_amt, payrec, mode_code,coinsurance_code,class_cd,it_remarks) values('24Sep240082','040000179900','13370',(select max(to_number(i.premium_rcv_detail_code))+1
from ins_premium_det i),'13370','13370','02', '11000003','00','Request by Mr. Omair Ali 25-Sep-2024 allocation no 24Sep240082 ');</v>
      </c>
    </row>
    <row r="818" spans="1:8" ht="105" x14ac:dyDescent="0.25">
      <c r="A818" t="s">
        <v>930</v>
      </c>
      <c r="B818" s="80" t="str">
        <f>VLOOKUP(A818,[1]Sheet1!$B:$C,2,0)</f>
        <v>040000179901</v>
      </c>
      <c r="C818" s="46">
        <v>13370</v>
      </c>
      <c r="D818" s="81">
        <f t="shared" si="51"/>
        <v>13370</v>
      </c>
      <c r="E818" s="79" t="s">
        <v>2492</v>
      </c>
      <c r="F818" s="82" t="str">
        <f t="shared" si="48"/>
        <v>insert into ins_premium_det (premium_rcv_code,assorted_code, rec_amount,premium_rcv_detail_code,remaining_amt, payrec, mode_code,coinsurance_code,class_cd,it_remarks) values</v>
      </c>
      <c r="G818" s="83" t="str">
        <f t="shared" si="49"/>
        <v>('24Sep240082','040000179901','13370',(select max(to_number(i.premium_rcv_detail_code))+1
from ins_premium_det i),'13370','13370','02', '11000003','00','Request by Mr. Omair Ali 25-Sep-2024 allocation no 24Sep240082 ');</v>
      </c>
      <c r="H818" s="84" t="str">
        <f t="shared" si="50"/>
        <v>insert into ins_premium_det (premium_rcv_code,assorted_code, rec_amount,premium_rcv_detail_code,remaining_amt, payrec, mode_code,coinsurance_code,class_cd,it_remarks) values('24Sep240082','040000179901','13370',(select max(to_number(i.premium_rcv_detail_code))+1
from ins_premium_det i),'13370','13370','02', '11000003','00','Request by Mr. Omair Ali 25-Sep-2024 allocation no 24Sep240082 ');</v>
      </c>
    </row>
    <row r="819" spans="1:8" ht="105" x14ac:dyDescent="0.25">
      <c r="A819" t="s">
        <v>931</v>
      </c>
      <c r="B819" s="80" t="str">
        <f>VLOOKUP(A819,[1]Sheet1!$B:$C,2,0)</f>
        <v>040000179902</v>
      </c>
      <c r="C819" s="46">
        <v>13370</v>
      </c>
      <c r="D819" s="81">
        <f t="shared" si="51"/>
        <v>13370</v>
      </c>
      <c r="E819" s="79" t="s">
        <v>2492</v>
      </c>
      <c r="F819" s="82" t="str">
        <f t="shared" si="48"/>
        <v>insert into ins_premium_det (premium_rcv_code,assorted_code, rec_amount,premium_rcv_detail_code,remaining_amt, payrec, mode_code,coinsurance_code,class_cd,it_remarks) values</v>
      </c>
      <c r="G819" s="83" t="str">
        <f t="shared" si="49"/>
        <v>('24Sep240082','040000179902','13370',(select max(to_number(i.premium_rcv_detail_code))+1
from ins_premium_det i),'13370','13370','02', '11000003','00','Request by Mr. Omair Ali 25-Sep-2024 allocation no 24Sep240082 ');</v>
      </c>
      <c r="H819" s="84" t="str">
        <f t="shared" si="50"/>
        <v>insert into ins_premium_det (premium_rcv_code,assorted_code, rec_amount,premium_rcv_detail_code,remaining_amt, payrec, mode_code,coinsurance_code,class_cd,it_remarks) values('24Sep240082','040000179902','13370',(select max(to_number(i.premium_rcv_detail_code))+1
from ins_premium_det i),'13370','13370','02', '11000003','00','Request by Mr. Omair Ali 25-Sep-2024 allocation no 24Sep240082 ');</v>
      </c>
    </row>
    <row r="820" spans="1:8" ht="105" x14ac:dyDescent="0.25">
      <c r="A820" t="s">
        <v>932</v>
      </c>
      <c r="B820" s="80" t="str">
        <f>VLOOKUP(A820,[1]Sheet1!$B:$C,2,0)</f>
        <v>040000179903</v>
      </c>
      <c r="C820" s="46">
        <v>13370</v>
      </c>
      <c r="D820" s="81">
        <f t="shared" si="51"/>
        <v>13370</v>
      </c>
      <c r="E820" s="79" t="s">
        <v>2492</v>
      </c>
      <c r="F820" s="82" t="str">
        <f t="shared" si="48"/>
        <v>insert into ins_premium_det (premium_rcv_code,assorted_code, rec_amount,premium_rcv_detail_code,remaining_amt, payrec, mode_code,coinsurance_code,class_cd,it_remarks) values</v>
      </c>
      <c r="G820" s="83" t="str">
        <f t="shared" si="49"/>
        <v>('24Sep240082','040000179903','13370',(select max(to_number(i.premium_rcv_detail_code))+1
from ins_premium_det i),'13370','13370','02', '11000003','00','Request by Mr. Omair Ali 25-Sep-2024 allocation no 24Sep240082 ');</v>
      </c>
      <c r="H820" s="84" t="str">
        <f t="shared" si="50"/>
        <v>insert into ins_premium_det (premium_rcv_code,assorted_code, rec_amount,premium_rcv_detail_code,remaining_amt, payrec, mode_code,coinsurance_code,class_cd,it_remarks) values('24Sep240082','040000179903','13370',(select max(to_number(i.premium_rcv_detail_code))+1
from ins_premium_det i),'13370','13370','02', '11000003','00','Request by Mr. Omair Ali 25-Sep-2024 allocation no 24Sep240082 ');</v>
      </c>
    </row>
    <row r="821" spans="1:8" ht="105" x14ac:dyDescent="0.25">
      <c r="A821" t="s">
        <v>933</v>
      </c>
      <c r="B821" s="80" t="str">
        <f>VLOOKUP(A821,[1]Sheet1!$B:$C,2,0)</f>
        <v>040000179909</v>
      </c>
      <c r="C821" s="46">
        <v>12320</v>
      </c>
      <c r="D821" s="81">
        <f t="shared" si="51"/>
        <v>12320</v>
      </c>
      <c r="E821" s="79" t="s">
        <v>2492</v>
      </c>
      <c r="F821" s="82" t="str">
        <f t="shared" si="48"/>
        <v>insert into ins_premium_det (premium_rcv_code,assorted_code, rec_amount,premium_rcv_detail_code,remaining_amt, payrec, mode_code,coinsurance_code,class_cd,it_remarks) values</v>
      </c>
      <c r="G821" s="83" t="str">
        <f t="shared" si="49"/>
        <v>('24Sep240082','040000179909','12320',(select max(to_number(i.premium_rcv_detail_code))+1
from ins_premium_det i),'12320','12320','02', '11000003','00','Request by Mr. Omair Ali 25-Sep-2024 allocation no 24Sep240082 ');</v>
      </c>
      <c r="H821" s="84" t="str">
        <f t="shared" si="50"/>
        <v>insert into ins_premium_det (premium_rcv_code,assorted_code, rec_amount,premium_rcv_detail_code,remaining_amt, payrec, mode_code,coinsurance_code,class_cd,it_remarks) values('24Sep240082','040000179909','12320',(select max(to_number(i.premium_rcv_detail_code))+1
from ins_premium_det i),'12320','12320','02', '11000003','00','Request by Mr. Omair Ali 25-Sep-2024 allocation no 24Sep240082 ');</v>
      </c>
    </row>
    <row r="822" spans="1:8" ht="105" x14ac:dyDescent="0.25">
      <c r="A822" t="s">
        <v>934</v>
      </c>
      <c r="B822" s="80" t="str">
        <f>VLOOKUP(A822,[1]Sheet1!$B:$C,2,0)</f>
        <v>040000179910</v>
      </c>
      <c r="C822" s="46">
        <v>12320</v>
      </c>
      <c r="D822" s="81">
        <f t="shared" si="51"/>
        <v>12320</v>
      </c>
      <c r="E822" s="79" t="s">
        <v>2492</v>
      </c>
      <c r="F822" s="82" t="str">
        <f t="shared" si="48"/>
        <v>insert into ins_premium_det (premium_rcv_code,assorted_code, rec_amount,premium_rcv_detail_code,remaining_amt, payrec, mode_code,coinsurance_code,class_cd,it_remarks) values</v>
      </c>
      <c r="G822" s="83" t="str">
        <f t="shared" si="49"/>
        <v>('24Sep240082','040000179910','12320',(select max(to_number(i.premium_rcv_detail_code))+1
from ins_premium_det i),'12320','12320','02', '11000003','00','Request by Mr. Omair Ali 25-Sep-2024 allocation no 24Sep240082 ');</v>
      </c>
      <c r="H822" s="84" t="str">
        <f t="shared" si="50"/>
        <v>insert into ins_premium_det (premium_rcv_code,assorted_code, rec_amount,premium_rcv_detail_code,remaining_amt, payrec, mode_code,coinsurance_code,class_cd,it_remarks) values('24Sep240082','040000179910','12320',(select max(to_number(i.premium_rcv_detail_code))+1
from ins_premium_det i),'12320','12320','02', '11000003','00','Request by Mr. Omair Ali 25-Sep-2024 allocation no 24Sep240082 ');</v>
      </c>
    </row>
    <row r="823" spans="1:8" ht="105" x14ac:dyDescent="0.25">
      <c r="A823" t="s">
        <v>935</v>
      </c>
      <c r="B823" s="80" t="str">
        <f>VLOOKUP(A823,[1]Sheet1!$B:$C,2,0)</f>
        <v>040000179911</v>
      </c>
      <c r="C823" s="46">
        <v>8800</v>
      </c>
      <c r="D823" s="81">
        <f t="shared" si="51"/>
        <v>8800</v>
      </c>
      <c r="E823" s="79" t="s">
        <v>2492</v>
      </c>
      <c r="F823" s="82" t="str">
        <f t="shared" si="48"/>
        <v>insert into ins_premium_det (premium_rcv_code,assorted_code, rec_amount,premium_rcv_detail_code,remaining_amt, payrec, mode_code,coinsurance_code,class_cd,it_remarks) values</v>
      </c>
      <c r="G823" s="83" t="str">
        <f t="shared" si="49"/>
        <v>('24Sep240082','040000179911','8800',(select max(to_number(i.premium_rcv_detail_code))+1
from ins_premium_det i),'8800','8800','02', '11000003','00','Request by Mr. Omair Ali 25-Sep-2024 allocation no 24Sep240082 ');</v>
      </c>
      <c r="H823" s="84" t="str">
        <f t="shared" si="50"/>
        <v>insert into ins_premium_det (premium_rcv_code,assorted_code, rec_amount,premium_rcv_detail_code,remaining_amt, payrec, mode_code,coinsurance_code,class_cd,it_remarks) values('24Sep240082','040000179911','8800',(select max(to_number(i.premium_rcv_detail_code))+1
from ins_premium_det i),'8800','8800','02', '11000003','00','Request by Mr. Omair Ali 25-Sep-2024 allocation no 24Sep240082 ');</v>
      </c>
    </row>
    <row r="824" spans="1:8" ht="105" x14ac:dyDescent="0.25">
      <c r="A824" t="s">
        <v>936</v>
      </c>
      <c r="B824" s="80" t="str">
        <f>VLOOKUP(A824,[1]Sheet1!$B:$C,2,0)</f>
        <v>040000179913</v>
      </c>
      <c r="C824" s="46">
        <v>12320</v>
      </c>
      <c r="D824" s="81">
        <f t="shared" si="51"/>
        <v>12320</v>
      </c>
      <c r="E824" s="79" t="s">
        <v>2492</v>
      </c>
      <c r="F824" s="82" t="str">
        <f t="shared" si="48"/>
        <v>insert into ins_premium_det (premium_rcv_code,assorted_code, rec_amount,premium_rcv_detail_code,remaining_amt, payrec, mode_code,coinsurance_code,class_cd,it_remarks) values</v>
      </c>
      <c r="G824" s="83" t="str">
        <f t="shared" si="49"/>
        <v>('24Sep240082','040000179913','12320',(select max(to_number(i.premium_rcv_detail_code))+1
from ins_premium_det i),'12320','12320','02', '11000003','00','Request by Mr. Omair Ali 25-Sep-2024 allocation no 24Sep240082 ');</v>
      </c>
      <c r="H824" s="84" t="str">
        <f t="shared" si="50"/>
        <v>insert into ins_premium_det (premium_rcv_code,assorted_code, rec_amount,premium_rcv_detail_code,remaining_amt, payrec, mode_code,coinsurance_code,class_cd,it_remarks) values('24Sep240082','040000179913','12320',(select max(to_number(i.premium_rcv_detail_code))+1
from ins_premium_det i),'12320','12320','02', '11000003','00','Request by Mr. Omair Ali 25-Sep-2024 allocation no 24Sep240082 ');</v>
      </c>
    </row>
    <row r="825" spans="1:8" ht="105" x14ac:dyDescent="0.25">
      <c r="A825" t="s">
        <v>937</v>
      </c>
      <c r="B825" s="80" t="str">
        <f>VLOOKUP(A825,[1]Sheet1!$B:$C,2,0)</f>
        <v>040000179914</v>
      </c>
      <c r="C825" s="46">
        <v>13370</v>
      </c>
      <c r="D825" s="81">
        <f t="shared" si="51"/>
        <v>13370</v>
      </c>
      <c r="E825" s="79" t="s">
        <v>2492</v>
      </c>
      <c r="F825" s="82" t="str">
        <f t="shared" si="48"/>
        <v>insert into ins_premium_det (premium_rcv_code,assorted_code, rec_amount,premium_rcv_detail_code,remaining_amt, payrec, mode_code,coinsurance_code,class_cd,it_remarks) values</v>
      </c>
      <c r="G825" s="83" t="str">
        <f t="shared" si="49"/>
        <v>('24Sep240082','040000179914','13370',(select max(to_number(i.premium_rcv_detail_code))+1
from ins_premium_det i),'13370','13370','02', '11000003','00','Request by Mr. Omair Ali 25-Sep-2024 allocation no 24Sep240082 ');</v>
      </c>
      <c r="H825" s="84" t="str">
        <f t="shared" si="50"/>
        <v>insert into ins_premium_det (premium_rcv_code,assorted_code, rec_amount,premium_rcv_detail_code,remaining_amt, payrec, mode_code,coinsurance_code,class_cd,it_remarks) values('24Sep240082','040000179914','13370',(select max(to_number(i.premium_rcv_detail_code))+1
from ins_premium_det i),'13370','13370','02', '11000003','00','Request by Mr. Omair Ali 25-Sep-2024 allocation no 24Sep240082 ');</v>
      </c>
    </row>
    <row r="826" spans="1:8" ht="105" x14ac:dyDescent="0.25">
      <c r="A826" t="s">
        <v>938</v>
      </c>
      <c r="B826" s="80" t="str">
        <f>VLOOKUP(A826,[1]Sheet1!$B:$C,2,0)</f>
        <v>040000179915</v>
      </c>
      <c r="C826" s="46">
        <v>13370</v>
      </c>
      <c r="D826" s="81">
        <f t="shared" si="51"/>
        <v>13370</v>
      </c>
      <c r="E826" s="79" t="s">
        <v>2492</v>
      </c>
      <c r="F826" s="82" t="str">
        <f t="shared" si="48"/>
        <v>insert into ins_premium_det (premium_rcv_code,assorted_code, rec_amount,premium_rcv_detail_code,remaining_amt, payrec, mode_code,coinsurance_code,class_cd,it_remarks) values</v>
      </c>
      <c r="G826" s="83" t="str">
        <f t="shared" si="49"/>
        <v>('24Sep240082','040000179915','13370',(select max(to_number(i.premium_rcv_detail_code))+1
from ins_premium_det i),'13370','13370','02', '11000003','00','Request by Mr. Omair Ali 25-Sep-2024 allocation no 24Sep240082 ');</v>
      </c>
      <c r="H826" s="84" t="str">
        <f t="shared" si="50"/>
        <v>insert into ins_premium_det (premium_rcv_code,assorted_code, rec_amount,premium_rcv_detail_code,remaining_amt, payrec, mode_code,coinsurance_code,class_cd,it_remarks) values('24Sep240082','040000179915','13370',(select max(to_number(i.premium_rcv_detail_code))+1
from ins_premium_det i),'13370','13370','02', '11000003','00','Request by Mr. Omair Ali 25-Sep-2024 allocation no 24Sep240082 ');</v>
      </c>
    </row>
    <row r="827" spans="1:8" ht="105" x14ac:dyDescent="0.25">
      <c r="A827" t="s">
        <v>939</v>
      </c>
      <c r="B827" s="80" t="str">
        <f>VLOOKUP(A827,[1]Sheet1!$B:$C,2,0)</f>
        <v>040000179916</v>
      </c>
      <c r="C827" s="46">
        <v>12320</v>
      </c>
      <c r="D827" s="81">
        <f t="shared" si="51"/>
        <v>12320</v>
      </c>
      <c r="E827" s="79" t="s">
        <v>2492</v>
      </c>
      <c r="F827" s="82" t="str">
        <f t="shared" si="48"/>
        <v>insert into ins_premium_det (premium_rcv_code,assorted_code, rec_amount,premium_rcv_detail_code,remaining_amt, payrec, mode_code,coinsurance_code,class_cd,it_remarks) values</v>
      </c>
      <c r="G827" s="83" t="str">
        <f t="shared" si="49"/>
        <v>('24Sep240082','040000179916','12320',(select max(to_number(i.premium_rcv_detail_code))+1
from ins_premium_det i),'12320','12320','02', '11000003','00','Request by Mr. Omair Ali 25-Sep-2024 allocation no 24Sep240082 ');</v>
      </c>
      <c r="H827" s="84" t="str">
        <f t="shared" si="50"/>
        <v>insert into ins_premium_det (premium_rcv_code,assorted_code, rec_amount,premium_rcv_detail_code,remaining_amt, payrec, mode_code,coinsurance_code,class_cd,it_remarks) values('24Sep240082','040000179916','12320',(select max(to_number(i.premium_rcv_detail_code))+1
from ins_premium_det i),'12320','12320','02', '11000003','00','Request by Mr. Omair Ali 25-Sep-2024 allocation no 24Sep240082 ');</v>
      </c>
    </row>
    <row r="828" spans="1:8" ht="105" x14ac:dyDescent="0.25">
      <c r="A828" t="s">
        <v>940</v>
      </c>
      <c r="B828" s="80" t="str">
        <f>VLOOKUP(A828,[1]Sheet1!$B:$C,2,0)</f>
        <v>040000179917</v>
      </c>
      <c r="C828" s="46">
        <v>12320</v>
      </c>
      <c r="D828" s="81">
        <f t="shared" si="51"/>
        <v>12320</v>
      </c>
      <c r="E828" s="79" t="s">
        <v>2492</v>
      </c>
      <c r="F828" s="82" t="str">
        <f t="shared" si="48"/>
        <v>insert into ins_premium_det (premium_rcv_code,assorted_code, rec_amount,premium_rcv_detail_code,remaining_amt, payrec, mode_code,coinsurance_code,class_cd,it_remarks) values</v>
      </c>
      <c r="G828" s="83" t="str">
        <f t="shared" si="49"/>
        <v>('24Sep240082','040000179917','12320',(select max(to_number(i.premium_rcv_detail_code))+1
from ins_premium_det i),'12320','12320','02', '11000003','00','Request by Mr. Omair Ali 25-Sep-2024 allocation no 24Sep240082 ');</v>
      </c>
      <c r="H828" s="84" t="str">
        <f t="shared" si="50"/>
        <v>insert into ins_premium_det (premium_rcv_code,assorted_code, rec_amount,premium_rcv_detail_code,remaining_amt, payrec, mode_code,coinsurance_code,class_cd,it_remarks) values('24Sep240082','040000179917','12320',(select max(to_number(i.premium_rcv_detail_code))+1
from ins_premium_det i),'12320','12320','02', '11000003','00','Request by Mr. Omair Ali 25-Sep-2024 allocation no 24Sep240082 ');</v>
      </c>
    </row>
    <row r="829" spans="1:8" ht="105" x14ac:dyDescent="0.25">
      <c r="A829" t="s">
        <v>941</v>
      </c>
      <c r="B829" s="80" t="str">
        <f>VLOOKUP(A829,[1]Sheet1!$B:$C,2,0)</f>
        <v>040000179918</v>
      </c>
      <c r="C829" s="46">
        <v>12320</v>
      </c>
      <c r="D829" s="81">
        <f t="shared" si="51"/>
        <v>12320</v>
      </c>
      <c r="E829" s="79" t="s">
        <v>2492</v>
      </c>
      <c r="F829" s="82" t="str">
        <f t="shared" si="48"/>
        <v>insert into ins_premium_det (premium_rcv_code,assorted_code, rec_amount,premium_rcv_detail_code,remaining_amt, payrec, mode_code,coinsurance_code,class_cd,it_remarks) values</v>
      </c>
      <c r="G829" s="83" t="str">
        <f t="shared" si="49"/>
        <v>('24Sep240082','040000179918','12320',(select max(to_number(i.premium_rcv_detail_code))+1
from ins_premium_det i),'12320','12320','02', '11000003','00','Request by Mr. Omair Ali 25-Sep-2024 allocation no 24Sep240082 ');</v>
      </c>
      <c r="H829" s="84" t="str">
        <f t="shared" si="50"/>
        <v>insert into ins_premium_det (premium_rcv_code,assorted_code, rec_amount,premium_rcv_detail_code,remaining_amt, payrec, mode_code,coinsurance_code,class_cd,it_remarks) values('24Sep240082','040000179918','12320',(select max(to_number(i.premium_rcv_detail_code))+1
from ins_premium_det i),'12320','12320','02', '11000003','00','Request by Mr. Omair Ali 25-Sep-2024 allocation no 24Sep240082 ');</v>
      </c>
    </row>
    <row r="830" spans="1:8" ht="105" x14ac:dyDescent="0.25">
      <c r="A830" t="s">
        <v>942</v>
      </c>
      <c r="B830" s="80" t="str">
        <f>VLOOKUP(A830,[1]Sheet1!$B:$C,2,0)</f>
        <v>040000179920</v>
      </c>
      <c r="C830" s="46">
        <v>12320</v>
      </c>
      <c r="D830" s="81">
        <f t="shared" si="51"/>
        <v>12320</v>
      </c>
      <c r="E830" s="79" t="s">
        <v>2492</v>
      </c>
      <c r="F830" s="82" t="str">
        <f t="shared" si="48"/>
        <v>insert into ins_premium_det (premium_rcv_code,assorted_code, rec_amount,premium_rcv_detail_code,remaining_amt, payrec, mode_code,coinsurance_code,class_cd,it_remarks) values</v>
      </c>
      <c r="G830" s="83" t="str">
        <f t="shared" si="49"/>
        <v>('24Sep240082','040000179920','12320',(select max(to_number(i.premium_rcv_detail_code))+1
from ins_premium_det i),'12320','12320','02', '11000003','00','Request by Mr. Omair Ali 25-Sep-2024 allocation no 24Sep240082 ');</v>
      </c>
      <c r="H830" s="84" t="str">
        <f t="shared" si="50"/>
        <v>insert into ins_premium_det (premium_rcv_code,assorted_code, rec_amount,premium_rcv_detail_code,remaining_amt, payrec, mode_code,coinsurance_code,class_cd,it_remarks) values('24Sep240082','040000179920','12320',(select max(to_number(i.premium_rcv_detail_code))+1
from ins_premium_det i),'12320','12320','02', '11000003','00','Request by Mr. Omair Ali 25-Sep-2024 allocation no 24Sep240082 ');</v>
      </c>
    </row>
    <row r="831" spans="1:8" ht="105" x14ac:dyDescent="0.25">
      <c r="A831" t="s">
        <v>943</v>
      </c>
      <c r="B831" s="80" t="str">
        <f>VLOOKUP(A831,[1]Sheet1!$B:$C,2,0)</f>
        <v>040000179921</v>
      </c>
      <c r="C831" s="46">
        <v>12320</v>
      </c>
      <c r="D831" s="81">
        <f t="shared" si="51"/>
        <v>12320</v>
      </c>
      <c r="E831" s="79" t="s">
        <v>2492</v>
      </c>
      <c r="F831" s="82" t="str">
        <f t="shared" si="48"/>
        <v>insert into ins_premium_det (premium_rcv_code,assorted_code, rec_amount,premium_rcv_detail_code,remaining_amt, payrec, mode_code,coinsurance_code,class_cd,it_remarks) values</v>
      </c>
      <c r="G831" s="83" t="str">
        <f t="shared" si="49"/>
        <v>('24Sep240082','040000179921','12320',(select max(to_number(i.premium_rcv_detail_code))+1
from ins_premium_det i),'12320','12320','02', '11000003','00','Request by Mr. Omair Ali 25-Sep-2024 allocation no 24Sep240082 ');</v>
      </c>
      <c r="H831" s="84" t="str">
        <f t="shared" si="50"/>
        <v>insert into ins_premium_det (premium_rcv_code,assorted_code, rec_amount,premium_rcv_detail_code,remaining_amt, payrec, mode_code,coinsurance_code,class_cd,it_remarks) values('24Sep240082','040000179921','12320',(select max(to_number(i.premium_rcv_detail_code))+1
from ins_premium_det i),'12320','12320','02', '11000003','00','Request by Mr. Omair Ali 25-Sep-2024 allocation no 24Sep240082 ');</v>
      </c>
    </row>
    <row r="832" spans="1:8" ht="105" x14ac:dyDescent="0.25">
      <c r="A832" t="s">
        <v>944</v>
      </c>
      <c r="B832" s="80" t="str">
        <f>VLOOKUP(A832,[1]Sheet1!$B:$C,2,0)</f>
        <v>040000179922</v>
      </c>
      <c r="C832" s="46">
        <v>19145</v>
      </c>
      <c r="D832" s="81">
        <f t="shared" si="51"/>
        <v>19145</v>
      </c>
      <c r="E832" s="79" t="s">
        <v>2492</v>
      </c>
      <c r="F832" s="82" t="str">
        <f t="shared" si="48"/>
        <v>insert into ins_premium_det (premium_rcv_code,assorted_code, rec_amount,premium_rcv_detail_code,remaining_amt, payrec, mode_code,coinsurance_code,class_cd,it_remarks) values</v>
      </c>
      <c r="G832" s="83" t="str">
        <f t="shared" si="49"/>
        <v>('24Sep240082','040000179922','19145',(select max(to_number(i.premium_rcv_detail_code))+1
from ins_premium_det i),'19145','19145','02', '11000003','00','Request by Mr. Omair Ali 25-Sep-2024 allocation no 24Sep240082 ');</v>
      </c>
      <c r="H832" s="84" t="str">
        <f t="shared" si="50"/>
        <v>insert into ins_premium_det (premium_rcv_code,assorted_code, rec_amount,premium_rcv_detail_code,remaining_amt, payrec, mode_code,coinsurance_code,class_cd,it_remarks) values('24Sep240082','040000179922','19145',(select max(to_number(i.premium_rcv_detail_code))+1
from ins_premium_det i),'19145','19145','02', '11000003','00','Request by Mr. Omair Ali 25-Sep-2024 allocation no 24Sep240082 ');</v>
      </c>
    </row>
    <row r="833" spans="1:8" ht="105" x14ac:dyDescent="0.25">
      <c r="A833" t="s">
        <v>945</v>
      </c>
      <c r="B833" s="80" t="str">
        <f>VLOOKUP(A833,[1]Sheet1!$B:$C,2,0)</f>
        <v>040000179923</v>
      </c>
      <c r="C833" s="46">
        <v>19145</v>
      </c>
      <c r="D833" s="81">
        <f t="shared" si="51"/>
        <v>19145</v>
      </c>
      <c r="E833" s="79" t="s">
        <v>2492</v>
      </c>
      <c r="F833" s="82" t="str">
        <f t="shared" si="48"/>
        <v>insert into ins_premium_det (premium_rcv_code,assorted_code, rec_amount,premium_rcv_detail_code,remaining_amt, payrec, mode_code,coinsurance_code,class_cd,it_remarks) values</v>
      </c>
      <c r="G833" s="83" t="str">
        <f t="shared" si="49"/>
        <v>('24Sep240082','040000179923','19145',(select max(to_number(i.premium_rcv_detail_code))+1
from ins_premium_det i),'19145','19145','02', '11000003','00','Request by Mr. Omair Ali 25-Sep-2024 allocation no 24Sep240082 ');</v>
      </c>
      <c r="H833" s="84" t="str">
        <f t="shared" si="50"/>
        <v>insert into ins_premium_det (premium_rcv_code,assorted_code, rec_amount,premium_rcv_detail_code,remaining_amt, payrec, mode_code,coinsurance_code,class_cd,it_remarks) values('24Sep240082','040000179923','19145',(select max(to_number(i.premium_rcv_detail_code))+1
from ins_premium_det i),'19145','19145','02', '11000003','00','Request by Mr. Omair Ali 25-Sep-2024 allocation no 24Sep240082 ');</v>
      </c>
    </row>
    <row r="834" spans="1:8" ht="105" x14ac:dyDescent="0.25">
      <c r="A834" t="s">
        <v>946</v>
      </c>
      <c r="B834" s="80" t="str">
        <f>VLOOKUP(A834,[1]Sheet1!$B:$C,2,0)</f>
        <v>040000179924</v>
      </c>
      <c r="C834" s="46">
        <v>19145</v>
      </c>
      <c r="D834" s="81">
        <f t="shared" si="51"/>
        <v>19145</v>
      </c>
      <c r="E834" s="79" t="s">
        <v>2492</v>
      </c>
      <c r="F834" s="82" t="str">
        <f t="shared" ref="F834:F897" si="5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34" s="83" t="str">
        <f t="shared" si="49"/>
        <v>('24Sep240082','040000179924','19145',(select max(to_number(i.premium_rcv_detail_code))+1
from ins_premium_det i),'19145','19145','02', '11000003','00','Request by Mr. Omair Ali 25-Sep-2024 allocation no 24Sep240082 ');</v>
      </c>
      <c r="H834" s="84" t="str">
        <f t="shared" si="50"/>
        <v>insert into ins_premium_det (premium_rcv_code,assorted_code, rec_amount,premium_rcv_detail_code,remaining_amt, payrec, mode_code,coinsurance_code,class_cd,it_remarks) values('24Sep240082','040000179924','19145',(select max(to_number(i.premium_rcv_detail_code))+1
from ins_premium_det i),'19145','19145','02', '11000003','00','Request by Mr. Omair Ali 25-Sep-2024 allocation no 24Sep240082 ');</v>
      </c>
    </row>
    <row r="835" spans="1:8" ht="105" x14ac:dyDescent="0.25">
      <c r="A835" t="s">
        <v>947</v>
      </c>
      <c r="B835" s="80" t="str">
        <f>VLOOKUP(A835,[1]Sheet1!$B:$C,2,0)</f>
        <v>040000179925</v>
      </c>
      <c r="C835" s="46">
        <v>19145</v>
      </c>
      <c r="D835" s="81">
        <f t="shared" si="51"/>
        <v>19145</v>
      </c>
      <c r="E835" s="79" t="s">
        <v>2492</v>
      </c>
      <c r="F835" s="82" t="str">
        <f t="shared" si="52"/>
        <v>insert into ins_premium_det (premium_rcv_code,assorted_code, rec_amount,premium_rcv_detail_code,remaining_amt, payrec, mode_code,coinsurance_code,class_cd,it_remarks) values</v>
      </c>
      <c r="G835" s="83" t="str">
        <f t="shared" ref="G835:G898" si="53">"('"&amp;E835&amp;"','"&amp;B835&amp;"','"&amp;D835&amp;"',(select max(to_number(i.premium_rcv_detail_code))+1
from ins_premium_det i),'"&amp;D835&amp;"','"&amp;D835&amp;"','02', '11000003','00','Request by Mr. Omair Ali 25-Sep-2024 allocation no 24Sep240082 ');"</f>
        <v>('24Sep240082','040000179925','19145',(select max(to_number(i.premium_rcv_detail_code))+1
from ins_premium_det i),'19145','19145','02', '11000003','00','Request by Mr. Omair Ali 25-Sep-2024 allocation no 24Sep240082 ');</v>
      </c>
      <c r="H835" s="84" t="str">
        <f t="shared" ref="H835:H898" si="54">F835&amp;G835</f>
        <v>insert into ins_premium_det (premium_rcv_code,assorted_code, rec_amount,premium_rcv_detail_code,remaining_amt, payrec, mode_code,coinsurance_code,class_cd,it_remarks) values('24Sep240082','040000179925','19145',(select max(to_number(i.premium_rcv_detail_code))+1
from ins_premium_det i),'19145','19145','02', '11000003','00','Request by Mr. Omair Ali 25-Sep-2024 allocation no 24Sep240082 ');</v>
      </c>
    </row>
    <row r="836" spans="1:8" ht="105" x14ac:dyDescent="0.25">
      <c r="A836" t="s">
        <v>948</v>
      </c>
      <c r="B836" s="80" t="str">
        <f>VLOOKUP(A836,[1]Sheet1!$B:$C,2,0)</f>
        <v>040000179926</v>
      </c>
      <c r="C836" s="46">
        <v>19145</v>
      </c>
      <c r="D836" s="81">
        <f t="shared" ref="D836:D899" si="55">ROUND(C836,0)</f>
        <v>19145</v>
      </c>
      <c r="E836" s="79" t="s">
        <v>2492</v>
      </c>
      <c r="F836" s="82" t="str">
        <f t="shared" si="52"/>
        <v>insert into ins_premium_det (premium_rcv_code,assorted_code, rec_amount,premium_rcv_detail_code,remaining_amt, payrec, mode_code,coinsurance_code,class_cd,it_remarks) values</v>
      </c>
      <c r="G836" s="83" t="str">
        <f t="shared" si="53"/>
        <v>('24Sep240082','040000179926','19145',(select max(to_number(i.premium_rcv_detail_code))+1
from ins_premium_det i),'19145','19145','02', '11000003','00','Request by Mr. Omair Ali 25-Sep-2024 allocation no 24Sep240082 ');</v>
      </c>
      <c r="H836" s="84" t="str">
        <f t="shared" si="54"/>
        <v>insert into ins_premium_det (premium_rcv_code,assorted_code, rec_amount,premium_rcv_detail_code,remaining_amt, payrec, mode_code,coinsurance_code,class_cd,it_remarks) values('24Sep240082','040000179926','19145',(select max(to_number(i.premium_rcv_detail_code))+1
from ins_premium_det i),'19145','19145','02', '11000003','00','Request by Mr. Omair Ali 25-Sep-2024 allocation no 24Sep240082 ');</v>
      </c>
    </row>
    <row r="837" spans="1:8" ht="105" x14ac:dyDescent="0.25">
      <c r="A837" t="s">
        <v>949</v>
      </c>
      <c r="B837" s="80" t="str">
        <f>VLOOKUP(A837,[1]Sheet1!$B:$C,2,0)</f>
        <v>040000179927</v>
      </c>
      <c r="C837" s="46">
        <v>19145</v>
      </c>
      <c r="D837" s="81">
        <f t="shared" si="55"/>
        <v>19145</v>
      </c>
      <c r="E837" s="79" t="s">
        <v>2492</v>
      </c>
      <c r="F837" s="82" t="str">
        <f t="shared" si="52"/>
        <v>insert into ins_premium_det (premium_rcv_code,assorted_code, rec_amount,premium_rcv_detail_code,remaining_amt, payrec, mode_code,coinsurance_code,class_cd,it_remarks) values</v>
      </c>
      <c r="G837" s="83" t="str">
        <f t="shared" si="53"/>
        <v>('24Sep240082','040000179927','19145',(select max(to_number(i.premium_rcv_detail_code))+1
from ins_premium_det i),'19145','19145','02', '11000003','00','Request by Mr. Omair Ali 25-Sep-2024 allocation no 24Sep240082 ');</v>
      </c>
      <c r="H837" s="84" t="str">
        <f t="shared" si="54"/>
        <v>insert into ins_premium_det (premium_rcv_code,assorted_code, rec_amount,premium_rcv_detail_code,remaining_amt, payrec, mode_code,coinsurance_code,class_cd,it_remarks) values('24Sep240082','040000179927','19145',(select max(to_number(i.premium_rcv_detail_code))+1
from ins_premium_det i),'19145','19145','02', '11000003','00','Request by Mr. Omair Ali 25-Sep-2024 allocation no 24Sep240082 ');</v>
      </c>
    </row>
    <row r="838" spans="1:8" ht="105" x14ac:dyDescent="0.25">
      <c r="A838" t="s">
        <v>950</v>
      </c>
      <c r="B838" s="80" t="str">
        <f>VLOOKUP(A838,[1]Sheet1!$B:$C,2,0)</f>
        <v>040000179928</v>
      </c>
      <c r="C838" s="46">
        <v>12320</v>
      </c>
      <c r="D838" s="81">
        <f t="shared" si="55"/>
        <v>12320</v>
      </c>
      <c r="E838" s="79" t="s">
        <v>2492</v>
      </c>
      <c r="F838" s="82" t="str">
        <f t="shared" si="52"/>
        <v>insert into ins_premium_det (premium_rcv_code,assorted_code, rec_amount,premium_rcv_detail_code,remaining_amt, payrec, mode_code,coinsurance_code,class_cd,it_remarks) values</v>
      </c>
      <c r="G838" s="83" t="str">
        <f t="shared" si="53"/>
        <v>('24Sep240082','040000179928','12320',(select max(to_number(i.premium_rcv_detail_code))+1
from ins_premium_det i),'12320','12320','02', '11000003','00','Request by Mr. Omair Ali 25-Sep-2024 allocation no 24Sep240082 ');</v>
      </c>
      <c r="H838" s="84" t="str">
        <f t="shared" si="54"/>
        <v>insert into ins_premium_det (premium_rcv_code,assorted_code, rec_amount,premium_rcv_detail_code,remaining_amt, payrec, mode_code,coinsurance_code,class_cd,it_remarks) values('24Sep240082','040000179928','12320',(select max(to_number(i.premium_rcv_detail_code))+1
from ins_premium_det i),'12320','12320','02', '11000003','00','Request by Mr. Omair Ali 25-Sep-2024 allocation no 24Sep240082 ');</v>
      </c>
    </row>
    <row r="839" spans="1:8" ht="105" x14ac:dyDescent="0.25">
      <c r="A839" t="s">
        <v>951</v>
      </c>
      <c r="B839" s="80" t="str">
        <f>VLOOKUP(A839,[1]Sheet1!$B:$C,2,0)</f>
        <v>040000179929</v>
      </c>
      <c r="C839" s="46">
        <v>12320</v>
      </c>
      <c r="D839" s="81">
        <f t="shared" si="55"/>
        <v>12320</v>
      </c>
      <c r="E839" s="79" t="s">
        <v>2492</v>
      </c>
      <c r="F839" s="82" t="str">
        <f t="shared" si="52"/>
        <v>insert into ins_premium_det (premium_rcv_code,assorted_code, rec_amount,premium_rcv_detail_code,remaining_amt, payrec, mode_code,coinsurance_code,class_cd,it_remarks) values</v>
      </c>
      <c r="G839" s="83" t="str">
        <f t="shared" si="53"/>
        <v>('24Sep240082','040000179929','12320',(select max(to_number(i.premium_rcv_detail_code))+1
from ins_premium_det i),'12320','12320','02', '11000003','00','Request by Mr. Omair Ali 25-Sep-2024 allocation no 24Sep240082 ');</v>
      </c>
      <c r="H839" s="84" t="str">
        <f t="shared" si="54"/>
        <v>insert into ins_premium_det (premium_rcv_code,assorted_code, rec_amount,premium_rcv_detail_code,remaining_amt, payrec, mode_code,coinsurance_code,class_cd,it_remarks) values('24Sep240082','040000179929','12320',(select max(to_number(i.premium_rcv_detail_code))+1
from ins_premium_det i),'12320','12320','02', '11000003','00','Request by Mr. Omair Ali 25-Sep-2024 allocation no 24Sep240082 ');</v>
      </c>
    </row>
    <row r="840" spans="1:8" ht="105" x14ac:dyDescent="0.25">
      <c r="A840" t="s">
        <v>952</v>
      </c>
      <c r="B840" s="80" t="str">
        <f>VLOOKUP(A840,[1]Sheet1!$B:$C,2,0)</f>
        <v>040000179930</v>
      </c>
      <c r="C840" s="46">
        <v>19145</v>
      </c>
      <c r="D840" s="81">
        <f t="shared" si="55"/>
        <v>19145</v>
      </c>
      <c r="E840" s="79" t="s">
        <v>2492</v>
      </c>
      <c r="F840" s="82" t="str">
        <f t="shared" si="52"/>
        <v>insert into ins_premium_det (premium_rcv_code,assorted_code, rec_amount,premium_rcv_detail_code,remaining_amt, payrec, mode_code,coinsurance_code,class_cd,it_remarks) values</v>
      </c>
      <c r="G840" s="83" t="str">
        <f t="shared" si="53"/>
        <v>('24Sep240082','040000179930','19145',(select max(to_number(i.premium_rcv_detail_code))+1
from ins_premium_det i),'19145','19145','02', '11000003','00','Request by Mr. Omair Ali 25-Sep-2024 allocation no 24Sep240082 ');</v>
      </c>
      <c r="H840" s="84" t="str">
        <f t="shared" si="54"/>
        <v>insert into ins_premium_det (premium_rcv_code,assorted_code, rec_amount,premium_rcv_detail_code,remaining_amt, payrec, mode_code,coinsurance_code,class_cd,it_remarks) values('24Sep240082','040000179930','19145',(select max(to_number(i.premium_rcv_detail_code))+1
from ins_premium_det i),'19145','19145','02', '11000003','00','Request by Mr. Omair Ali 25-Sep-2024 allocation no 24Sep240082 ');</v>
      </c>
    </row>
    <row r="841" spans="1:8" ht="105" x14ac:dyDescent="0.25">
      <c r="A841" t="s">
        <v>953</v>
      </c>
      <c r="B841" s="80" t="str">
        <f>VLOOKUP(A841,[1]Sheet1!$B:$C,2,0)</f>
        <v>040000179931</v>
      </c>
      <c r="C841" s="46">
        <v>13370</v>
      </c>
      <c r="D841" s="81">
        <f t="shared" si="55"/>
        <v>13370</v>
      </c>
      <c r="E841" s="79" t="s">
        <v>2492</v>
      </c>
      <c r="F841" s="82" t="str">
        <f t="shared" si="52"/>
        <v>insert into ins_premium_det (premium_rcv_code,assorted_code, rec_amount,premium_rcv_detail_code,remaining_amt, payrec, mode_code,coinsurance_code,class_cd,it_remarks) values</v>
      </c>
      <c r="G841" s="83" t="str">
        <f t="shared" si="53"/>
        <v>('24Sep240082','040000179931','13370',(select max(to_number(i.premium_rcv_detail_code))+1
from ins_premium_det i),'13370','13370','02', '11000003','00','Request by Mr. Omair Ali 25-Sep-2024 allocation no 24Sep240082 ');</v>
      </c>
      <c r="H841" s="84" t="str">
        <f t="shared" si="54"/>
        <v>insert into ins_premium_det (premium_rcv_code,assorted_code, rec_amount,premium_rcv_detail_code,remaining_amt, payrec, mode_code,coinsurance_code,class_cd,it_remarks) values('24Sep240082','040000179931','13370',(select max(to_number(i.premium_rcv_detail_code))+1
from ins_premium_det i),'13370','13370','02', '11000003','00','Request by Mr. Omair Ali 25-Sep-2024 allocation no 24Sep240082 ');</v>
      </c>
    </row>
    <row r="842" spans="1:8" ht="105" x14ac:dyDescent="0.25">
      <c r="A842" t="s">
        <v>954</v>
      </c>
      <c r="B842" s="80" t="str">
        <f>VLOOKUP(A842,[1]Sheet1!$B:$C,2,0)</f>
        <v>040000179932</v>
      </c>
      <c r="C842" s="46">
        <v>13370</v>
      </c>
      <c r="D842" s="81">
        <f t="shared" si="55"/>
        <v>13370</v>
      </c>
      <c r="E842" s="79" t="s">
        <v>2492</v>
      </c>
      <c r="F842" s="82" t="str">
        <f t="shared" si="52"/>
        <v>insert into ins_premium_det (premium_rcv_code,assorted_code, rec_amount,premium_rcv_detail_code,remaining_amt, payrec, mode_code,coinsurance_code,class_cd,it_remarks) values</v>
      </c>
      <c r="G842" s="83" t="str">
        <f t="shared" si="53"/>
        <v>('24Sep240082','040000179932','13370',(select max(to_number(i.premium_rcv_detail_code))+1
from ins_premium_det i),'13370','13370','02', '11000003','00','Request by Mr. Omair Ali 25-Sep-2024 allocation no 24Sep240082 ');</v>
      </c>
      <c r="H842" s="84" t="str">
        <f t="shared" si="54"/>
        <v>insert into ins_premium_det (premium_rcv_code,assorted_code, rec_amount,premium_rcv_detail_code,remaining_amt, payrec, mode_code,coinsurance_code,class_cd,it_remarks) values('24Sep240082','040000179932','13370',(select max(to_number(i.premium_rcv_detail_code))+1
from ins_premium_det i),'13370','13370','02', '11000003','00','Request by Mr. Omair Ali 25-Sep-2024 allocation no 24Sep240082 ');</v>
      </c>
    </row>
    <row r="843" spans="1:8" ht="105" x14ac:dyDescent="0.25">
      <c r="A843" t="s">
        <v>955</v>
      </c>
      <c r="B843" s="80" t="str">
        <f>VLOOKUP(A843,[1]Sheet1!$B:$C,2,0)</f>
        <v>040000179933</v>
      </c>
      <c r="C843" s="46">
        <v>13370</v>
      </c>
      <c r="D843" s="81">
        <f t="shared" si="55"/>
        <v>13370</v>
      </c>
      <c r="E843" s="79" t="s">
        <v>2492</v>
      </c>
      <c r="F843" s="82" t="str">
        <f t="shared" si="52"/>
        <v>insert into ins_premium_det (premium_rcv_code,assorted_code, rec_amount,premium_rcv_detail_code,remaining_amt, payrec, mode_code,coinsurance_code,class_cd,it_remarks) values</v>
      </c>
      <c r="G843" s="83" t="str">
        <f t="shared" si="53"/>
        <v>('24Sep240082','040000179933','13370',(select max(to_number(i.premium_rcv_detail_code))+1
from ins_premium_det i),'13370','13370','02', '11000003','00','Request by Mr. Omair Ali 25-Sep-2024 allocation no 24Sep240082 ');</v>
      </c>
      <c r="H843" s="84" t="str">
        <f t="shared" si="54"/>
        <v>insert into ins_premium_det (premium_rcv_code,assorted_code, rec_amount,premium_rcv_detail_code,remaining_amt, payrec, mode_code,coinsurance_code,class_cd,it_remarks) values('24Sep240082','040000179933','13370',(select max(to_number(i.premium_rcv_detail_code))+1
from ins_premium_det i),'13370','13370','02', '11000003','00','Request by Mr. Omair Ali 25-Sep-2024 allocation no 24Sep240082 ');</v>
      </c>
    </row>
    <row r="844" spans="1:8" ht="105" x14ac:dyDescent="0.25">
      <c r="A844" t="s">
        <v>956</v>
      </c>
      <c r="B844" s="80" t="str">
        <f>VLOOKUP(A844,[1]Sheet1!$B:$C,2,0)</f>
        <v>040000179934</v>
      </c>
      <c r="C844" s="46">
        <v>13370</v>
      </c>
      <c r="D844" s="81">
        <f t="shared" si="55"/>
        <v>13370</v>
      </c>
      <c r="E844" s="79" t="s">
        <v>2492</v>
      </c>
      <c r="F844" s="82" t="str">
        <f t="shared" si="52"/>
        <v>insert into ins_premium_det (premium_rcv_code,assorted_code, rec_amount,premium_rcv_detail_code,remaining_amt, payrec, mode_code,coinsurance_code,class_cd,it_remarks) values</v>
      </c>
      <c r="G844" s="83" t="str">
        <f t="shared" si="53"/>
        <v>('24Sep240082','040000179934','13370',(select max(to_number(i.premium_rcv_detail_code))+1
from ins_premium_det i),'13370','13370','02', '11000003','00','Request by Mr. Omair Ali 25-Sep-2024 allocation no 24Sep240082 ');</v>
      </c>
      <c r="H844" s="84" t="str">
        <f t="shared" si="54"/>
        <v>insert into ins_premium_det (premium_rcv_code,assorted_code, rec_amount,premium_rcv_detail_code,remaining_amt, payrec, mode_code,coinsurance_code,class_cd,it_remarks) values('24Sep240082','040000179934','13370',(select max(to_number(i.premium_rcv_detail_code))+1
from ins_premium_det i),'13370','13370','02', '11000003','00','Request by Mr. Omair Ali 25-Sep-2024 allocation no 24Sep240082 ');</v>
      </c>
    </row>
    <row r="845" spans="1:8" ht="105" x14ac:dyDescent="0.25">
      <c r="A845" t="s">
        <v>957</v>
      </c>
      <c r="B845" s="80" t="str">
        <f>VLOOKUP(A845,[1]Sheet1!$B:$C,2,0)</f>
        <v>040000179939</v>
      </c>
      <c r="C845" s="46">
        <v>12320</v>
      </c>
      <c r="D845" s="81">
        <f t="shared" si="55"/>
        <v>12320</v>
      </c>
      <c r="E845" s="79" t="s">
        <v>2492</v>
      </c>
      <c r="F845" s="82" t="str">
        <f t="shared" si="52"/>
        <v>insert into ins_premium_det (premium_rcv_code,assorted_code, rec_amount,premium_rcv_detail_code,remaining_amt, payrec, mode_code,coinsurance_code,class_cd,it_remarks) values</v>
      </c>
      <c r="G845" s="83" t="str">
        <f t="shared" si="53"/>
        <v>('24Sep240082','040000179939','12320',(select max(to_number(i.premium_rcv_detail_code))+1
from ins_premium_det i),'12320','12320','02', '11000003','00','Request by Mr. Omair Ali 25-Sep-2024 allocation no 24Sep240082 ');</v>
      </c>
      <c r="H845" s="84" t="str">
        <f t="shared" si="54"/>
        <v>insert into ins_premium_det (premium_rcv_code,assorted_code, rec_amount,premium_rcv_detail_code,remaining_amt, payrec, mode_code,coinsurance_code,class_cd,it_remarks) values('24Sep240082','040000179939','12320',(select max(to_number(i.premium_rcv_detail_code))+1
from ins_premium_det i),'12320','12320','02', '11000003','00','Request by Mr. Omair Ali 25-Sep-2024 allocation no 24Sep240082 ');</v>
      </c>
    </row>
    <row r="846" spans="1:8" ht="105" x14ac:dyDescent="0.25">
      <c r="A846" t="s">
        <v>958</v>
      </c>
      <c r="B846" s="80" t="str">
        <f>VLOOKUP(A846,[1]Sheet1!$B:$C,2,0)</f>
        <v>040000179940</v>
      </c>
      <c r="C846" s="46">
        <v>12320</v>
      </c>
      <c r="D846" s="81">
        <f t="shared" si="55"/>
        <v>12320</v>
      </c>
      <c r="E846" s="79" t="s">
        <v>2492</v>
      </c>
      <c r="F846" s="82" t="str">
        <f t="shared" si="52"/>
        <v>insert into ins_premium_det (premium_rcv_code,assorted_code, rec_amount,premium_rcv_detail_code,remaining_amt, payrec, mode_code,coinsurance_code,class_cd,it_remarks) values</v>
      </c>
      <c r="G846" s="83" t="str">
        <f t="shared" si="53"/>
        <v>('24Sep240082','040000179940','12320',(select max(to_number(i.premium_rcv_detail_code))+1
from ins_premium_det i),'12320','12320','02', '11000003','00','Request by Mr. Omair Ali 25-Sep-2024 allocation no 24Sep240082 ');</v>
      </c>
      <c r="H846" s="84" t="str">
        <f t="shared" si="54"/>
        <v>insert into ins_premium_det (premium_rcv_code,assorted_code, rec_amount,premium_rcv_detail_code,remaining_amt, payrec, mode_code,coinsurance_code,class_cd,it_remarks) values('24Sep240082','040000179940','12320',(select max(to_number(i.premium_rcv_detail_code))+1
from ins_premium_det i),'12320','12320','02', '11000003','00','Request by Mr. Omair Ali 25-Sep-2024 allocation no 24Sep240082 ');</v>
      </c>
    </row>
    <row r="847" spans="1:8" ht="105" x14ac:dyDescent="0.25">
      <c r="A847" t="s">
        <v>959</v>
      </c>
      <c r="B847" s="80" t="str">
        <f>VLOOKUP(A847,[1]Sheet1!$B:$C,2,0)</f>
        <v>040000179947</v>
      </c>
      <c r="C847" s="46">
        <v>8800</v>
      </c>
      <c r="D847" s="81">
        <f t="shared" si="55"/>
        <v>8800</v>
      </c>
      <c r="E847" s="79" t="s">
        <v>2492</v>
      </c>
      <c r="F847" s="82" t="str">
        <f t="shared" si="52"/>
        <v>insert into ins_premium_det (premium_rcv_code,assorted_code, rec_amount,premium_rcv_detail_code,remaining_amt, payrec, mode_code,coinsurance_code,class_cd,it_remarks) values</v>
      </c>
      <c r="G847" s="83" t="str">
        <f t="shared" si="53"/>
        <v>('24Sep240082','040000179947','8800',(select max(to_number(i.premium_rcv_detail_code))+1
from ins_premium_det i),'8800','8800','02', '11000003','00','Request by Mr. Omair Ali 25-Sep-2024 allocation no 24Sep240082 ');</v>
      </c>
      <c r="H847" s="84" t="str">
        <f t="shared" si="54"/>
        <v>insert into ins_premium_det (premium_rcv_code,assorted_code, rec_amount,premium_rcv_detail_code,remaining_amt, payrec, mode_code,coinsurance_code,class_cd,it_remarks) values('24Sep240082','040000179947','8800',(select max(to_number(i.premium_rcv_detail_code))+1
from ins_premium_det i),'8800','8800','02', '11000003','00','Request by Mr. Omair Ali 25-Sep-2024 allocation no 24Sep240082 ');</v>
      </c>
    </row>
    <row r="848" spans="1:8" ht="105" x14ac:dyDescent="0.25">
      <c r="A848" t="s">
        <v>960</v>
      </c>
      <c r="B848" s="80" t="str">
        <f>VLOOKUP(A848,[1]Sheet1!$B:$C,2,0)</f>
        <v>040000179948</v>
      </c>
      <c r="C848" s="46">
        <v>8800</v>
      </c>
      <c r="D848" s="81">
        <f t="shared" si="55"/>
        <v>8800</v>
      </c>
      <c r="E848" s="79" t="s">
        <v>2492</v>
      </c>
      <c r="F848" s="82" t="str">
        <f t="shared" si="52"/>
        <v>insert into ins_premium_det (premium_rcv_code,assorted_code, rec_amount,premium_rcv_detail_code,remaining_amt, payrec, mode_code,coinsurance_code,class_cd,it_remarks) values</v>
      </c>
      <c r="G848" s="83" t="str">
        <f t="shared" si="53"/>
        <v>('24Sep240082','040000179948','8800',(select max(to_number(i.premium_rcv_detail_code))+1
from ins_premium_det i),'8800','8800','02', '11000003','00','Request by Mr. Omair Ali 25-Sep-2024 allocation no 24Sep240082 ');</v>
      </c>
      <c r="H848" s="84" t="str">
        <f t="shared" si="54"/>
        <v>insert into ins_premium_det (premium_rcv_code,assorted_code, rec_amount,premium_rcv_detail_code,remaining_amt, payrec, mode_code,coinsurance_code,class_cd,it_remarks) values('24Sep240082','040000179948','8800',(select max(to_number(i.premium_rcv_detail_code))+1
from ins_premium_det i),'8800','8800','02', '11000003','00','Request by Mr. Omair Ali 25-Sep-2024 allocation no 24Sep240082 ');</v>
      </c>
    </row>
    <row r="849" spans="1:8" ht="105" x14ac:dyDescent="0.25">
      <c r="A849" t="s">
        <v>961</v>
      </c>
      <c r="B849" s="80" t="str">
        <f>VLOOKUP(A849,[1]Sheet1!$B:$C,2,0)</f>
        <v>040000179950</v>
      </c>
      <c r="C849" s="46">
        <v>8800</v>
      </c>
      <c r="D849" s="81">
        <f t="shared" si="55"/>
        <v>8800</v>
      </c>
      <c r="E849" s="79" t="s">
        <v>2492</v>
      </c>
      <c r="F849" s="82" t="str">
        <f t="shared" si="52"/>
        <v>insert into ins_premium_det (premium_rcv_code,assorted_code, rec_amount,premium_rcv_detail_code,remaining_amt, payrec, mode_code,coinsurance_code,class_cd,it_remarks) values</v>
      </c>
      <c r="G849" s="83" t="str">
        <f t="shared" si="53"/>
        <v>('24Sep240082','040000179950','8800',(select max(to_number(i.premium_rcv_detail_code))+1
from ins_premium_det i),'8800','8800','02', '11000003','00','Request by Mr. Omair Ali 25-Sep-2024 allocation no 24Sep240082 ');</v>
      </c>
      <c r="H849" s="84" t="str">
        <f t="shared" si="54"/>
        <v>insert into ins_premium_det (premium_rcv_code,assorted_code, rec_amount,premium_rcv_detail_code,remaining_amt, payrec, mode_code,coinsurance_code,class_cd,it_remarks) values('24Sep240082','040000179950','8800',(select max(to_number(i.premium_rcv_detail_code))+1
from ins_premium_det i),'8800','8800','02', '11000003','00','Request by Mr. Omair Ali 25-Sep-2024 allocation no 24Sep240082 ');</v>
      </c>
    </row>
    <row r="850" spans="1:8" ht="105" x14ac:dyDescent="0.25">
      <c r="A850" t="s">
        <v>962</v>
      </c>
      <c r="B850" s="80" t="str">
        <f>VLOOKUP(A850,[1]Sheet1!$B:$C,2,0)</f>
        <v>040000179951</v>
      </c>
      <c r="C850" s="46">
        <v>9550</v>
      </c>
      <c r="D850" s="81">
        <f t="shared" si="55"/>
        <v>9550</v>
      </c>
      <c r="E850" s="79" t="s">
        <v>2492</v>
      </c>
      <c r="F850" s="82" t="str">
        <f t="shared" si="52"/>
        <v>insert into ins_premium_det (premium_rcv_code,assorted_code, rec_amount,premium_rcv_detail_code,remaining_amt, payrec, mode_code,coinsurance_code,class_cd,it_remarks) values</v>
      </c>
      <c r="G850" s="83" t="str">
        <f t="shared" si="53"/>
        <v>('24Sep240082','040000179951','9550',(select max(to_number(i.premium_rcv_detail_code))+1
from ins_premium_det i),'9550','9550','02', '11000003','00','Request by Mr. Omair Ali 25-Sep-2024 allocation no 24Sep240082 ');</v>
      </c>
      <c r="H850" s="84" t="str">
        <f t="shared" si="54"/>
        <v>insert into ins_premium_det (premium_rcv_code,assorted_code, rec_amount,premium_rcv_detail_code,remaining_amt, payrec, mode_code,coinsurance_code,class_cd,it_remarks) values('24Sep240082','040000179951','9550',(select max(to_number(i.premium_rcv_detail_code))+1
from ins_premium_det i),'9550','9550','02', '11000003','00','Request by Mr. Omair Ali 25-Sep-2024 allocation no 24Sep240082 ');</v>
      </c>
    </row>
    <row r="851" spans="1:8" ht="105" x14ac:dyDescent="0.25">
      <c r="A851" t="s">
        <v>963</v>
      </c>
      <c r="B851" s="80" t="str">
        <f>VLOOKUP(A851,[1]Sheet1!$B:$C,2,0)</f>
        <v>040000179952</v>
      </c>
      <c r="C851" s="46">
        <v>8800</v>
      </c>
      <c r="D851" s="81">
        <f t="shared" si="55"/>
        <v>8800</v>
      </c>
      <c r="E851" s="79" t="s">
        <v>2492</v>
      </c>
      <c r="F851" s="82" t="str">
        <f t="shared" si="52"/>
        <v>insert into ins_premium_det (premium_rcv_code,assorted_code, rec_amount,premium_rcv_detail_code,remaining_amt, payrec, mode_code,coinsurance_code,class_cd,it_remarks) values</v>
      </c>
      <c r="G851" s="83" t="str">
        <f t="shared" si="53"/>
        <v>('24Sep240082','040000179952','8800',(select max(to_number(i.premium_rcv_detail_code))+1
from ins_premium_det i),'8800','8800','02', '11000003','00','Request by Mr. Omair Ali 25-Sep-2024 allocation no 24Sep240082 ');</v>
      </c>
      <c r="H851" s="84" t="str">
        <f t="shared" si="54"/>
        <v>insert into ins_premium_det (premium_rcv_code,assorted_code, rec_amount,premium_rcv_detail_code,remaining_amt, payrec, mode_code,coinsurance_code,class_cd,it_remarks) values('24Sep240082','040000179952','8800',(select max(to_number(i.premium_rcv_detail_code))+1
from ins_premium_det i),'8800','8800','02', '11000003','00','Request by Mr. Omair Ali 25-Sep-2024 allocation no 24Sep240082 ');</v>
      </c>
    </row>
    <row r="852" spans="1:8" ht="105" x14ac:dyDescent="0.25">
      <c r="A852" t="s">
        <v>964</v>
      </c>
      <c r="B852" s="80" t="str">
        <f>VLOOKUP(A852,[1]Sheet1!$B:$C,2,0)</f>
        <v>040000179953</v>
      </c>
      <c r="C852" s="46">
        <v>8800</v>
      </c>
      <c r="D852" s="81">
        <f t="shared" si="55"/>
        <v>8800</v>
      </c>
      <c r="E852" s="79" t="s">
        <v>2492</v>
      </c>
      <c r="F852" s="82" t="str">
        <f t="shared" si="52"/>
        <v>insert into ins_premium_det (premium_rcv_code,assorted_code, rec_amount,premium_rcv_detail_code,remaining_amt, payrec, mode_code,coinsurance_code,class_cd,it_remarks) values</v>
      </c>
      <c r="G852" s="83" t="str">
        <f t="shared" si="53"/>
        <v>('24Sep240082','040000179953','8800',(select max(to_number(i.premium_rcv_detail_code))+1
from ins_premium_det i),'8800','8800','02', '11000003','00','Request by Mr. Omair Ali 25-Sep-2024 allocation no 24Sep240082 ');</v>
      </c>
      <c r="H852" s="84" t="str">
        <f t="shared" si="54"/>
        <v>insert into ins_premium_det (premium_rcv_code,assorted_code, rec_amount,premium_rcv_detail_code,remaining_amt, payrec, mode_code,coinsurance_code,class_cd,it_remarks) values('24Sep240082','040000179953','8800',(select max(to_number(i.premium_rcv_detail_code))+1
from ins_premium_det i),'8800','8800','02', '11000003','00','Request by Mr. Omair Ali 25-Sep-2024 allocation no 24Sep240082 ');</v>
      </c>
    </row>
    <row r="853" spans="1:8" ht="105" x14ac:dyDescent="0.25">
      <c r="A853" t="s">
        <v>965</v>
      </c>
      <c r="B853" s="80" t="str">
        <f>VLOOKUP(A853,[1]Sheet1!$B:$C,2,0)</f>
        <v>040000179954</v>
      </c>
      <c r="C853" s="46">
        <v>8800</v>
      </c>
      <c r="D853" s="81">
        <f t="shared" si="55"/>
        <v>8800</v>
      </c>
      <c r="E853" s="79" t="s">
        <v>2492</v>
      </c>
      <c r="F853" s="82" t="str">
        <f t="shared" si="52"/>
        <v>insert into ins_premium_det (premium_rcv_code,assorted_code, rec_amount,premium_rcv_detail_code,remaining_amt, payrec, mode_code,coinsurance_code,class_cd,it_remarks) values</v>
      </c>
      <c r="G853" s="83" t="str">
        <f t="shared" si="53"/>
        <v>('24Sep240082','040000179954','8800',(select max(to_number(i.premium_rcv_detail_code))+1
from ins_premium_det i),'8800','8800','02', '11000003','00','Request by Mr. Omair Ali 25-Sep-2024 allocation no 24Sep240082 ');</v>
      </c>
      <c r="H853" s="84" t="str">
        <f t="shared" si="54"/>
        <v>insert into ins_premium_det (premium_rcv_code,assorted_code, rec_amount,premium_rcv_detail_code,remaining_amt, payrec, mode_code,coinsurance_code,class_cd,it_remarks) values('24Sep240082','040000179954','8800',(select max(to_number(i.premium_rcv_detail_code))+1
from ins_premium_det i),'8800','8800','02', '11000003','00','Request by Mr. Omair Ali 25-Sep-2024 allocation no 24Sep240082 ');</v>
      </c>
    </row>
    <row r="854" spans="1:8" ht="105" x14ac:dyDescent="0.25">
      <c r="A854" t="s">
        <v>966</v>
      </c>
      <c r="B854" s="80" t="str">
        <f>VLOOKUP(A854,[1]Sheet1!$B:$C,2,0)</f>
        <v>040000179956</v>
      </c>
      <c r="C854" s="46">
        <v>12320</v>
      </c>
      <c r="D854" s="81">
        <f t="shared" si="55"/>
        <v>12320</v>
      </c>
      <c r="E854" s="79" t="s">
        <v>2492</v>
      </c>
      <c r="F854" s="82" t="str">
        <f t="shared" si="52"/>
        <v>insert into ins_premium_det (premium_rcv_code,assorted_code, rec_amount,premium_rcv_detail_code,remaining_amt, payrec, mode_code,coinsurance_code,class_cd,it_remarks) values</v>
      </c>
      <c r="G854" s="83" t="str">
        <f t="shared" si="53"/>
        <v>('24Sep240082','040000179956','12320',(select max(to_number(i.premium_rcv_detail_code))+1
from ins_premium_det i),'12320','12320','02', '11000003','00','Request by Mr. Omair Ali 25-Sep-2024 allocation no 24Sep240082 ');</v>
      </c>
      <c r="H854" s="84" t="str">
        <f t="shared" si="54"/>
        <v>insert into ins_premium_det (premium_rcv_code,assorted_code, rec_amount,premium_rcv_detail_code,remaining_amt, payrec, mode_code,coinsurance_code,class_cd,it_remarks) values('24Sep240082','040000179956','12320',(select max(to_number(i.premium_rcv_detail_code))+1
from ins_premium_det i),'12320','12320','02', '11000003','00','Request by Mr. Omair Ali 25-Sep-2024 allocation no 24Sep240082 ');</v>
      </c>
    </row>
    <row r="855" spans="1:8" ht="105" x14ac:dyDescent="0.25">
      <c r="A855" t="s">
        <v>967</v>
      </c>
      <c r="B855" s="80" t="str">
        <f>VLOOKUP(A855,[1]Sheet1!$B:$C,2,0)</f>
        <v>040000179957</v>
      </c>
      <c r="C855" s="46">
        <v>12320</v>
      </c>
      <c r="D855" s="81">
        <f t="shared" si="55"/>
        <v>12320</v>
      </c>
      <c r="E855" s="79" t="s">
        <v>2492</v>
      </c>
      <c r="F855" s="82" t="str">
        <f t="shared" si="52"/>
        <v>insert into ins_premium_det (premium_rcv_code,assorted_code, rec_amount,premium_rcv_detail_code,remaining_amt, payrec, mode_code,coinsurance_code,class_cd,it_remarks) values</v>
      </c>
      <c r="G855" s="83" t="str">
        <f t="shared" si="53"/>
        <v>('24Sep240082','040000179957','12320',(select max(to_number(i.premium_rcv_detail_code))+1
from ins_premium_det i),'12320','12320','02', '11000003','00','Request by Mr. Omair Ali 25-Sep-2024 allocation no 24Sep240082 ');</v>
      </c>
      <c r="H855" s="84" t="str">
        <f t="shared" si="54"/>
        <v>insert into ins_premium_det (premium_rcv_code,assorted_code, rec_amount,premium_rcv_detail_code,remaining_amt, payrec, mode_code,coinsurance_code,class_cd,it_remarks) values('24Sep240082','040000179957','12320',(select max(to_number(i.premium_rcv_detail_code))+1
from ins_premium_det i),'12320','12320','02', '11000003','00','Request by Mr. Omair Ali 25-Sep-2024 allocation no 24Sep240082 ');</v>
      </c>
    </row>
    <row r="856" spans="1:8" ht="105" x14ac:dyDescent="0.25">
      <c r="A856" t="s">
        <v>968</v>
      </c>
      <c r="B856" s="80" t="str">
        <f>VLOOKUP(A856,[1]Sheet1!$B:$C,2,0)</f>
        <v>040000179958</v>
      </c>
      <c r="C856" s="46">
        <v>12320</v>
      </c>
      <c r="D856" s="81">
        <f t="shared" si="55"/>
        <v>12320</v>
      </c>
      <c r="E856" s="79" t="s">
        <v>2492</v>
      </c>
      <c r="F856" s="82" t="str">
        <f t="shared" si="52"/>
        <v>insert into ins_premium_det (premium_rcv_code,assorted_code, rec_amount,premium_rcv_detail_code,remaining_amt, payrec, mode_code,coinsurance_code,class_cd,it_remarks) values</v>
      </c>
      <c r="G856" s="83" t="str">
        <f t="shared" si="53"/>
        <v>('24Sep240082','040000179958','12320',(select max(to_number(i.premium_rcv_detail_code))+1
from ins_premium_det i),'12320','12320','02', '11000003','00','Request by Mr. Omair Ali 25-Sep-2024 allocation no 24Sep240082 ');</v>
      </c>
      <c r="H856" s="84" t="str">
        <f t="shared" si="54"/>
        <v>insert into ins_premium_det (premium_rcv_code,assorted_code, rec_amount,premium_rcv_detail_code,remaining_amt, payrec, mode_code,coinsurance_code,class_cd,it_remarks) values('24Sep240082','040000179958','12320',(select max(to_number(i.premium_rcv_detail_code))+1
from ins_premium_det i),'12320','12320','02', '11000003','00','Request by Mr. Omair Ali 25-Sep-2024 allocation no 24Sep240082 ');</v>
      </c>
    </row>
    <row r="857" spans="1:8" ht="105" x14ac:dyDescent="0.25">
      <c r="A857" t="s">
        <v>969</v>
      </c>
      <c r="B857" s="80" t="str">
        <f>VLOOKUP(A857,[1]Sheet1!$B:$C,2,0)</f>
        <v>040000179959</v>
      </c>
      <c r="C857" s="46">
        <v>12320</v>
      </c>
      <c r="D857" s="81">
        <f t="shared" si="55"/>
        <v>12320</v>
      </c>
      <c r="E857" s="79" t="s">
        <v>2492</v>
      </c>
      <c r="F857" s="82" t="str">
        <f t="shared" si="52"/>
        <v>insert into ins_premium_det (premium_rcv_code,assorted_code, rec_amount,premium_rcv_detail_code,remaining_amt, payrec, mode_code,coinsurance_code,class_cd,it_remarks) values</v>
      </c>
      <c r="G857" s="83" t="str">
        <f t="shared" si="53"/>
        <v>('24Sep240082','040000179959','12320',(select max(to_number(i.premium_rcv_detail_code))+1
from ins_premium_det i),'12320','12320','02', '11000003','00','Request by Mr. Omair Ali 25-Sep-2024 allocation no 24Sep240082 ');</v>
      </c>
      <c r="H857" s="84" t="str">
        <f t="shared" si="54"/>
        <v>insert into ins_premium_det (premium_rcv_code,assorted_code, rec_amount,premium_rcv_detail_code,remaining_amt, payrec, mode_code,coinsurance_code,class_cd,it_remarks) values('24Sep240082','040000179959','12320',(select max(to_number(i.premium_rcv_detail_code))+1
from ins_premium_det i),'12320','12320','02', '11000003','00','Request by Mr. Omair Ali 25-Sep-2024 allocation no 24Sep240082 ');</v>
      </c>
    </row>
    <row r="858" spans="1:8" ht="105" x14ac:dyDescent="0.25">
      <c r="A858" t="s">
        <v>970</v>
      </c>
      <c r="B858" s="80" t="str">
        <f>VLOOKUP(A858,[1]Sheet1!$B:$C,2,0)</f>
        <v>040000179993</v>
      </c>
      <c r="C858" s="46">
        <v>8800</v>
      </c>
      <c r="D858" s="81">
        <f t="shared" si="55"/>
        <v>8800</v>
      </c>
      <c r="E858" s="79" t="s">
        <v>2492</v>
      </c>
      <c r="F858" s="82" t="str">
        <f t="shared" si="52"/>
        <v>insert into ins_premium_det (premium_rcv_code,assorted_code, rec_amount,premium_rcv_detail_code,remaining_amt, payrec, mode_code,coinsurance_code,class_cd,it_remarks) values</v>
      </c>
      <c r="G858" s="83" t="str">
        <f t="shared" si="53"/>
        <v>('24Sep240082','040000179993','8800',(select max(to_number(i.premium_rcv_detail_code))+1
from ins_premium_det i),'8800','8800','02', '11000003','00','Request by Mr. Omair Ali 25-Sep-2024 allocation no 24Sep240082 ');</v>
      </c>
      <c r="H858" s="84" t="str">
        <f t="shared" si="54"/>
        <v>insert into ins_premium_det (premium_rcv_code,assorted_code, rec_amount,premium_rcv_detail_code,remaining_amt, payrec, mode_code,coinsurance_code,class_cd,it_remarks) values('24Sep240082','040000179993','8800',(select max(to_number(i.premium_rcv_detail_code))+1
from ins_premium_det i),'8800','8800','02', '11000003','00','Request by Mr. Omair Ali 25-Sep-2024 allocation no 24Sep240082 ');</v>
      </c>
    </row>
    <row r="859" spans="1:8" ht="105" x14ac:dyDescent="0.25">
      <c r="A859" t="s">
        <v>971</v>
      </c>
      <c r="B859" s="80" t="str">
        <f>VLOOKUP(A859,[1]Sheet1!$B:$C,2,0)</f>
        <v>040000180001</v>
      </c>
      <c r="C859" s="46">
        <v>12320</v>
      </c>
      <c r="D859" s="81">
        <f t="shared" si="55"/>
        <v>12320</v>
      </c>
      <c r="E859" s="79" t="s">
        <v>2492</v>
      </c>
      <c r="F859" s="82" t="str">
        <f t="shared" si="52"/>
        <v>insert into ins_premium_det (premium_rcv_code,assorted_code, rec_amount,premium_rcv_detail_code,remaining_amt, payrec, mode_code,coinsurance_code,class_cd,it_remarks) values</v>
      </c>
      <c r="G859" s="83" t="str">
        <f t="shared" si="53"/>
        <v>('24Sep240082','040000180001','12320',(select max(to_number(i.premium_rcv_detail_code))+1
from ins_premium_det i),'12320','12320','02', '11000003','00','Request by Mr. Omair Ali 25-Sep-2024 allocation no 24Sep240082 ');</v>
      </c>
      <c r="H859" s="84" t="str">
        <f t="shared" si="54"/>
        <v>insert into ins_premium_det (premium_rcv_code,assorted_code, rec_amount,premium_rcv_detail_code,remaining_amt, payrec, mode_code,coinsurance_code,class_cd,it_remarks) values('24Sep240082','040000180001','12320',(select max(to_number(i.premium_rcv_detail_code))+1
from ins_premium_det i),'12320','12320','02', '11000003','00','Request by Mr. Omair Ali 25-Sep-2024 allocation no 24Sep240082 ');</v>
      </c>
    </row>
    <row r="860" spans="1:8" ht="105" x14ac:dyDescent="0.25">
      <c r="A860" t="s">
        <v>972</v>
      </c>
      <c r="B860" s="80" t="str">
        <f>VLOOKUP(A860,[1]Sheet1!$B:$C,2,0)</f>
        <v>040000180002</v>
      </c>
      <c r="C860" s="46">
        <v>12320</v>
      </c>
      <c r="D860" s="81">
        <f t="shared" si="55"/>
        <v>12320</v>
      </c>
      <c r="E860" s="79" t="s">
        <v>2492</v>
      </c>
      <c r="F860" s="82" t="str">
        <f t="shared" si="52"/>
        <v>insert into ins_premium_det (premium_rcv_code,assorted_code, rec_amount,premium_rcv_detail_code,remaining_amt, payrec, mode_code,coinsurance_code,class_cd,it_remarks) values</v>
      </c>
      <c r="G860" s="83" t="str">
        <f t="shared" si="53"/>
        <v>('24Sep240082','040000180002','12320',(select max(to_number(i.premium_rcv_detail_code))+1
from ins_premium_det i),'12320','12320','02', '11000003','00','Request by Mr. Omair Ali 25-Sep-2024 allocation no 24Sep240082 ');</v>
      </c>
      <c r="H860" s="84" t="str">
        <f t="shared" si="54"/>
        <v>insert into ins_premium_det (premium_rcv_code,assorted_code, rec_amount,premium_rcv_detail_code,remaining_amt, payrec, mode_code,coinsurance_code,class_cd,it_remarks) values('24Sep240082','040000180002','12320',(select max(to_number(i.premium_rcv_detail_code))+1
from ins_premium_det i),'12320','12320','02', '11000003','00','Request by Mr. Omair Ali 25-Sep-2024 allocation no 24Sep240082 ');</v>
      </c>
    </row>
    <row r="861" spans="1:8" ht="105" x14ac:dyDescent="0.25">
      <c r="A861" t="s">
        <v>973</v>
      </c>
      <c r="B861" s="80" t="str">
        <f>VLOOKUP(A861,[1]Sheet1!$B:$C,2,0)</f>
        <v>040000180007</v>
      </c>
      <c r="C861" s="46">
        <v>8800</v>
      </c>
      <c r="D861" s="81">
        <f t="shared" si="55"/>
        <v>8800</v>
      </c>
      <c r="E861" s="79" t="s">
        <v>2492</v>
      </c>
      <c r="F861" s="82" t="str">
        <f t="shared" si="52"/>
        <v>insert into ins_premium_det (premium_rcv_code,assorted_code, rec_amount,premium_rcv_detail_code,remaining_amt, payrec, mode_code,coinsurance_code,class_cd,it_remarks) values</v>
      </c>
      <c r="G861" s="83" t="str">
        <f t="shared" si="53"/>
        <v>('24Sep240082','040000180007','8800',(select max(to_number(i.premium_rcv_detail_code))+1
from ins_premium_det i),'8800','8800','02', '11000003','00','Request by Mr. Omair Ali 25-Sep-2024 allocation no 24Sep240082 ');</v>
      </c>
      <c r="H861" s="84" t="str">
        <f t="shared" si="54"/>
        <v>insert into ins_premium_det (premium_rcv_code,assorted_code, rec_amount,premium_rcv_detail_code,remaining_amt, payrec, mode_code,coinsurance_code,class_cd,it_remarks) values('24Sep240082','040000180007','8800',(select max(to_number(i.premium_rcv_detail_code))+1
from ins_premium_det i),'8800','8800','02', '11000003','00','Request by Mr. Omair Ali 25-Sep-2024 allocation no 24Sep240082 ');</v>
      </c>
    </row>
    <row r="862" spans="1:8" ht="105" x14ac:dyDescent="0.25">
      <c r="A862" t="s">
        <v>974</v>
      </c>
      <c r="B862" s="80" t="str">
        <f>VLOOKUP(A862,[1]Sheet1!$B:$C,2,0)</f>
        <v>040000180010</v>
      </c>
      <c r="C862" s="46">
        <v>8800</v>
      </c>
      <c r="D862" s="81">
        <f t="shared" si="55"/>
        <v>8800</v>
      </c>
      <c r="E862" s="79" t="s">
        <v>2492</v>
      </c>
      <c r="F862" s="82" t="str">
        <f t="shared" si="52"/>
        <v>insert into ins_premium_det (premium_rcv_code,assorted_code, rec_amount,premium_rcv_detail_code,remaining_amt, payrec, mode_code,coinsurance_code,class_cd,it_remarks) values</v>
      </c>
      <c r="G862" s="83" t="str">
        <f t="shared" si="53"/>
        <v>('24Sep240082','040000180010','8800',(select max(to_number(i.premium_rcv_detail_code))+1
from ins_premium_det i),'8800','8800','02', '11000003','00','Request by Mr. Omair Ali 25-Sep-2024 allocation no 24Sep240082 ');</v>
      </c>
      <c r="H862" s="84" t="str">
        <f t="shared" si="54"/>
        <v>insert into ins_premium_det (premium_rcv_code,assorted_code, rec_amount,premium_rcv_detail_code,remaining_amt, payrec, mode_code,coinsurance_code,class_cd,it_remarks) values('24Sep240082','040000180010','8800',(select max(to_number(i.premium_rcv_detail_code))+1
from ins_premium_det i),'8800','8800','02', '11000003','00','Request by Mr. Omair Ali 25-Sep-2024 allocation no 24Sep240082 ');</v>
      </c>
    </row>
    <row r="863" spans="1:8" ht="105" x14ac:dyDescent="0.25">
      <c r="A863" t="s">
        <v>975</v>
      </c>
      <c r="B863" s="80" t="str">
        <f>VLOOKUP(A863,[1]Sheet1!$B:$C,2,0)</f>
        <v>040000180011</v>
      </c>
      <c r="C863" s="46">
        <v>8800</v>
      </c>
      <c r="D863" s="81">
        <f t="shared" si="55"/>
        <v>8800</v>
      </c>
      <c r="E863" s="79" t="s">
        <v>2492</v>
      </c>
      <c r="F863" s="82" t="str">
        <f t="shared" si="52"/>
        <v>insert into ins_premium_det (premium_rcv_code,assorted_code, rec_amount,premium_rcv_detail_code,remaining_amt, payrec, mode_code,coinsurance_code,class_cd,it_remarks) values</v>
      </c>
      <c r="G863" s="83" t="str">
        <f t="shared" si="53"/>
        <v>('24Sep240082','040000180011','8800',(select max(to_number(i.premium_rcv_detail_code))+1
from ins_premium_det i),'8800','8800','02', '11000003','00','Request by Mr. Omair Ali 25-Sep-2024 allocation no 24Sep240082 ');</v>
      </c>
      <c r="H863" s="84" t="str">
        <f t="shared" si="54"/>
        <v>insert into ins_premium_det (premium_rcv_code,assorted_code, rec_amount,premium_rcv_detail_code,remaining_amt, payrec, mode_code,coinsurance_code,class_cd,it_remarks) values('24Sep240082','040000180011','8800',(select max(to_number(i.premium_rcv_detail_code))+1
from ins_premium_det i),'8800','8800','02', '11000003','00','Request by Mr. Omair Ali 25-Sep-2024 allocation no 24Sep240082 ');</v>
      </c>
    </row>
    <row r="864" spans="1:8" ht="105" x14ac:dyDescent="0.25">
      <c r="A864" t="s">
        <v>976</v>
      </c>
      <c r="B864" s="80" t="str">
        <f>VLOOKUP(A864,[1]Sheet1!$B:$C,2,0)</f>
        <v>040000180012</v>
      </c>
      <c r="C864" s="46">
        <v>8800</v>
      </c>
      <c r="D864" s="81">
        <f t="shared" si="55"/>
        <v>8800</v>
      </c>
      <c r="E864" s="79" t="s">
        <v>2492</v>
      </c>
      <c r="F864" s="82" t="str">
        <f t="shared" si="52"/>
        <v>insert into ins_premium_det (premium_rcv_code,assorted_code, rec_amount,premium_rcv_detail_code,remaining_amt, payrec, mode_code,coinsurance_code,class_cd,it_remarks) values</v>
      </c>
      <c r="G864" s="83" t="str">
        <f t="shared" si="53"/>
        <v>('24Sep240082','040000180012','8800',(select max(to_number(i.premium_rcv_detail_code))+1
from ins_premium_det i),'8800','8800','02', '11000003','00','Request by Mr. Omair Ali 25-Sep-2024 allocation no 24Sep240082 ');</v>
      </c>
      <c r="H864" s="84" t="str">
        <f t="shared" si="54"/>
        <v>insert into ins_premium_det (premium_rcv_code,assorted_code, rec_amount,premium_rcv_detail_code,remaining_amt, payrec, mode_code,coinsurance_code,class_cd,it_remarks) values('24Sep240082','040000180012','8800',(select max(to_number(i.premium_rcv_detail_code))+1
from ins_premium_det i),'8800','8800','02', '11000003','00','Request by Mr. Omair Ali 25-Sep-2024 allocation no 24Sep240082 ');</v>
      </c>
    </row>
    <row r="865" spans="1:8" ht="105" x14ac:dyDescent="0.25">
      <c r="A865" t="s">
        <v>977</v>
      </c>
      <c r="B865" s="80" t="str">
        <f>VLOOKUP(A865,[1]Sheet1!$B:$C,2,0)</f>
        <v>040000180015</v>
      </c>
      <c r="C865" s="46">
        <v>8800</v>
      </c>
      <c r="D865" s="81">
        <f t="shared" si="55"/>
        <v>8800</v>
      </c>
      <c r="E865" s="79" t="s">
        <v>2492</v>
      </c>
      <c r="F865" s="82" t="str">
        <f t="shared" si="52"/>
        <v>insert into ins_premium_det (premium_rcv_code,assorted_code, rec_amount,premium_rcv_detail_code,remaining_amt, payrec, mode_code,coinsurance_code,class_cd,it_remarks) values</v>
      </c>
      <c r="G865" s="83" t="str">
        <f t="shared" si="53"/>
        <v>('24Sep240082','040000180015','8800',(select max(to_number(i.premium_rcv_detail_code))+1
from ins_premium_det i),'8800','8800','02', '11000003','00','Request by Mr. Omair Ali 25-Sep-2024 allocation no 24Sep240082 ');</v>
      </c>
      <c r="H865" s="84" t="str">
        <f t="shared" si="54"/>
        <v>insert into ins_premium_det (premium_rcv_code,assorted_code, rec_amount,premium_rcv_detail_code,remaining_amt, payrec, mode_code,coinsurance_code,class_cd,it_remarks) values('24Sep240082','040000180015','8800',(select max(to_number(i.premium_rcv_detail_code))+1
from ins_premium_det i),'8800','8800','02', '11000003','00','Request by Mr. Omair Ali 25-Sep-2024 allocation no 24Sep240082 ');</v>
      </c>
    </row>
    <row r="866" spans="1:8" ht="105" x14ac:dyDescent="0.25">
      <c r="A866" t="s">
        <v>978</v>
      </c>
      <c r="B866" s="80" t="str">
        <f>VLOOKUP(A866,[1]Sheet1!$B:$C,2,0)</f>
        <v>040000180019</v>
      </c>
      <c r="C866" s="46">
        <v>8800</v>
      </c>
      <c r="D866" s="81">
        <f t="shared" si="55"/>
        <v>8800</v>
      </c>
      <c r="E866" s="79" t="s">
        <v>2492</v>
      </c>
      <c r="F866" s="82" t="str">
        <f t="shared" si="52"/>
        <v>insert into ins_premium_det (premium_rcv_code,assorted_code, rec_amount,premium_rcv_detail_code,remaining_amt, payrec, mode_code,coinsurance_code,class_cd,it_remarks) values</v>
      </c>
      <c r="G866" s="83" t="str">
        <f t="shared" si="53"/>
        <v>('24Sep240082','040000180019','8800',(select max(to_number(i.premium_rcv_detail_code))+1
from ins_premium_det i),'8800','8800','02', '11000003','00','Request by Mr. Omair Ali 25-Sep-2024 allocation no 24Sep240082 ');</v>
      </c>
      <c r="H866" s="84" t="str">
        <f t="shared" si="54"/>
        <v>insert into ins_premium_det (premium_rcv_code,assorted_code, rec_amount,premium_rcv_detail_code,remaining_amt, payrec, mode_code,coinsurance_code,class_cd,it_remarks) values('24Sep240082','040000180019','8800',(select max(to_number(i.premium_rcv_detail_code))+1
from ins_premium_det i),'8800','8800','02', '11000003','00','Request by Mr. Omair Ali 25-Sep-2024 allocation no 24Sep240082 ');</v>
      </c>
    </row>
    <row r="867" spans="1:8" ht="105" x14ac:dyDescent="0.25">
      <c r="A867" t="s">
        <v>979</v>
      </c>
      <c r="B867" s="80" t="str">
        <f>VLOOKUP(A867,[1]Sheet1!$B:$C,2,0)</f>
        <v>040000180022</v>
      </c>
      <c r="C867" s="46">
        <v>8800</v>
      </c>
      <c r="D867" s="81">
        <f t="shared" si="55"/>
        <v>8800</v>
      </c>
      <c r="E867" s="79" t="s">
        <v>2492</v>
      </c>
      <c r="F867" s="82" t="str">
        <f t="shared" si="52"/>
        <v>insert into ins_premium_det (premium_rcv_code,assorted_code, rec_amount,premium_rcv_detail_code,remaining_amt, payrec, mode_code,coinsurance_code,class_cd,it_remarks) values</v>
      </c>
      <c r="G867" s="83" t="str">
        <f t="shared" si="53"/>
        <v>('24Sep240082','040000180022','8800',(select max(to_number(i.premium_rcv_detail_code))+1
from ins_premium_det i),'8800','8800','02', '11000003','00','Request by Mr. Omair Ali 25-Sep-2024 allocation no 24Sep240082 ');</v>
      </c>
      <c r="H867" s="84" t="str">
        <f t="shared" si="54"/>
        <v>insert into ins_premium_det (premium_rcv_code,assorted_code, rec_amount,premium_rcv_detail_code,remaining_amt, payrec, mode_code,coinsurance_code,class_cd,it_remarks) values('24Sep240082','040000180022','8800',(select max(to_number(i.premium_rcv_detail_code))+1
from ins_premium_det i),'8800','8800','02', '11000003','00','Request by Mr. Omair Ali 25-Sep-2024 allocation no 24Sep240082 ');</v>
      </c>
    </row>
    <row r="868" spans="1:8" ht="105" x14ac:dyDescent="0.25">
      <c r="A868" t="s">
        <v>980</v>
      </c>
      <c r="B868" s="80" t="str">
        <f>VLOOKUP(A868,[1]Sheet1!$B:$C,2,0)</f>
        <v>040000180025</v>
      </c>
      <c r="C868" s="46">
        <v>8800</v>
      </c>
      <c r="D868" s="81">
        <f t="shared" si="55"/>
        <v>8800</v>
      </c>
      <c r="E868" s="79" t="s">
        <v>2492</v>
      </c>
      <c r="F868" s="82" t="str">
        <f t="shared" si="52"/>
        <v>insert into ins_premium_det (premium_rcv_code,assorted_code, rec_amount,premium_rcv_detail_code,remaining_amt, payrec, mode_code,coinsurance_code,class_cd,it_remarks) values</v>
      </c>
      <c r="G868" s="83" t="str">
        <f t="shared" si="53"/>
        <v>('24Sep240082','040000180025','8800',(select max(to_number(i.premium_rcv_detail_code))+1
from ins_premium_det i),'8800','8800','02', '11000003','00','Request by Mr. Omair Ali 25-Sep-2024 allocation no 24Sep240082 ');</v>
      </c>
      <c r="H868" s="84" t="str">
        <f t="shared" si="54"/>
        <v>insert into ins_premium_det (premium_rcv_code,assorted_code, rec_amount,premium_rcv_detail_code,remaining_amt, payrec, mode_code,coinsurance_code,class_cd,it_remarks) values('24Sep240082','040000180025','8800',(select max(to_number(i.premium_rcv_detail_code))+1
from ins_premium_det i),'8800','8800','02', '11000003','00','Request by Mr. Omair Ali 25-Sep-2024 allocation no 24Sep240082 ');</v>
      </c>
    </row>
    <row r="869" spans="1:8" ht="105" x14ac:dyDescent="0.25">
      <c r="A869" t="s">
        <v>981</v>
      </c>
      <c r="B869" s="80" t="str">
        <f>VLOOKUP(A869,[1]Sheet1!$B:$C,2,0)</f>
        <v>040000180026</v>
      </c>
      <c r="C869" s="46">
        <v>8800</v>
      </c>
      <c r="D869" s="81">
        <f t="shared" si="55"/>
        <v>8800</v>
      </c>
      <c r="E869" s="79" t="s">
        <v>2492</v>
      </c>
      <c r="F869" s="82" t="str">
        <f t="shared" si="52"/>
        <v>insert into ins_premium_det (premium_rcv_code,assorted_code, rec_amount,premium_rcv_detail_code,remaining_amt, payrec, mode_code,coinsurance_code,class_cd,it_remarks) values</v>
      </c>
      <c r="G869" s="83" t="str">
        <f t="shared" si="53"/>
        <v>('24Sep240082','040000180026','8800',(select max(to_number(i.premium_rcv_detail_code))+1
from ins_premium_det i),'8800','8800','02', '11000003','00','Request by Mr. Omair Ali 25-Sep-2024 allocation no 24Sep240082 ');</v>
      </c>
      <c r="H869" s="84" t="str">
        <f t="shared" si="54"/>
        <v>insert into ins_premium_det (premium_rcv_code,assorted_code, rec_amount,premium_rcv_detail_code,remaining_amt, payrec, mode_code,coinsurance_code,class_cd,it_remarks) values('24Sep240082','040000180026','8800',(select max(to_number(i.premium_rcv_detail_code))+1
from ins_premium_det i),'8800','8800','02', '11000003','00','Request by Mr. Omair Ali 25-Sep-2024 allocation no 24Sep240082 ');</v>
      </c>
    </row>
    <row r="870" spans="1:8" ht="105" x14ac:dyDescent="0.25">
      <c r="A870" t="s">
        <v>982</v>
      </c>
      <c r="B870" s="80" t="str">
        <f>VLOOKUP(A870,[1]Sheet1!$B:$C,2,0)</f>
        <v>040000180027</v>
      </c>
      <c r="C870" s="46">
        <v>13370</v>
      </c>
      <c r="D870" s="81">
        <f t="shared" si="55"/>
        <v>13370</v>
      </c>
      <c r="E870" s="79" t="s">
        <v>2492</v>
      </c>
      <c r="F870" s="82" t="str">
        <f t="shared" si="52"/>
        <v>insert into ins_premium_det (premium_rcv_code,assorted_code, rec_amount,premium_rcv_detail_code,remaining_amt, payrec, mode_code,coinsurance_code,class_cd,it_remarks) values</v>
      </c>
      <c r="G870" s="83" t="str">
        <f t="shared" si="53"/>
        <v>('24Sep240082','040000180027','13370',(select max(to_number(i.premium_rcv_detail_code))+1
from ins_premium_det i),'13370','13370','02', '11000003','00','Request by Mr. Omair Ali 25-Sep-2024 allocation no 24Sep240082 ');</v>
      </c>
      <c r="H870" s="84" t="str">
        <f t="shared" si="54"/>
        <v>insert into ins_premium_det (premium_rcv_code,assorted_code, rec_amount,premium_rcv_detail_code,remaining_amt, payrec, mode_code,coinsurance_code,class_cd,it_remarks) values('24Sep240082','040000180027','13370',(select max(to_number(i.premium_rcv_detail_code))+1
from ins_premium_det i),'13370','13370','02', '11000003','00','Request by Mr. Omair Ali 25-Sep-2024 allocation no 24Sep240082 ');</v>
      </c>
    </row>
    <row r="871" spans="1:8" ht="105" x14ac:dyDescent="0.25">
      <c r="A871" t="s">
        <v>983</v>
      </c>
      <c r="B871" s="80" t="str">
        <f>VLOOKUP(A871,[1]Sheet1!$B:$C,2,0)</f>
        <v>040000180028</v>
      </c>
      <c r="C871" s="46">
        <v>13370</v>
      </c>
      <c r="D871" s="81">
        <f t="shared" si="55"/>
        <v>13370</v>
      </c>
      <c r="E871" s="79" t="s">
        <v>2492</v>
      </c>
      <c r="F871" s="82" t="str">
        <f t="shared" si="52"/>
        <v>insert into ins_premium_det (premium_rcv_code,assorted_code, rec_amount,premium_rcv_detail_code,remaining_amt, payrec, mode_code,coinsurance_code,class_cd,it_remarks) values</v>
      </c>
      <c r="G871" s="83" t="str">
        <f t="shared" si="53"/>
        <v>('24Sep240082','040000180028','13370',(select max(to_number(i.premium_rcv_detail_code))+1
from ins_premium_det i),'13370','13370','02', '11000003','00','Request by Mr. Omair Ali 25-Sep-2024 allocation no 24Sep240082 ');</v>
      </c>
      <c r="H871" s="84" t="str">
        <f t="shared" si="54"/>
        <v>insert into ins_premium_det (premium_rcv_code,assorted_code, rec_amount,premium_rcv_detail_code,remaining_amt, payrec, mode_code,coinsurance_code,class_cd,it_remarks) values('24Sep240082','040000180028','13370',(select max(to_number(i.premium_rcv_detail_code))+1
from ins_premium_det i),'13370','13370','02', '11000003','00','Request by Mr. Omair Ali 25-Sep-2024 allocation no 24Sep240082 ');</v>
      </c>
    </row>
    <row r="872" spans="1:8" ht="105" x14ac:dyDescent="0.25">
      <c r="A872" t="s">
        <v>984</v>
      </c>
      <c r="B872" s="80" t="str">
        <f>VLOOKUP(A872,[1]Sheet1!$B:$C,2,0)</f>
        <v>040000180029</v>
      </c>
      <c r="C872" s="46">
        <v>13675</v>
      </c>
      <c r="D872" s="81">
        <f t="shared" si="55"/>
        <v>13675</v>
      </c>
      <c r="E872" s="79" t="s">
        <v>2492</v>
      </c>
      <c r="F872" s="82" t="str">
        <f t="shared" si="52"/>
        <v>insert into ins_premium_det (premium_rcv_code,assorted_code, rec_amount,premium_rcv_detail_code,remaining_amt, payrec, mode_code,coinsurance_code,class_cd,it_remarks) values</v>
      </c>
      <c r="G872" s="83" t="str">
        <f t="shared" si="53"/>
        <v>('24Sep240082','040000180029','13675',(select max(to_number(i.premium_rcv_detail_code))+1
from ins_premium_det i),'13675','13675','02', '11000003','00','Request by Mr. Omair Ali 25-Sep-2024 allocation no 24Sep240082 ');</v>
      </c>
      <c r="H872" s="84" t="str">
        <f t="shared" si="54"/>
        <v>insert into ins_premium_det (premium_rcv_code,assorted_code, rec_amount,premium_rcv_detail_code,remaining_amt, payrec, mode_code,coinsurance_code,class_cd,it_remarks) values('24Sep240082','040000180029','13675',(select max(to_number(i.premium_rcv_detail_code))+1
from ins_premium_det i),'13675','13675','02', '11000003','00','Request by Mr. Omair Ali 25-Sep-2024 allocation no 24Sep240082 ');</v>
      </c>
    </row>
    <row r="873" spans="1:8" ht="105" x14ac:dyDescent="0.25">
      <c r="A873" t="s">
        <v>985</v>
      </c>
      <c r="B873" s="80" t="str">
        <f>VLOOKUP(A873,[1]Sheet1!$B:$C,2,0)</f>
        <v>040000180031</v>
      </c>
      <c r="C873" s="46">
        <v>12475</v>
      </c>
      <c r="D873" s="81">
        <f t="shared" si="55"/>
        <v>12475</v>
      </c>
      <c r="E873" s="79" t="s">
        <v>2492</v>
      </c>
      <c r="F873" s="82" t="str">
        <f t="shared" si="52"/>
        <v>insert into ins_premium_det (premium_rcv_code,assorted_code, rec_amount,premium_rcv_detail_code,remaining_amt, payrec, mode_code,coinsurance_code,class_cd,it_remarks) values</v>
      </c>
      <c r="G873" s="83" t="str">
        <f t="shared" si="53"/>
        <v>('24Sep240082','040000180031','12475',(select max(to_number(i.premium_rcv_detail_code))+1
from ins_premium_det i),'12475','12475','02', '11000003','00','Request by Mr. Omair Ali 25-Sep-2024 allocation no 24Sep240082 ');</v>
      </c>
      <c r="H873" s="84" t="str">
        <f t="shared" si="54"/>
        <v>insert into ins_premium_det (premium_rcv_code,assorted_code, rec_amount,premium_rcv_detail_code,remaining_amt, payrec, mode_code,coinsurance_code,class_cd,it_remarks) values('24Sep240082','040000180031','12475',(select max(to_number(i.premium_rcv_detail_code))+1
from ins_premium_det i),'12475','12475','02', '11000003','00','Request by Mr. Omair Ali 25-Sep-2024 allocation no 24Sep240082 ');</v>
      </c>
    </row>
    <row r="874" spans="1:8" ht="105" x14ac:dyDescent="0.25">
      <c r="A874" t="s">
        <v>986</v>
      </c>
      <c r="B874" s="80" t="str">
        <f>VLOOKUP(A874,[1]Sheet1!$B:$C,2,0)</f>
        <v>040000180033</v>
      </c>
      <c r="C874" s="46">
        <v>13370</v>
      </c>
      <c r="D874" s="81">
        <f t="shared" si="55"/>
        <v>13370</v>
      </c>
      <c r="E874" s="79" t="s">
        <v>2492</v>
      </c>
      <c r="F874" s="82" t="str">
        <f t="shared" si="52"/>
        <v>insert into ins_premium_det (premium_rcv_code,assorted_code, rec_amount,premium_rcv_detail_code,remaining_amt, payrec, mode_code,coinsurance_code,class_cd,it_remarks) values</v>
      </c>
      <c r="G874" s="83" t="str">
        <f t="shared" si="53"/>
        <v>('24Sep240082','040000180033','13370',(select max(to_number(i.premium_rcv_detail_code))+1
from ins_premium_det i),'13370','13370','02', '11000003','00','Request by Mr. Omair Ali 25-Sep-2024 allocation no 24Sep240082 ');</v>
      </c>
      <c r="H874" s="84" t="str">
        <f t="shared" si="54"/>
        <v>insert into ins_premium_det (premium_rcv_code,assorted_code, rec_amount,premium_rcv_detail_code,remaining_amt, payrec, mode_code,coinsurance_code,class_cd,it_remarks) values('24Sep240082','040000180033','13370',(select max(to_number(i.premium_rcv_detail_code))+1
from ins_premium_det i),'13370','13370','02', '11000003','00','Request by Mr. Omair Ali 25-Sep-2024 allocation no 24Sep240082 ');</v>
      </c>
    </row>
    <row r="875" spans="1:8" ht="105" x14ac:dyDescent="0.25">
      <c r="A875" t="s">
        <v>987</v>
      </c>
      <c r="B875" s="80" t="str">
        <f>VLOOKUP(A875,[1]Sheet1!$B:$C,2,0)</f>
        <v>040000180034</v>
      </c>
      <c r="C875" s="46">
        <v>13370</v>
      </c>
      <c r="D875" s="81">
        <f t="shared" si="55"/>
        <v>13370</v>
      </c>
      <c r="E875" s="79" t="s">
        <v>2492</v>
      </c>
      <c r="F875" s="82" t="str">
        <f t="shared" si="52"/>
        <v>insert into ins_premium_det (premium_rcv_code,assorted_code, rec_amount,premium_rcv_detail_code,remaining_amt, payrec, mode_code,coinsurance_code,class_cd,it_remarks) values</v>
      </c>
      <c r="G875" s="83" t="str">
        <f t="shared" si="53"/>
        <v>('24Sep240082','040000180034','13370',(select max(to_number(i.premium_rcv_detail_code))+1
from ins_premium_det i),'13370','13370','02', '11000003','00','Request by Mr. Omair Ali 25-Sep-2024 allocation no 24Sep240082 ');</v>
      </c>
      <c r="H875" s="84" t="str">
        <f t="shared" si="54"/>
        <v>insert into ins_premium_det (premium_rcv_code,assorted_code, rec_amount,premium_rcv_detail_code,remaining_amt, payrec, mode_code,coinsurance_code,class_cd,it_remarks) values('24Sep240082','040000180034','13370',(select max(to_number(i.premium_rcv_detail_code))+1
from ins_premium_det i),'13370','13370','02', '11000003','00','Request by Mr. Omair Ali 25-Sep-2024 allocation no 24Sep240082 ');</v>
      </c>
    </row>
    <row r="876" spans="1:8" ht="105" x14ac:dyDescent="0.25">
      <c r="A876" t="s">
        <v>988</v>
      </c>
      <c r="B876" s="80" t="str">
        <f>VLOOKUP(A876,[1]Sheet1!$B:$C,2,0)</f>
        <v>040000180052</v>
      </c>
      <c r="C876" s="46">
        <v>12320</v>
      </c>
      <c r="D876" s="81">
        <f t="shared" si="55"/>
        <v>12320</v>
      </c>
      <c r="E876" s="79" t="s">
        <v>2492</v>
      </c>
      <c r="F876" s="82" t="str">
        <f t="shared" si="52"/>
        <v>insert into ins_premium_det (premium_rcv_code,assorted_code, rec_amount,premium_rcv_detail_code,remaining_amt, payrec, mode_code,coinsurance_code,class_cd,it_remarks) values</v>
      </c>
      <c r="G876" s="83" t="str">
        <f t="shared" si="53"/>
        <v>('24Sep240082','040000180052','12320',(select max(to_number(i.premium_rcv_detail_code))+1
from ins_premium_det i),'12320','12320','02', '11000003','00','Request by Mr. Omair Ali 25-Sep-2024 allocation no 24Sep240082 ');</v>
      </c>
      <c r="H876" s="84" t="str">
        <f t="shared" si="54"/>
        <v>insert into ins_premium_det (premium_rcv_code,assorted_code, rec_amount,premium_rcv_detail_code,remaining_amt, payrec, mode_code,coinsurance_code,class_cd,it_remarks) values('24Sep240082','040000180052','12320',(select max(to_number(i.premium_rcv_detail_code))+1
from ins_premium_det i),'12320','12320','02', '11000003','00','Request by Mr. Omair Ali 25-Sep-2024 allocation no 24Sep240082 ');</v>
      </c>
    </row>
    <row r="877" spans="1:8" ht="105" x14ac:dyDescent="0.25">
      <c r="A877" t="s">
        <v>989</v>
      </c>
      <c r="B877" s="80" t="str">
        <f>VLOOKUP(A877,[1]Sheet1!$B:$C,2,0)</f>
        <v>040000180053</v>
      </c>
      <c r="C877" s="46">
        <v>12320</v>
      </c>
      <c r="D877" s="81">
        <f t="shared" si="55"/>
        <v>12320</v>
      </c>
      <c r="E877" s="79" t="s">
        <v>2492</v>
      </c>
      <c r="F877" s="82" t="str">
        <f t="shared" si="52"/>
        <v>insert into ins_premium_det (premium_rcv_code,assorted_code, rec_amount,premium_rcv_detail_code,remaining_amt, payrec, mode_code,coinsurance_code,class_cd,it_remarks) values</v>
      </c>
      <c r="G877" s="83" t="str">
        <f t="shared" si="53"/>
        <v>('24Sep240082','040000180053','12320',(select max(to_number(i.premium_rcv_detail_code))+1
from ins_premium_det i),'12320','12320','02', '11000003','00','Request by Mr. Omair Ali 25-Sep-2024 allocation no 24Sep240082 ');</v>
      </c>
      <c r="H877" s="84" t="str">
        <f t="shared" si="54"/>
        <v>insert into ins_premium_det (premium_rcv_code,assorted_code, rec_amount,premium_rcv_detail_code,remaining_amt, payrec, mode_code,coinsurance_code,class_cd,it_remarks) values('24Sep240082','040000180053','12320',(select max(to_number(i.premium_rcv_detail_code))+1
from ins_premium_det i),'12320','12320','02', '11000003','00','Request by Mr. Omair Ali 25-Sep-2024 allocation no 24Sep240082 ');</v>
      </c>
    </row>
    <row r="878" spans="1:8" ht="105" x14ac:dyDescent="0.25">
      <c r="A878" t="s">
        <v>990</v>
      </c>
      <c r="B878" s="80" t="str">
        <f>VLOOKUP(A878,[1]Sheet1!$B:$C,2,0)</f>
        <v>040000180066</v>
      </c>
      <c r="C878" s="46">
        <v>8800</v>
      </c>
      <c r="D878" s="81">
        <f t="shared" si="55"/>
        <v>8800</v>
      </c>
      <c r="E878" s="79" t="s">
        <v>2492</v>
      </c>
      <c r="F878" s="82" t="str">
        <f t="shared" si="52"/>
        <v>insert into ins_premium_det (premium_rcv_code,assorted_code, rec_amount,premium_rcv_detail_code,remaining_amt, payrec, mode_code,coinsurance_code,class_cd,it_remarks) values</v>
      </c>
      <c r="G878" s="83" t="str">
        <f t="shared" si="53"/>
        <v>('24Sep240082','040000180066','8800',(select max(to_number(i.premium_rcv_detail_code))+1
from ins_premium_det i),'8800','8800','02', '11000003','00','Request by Mr. Omair Ali 25-Sep-2024 allocation no 24Sep240082 ');</v>
      </c>
      <c r="H878" s="84" t="str">
        <f t="shared" si="54"/>
        <v>insert into ins_premium_det (premium_rcv_code,assorted_code, rec_amount,premium_rcv_detail_code,remaining_amt, payrec, mode_code,coinsurance_code,class_cd,it_remarks) values('24Sep240082','040000180066','8800',(select max(to_number(i.premium_rcv_detail_code))+1
from ins_premium_det i),'8800','8800','02', '11000003','00','Request by Mr. Omair Ali 25-Sep-2024 allocation no 24Sep240082 ');</v>
      </c>
    </row>
    <row r="879" spans="1:8" ht="105" x14ac:dyDescent="0.25">
      <c r="A879" t="s">
        <v>991</v>
      </c>
      <c r="B879" s="80" t="str">
        <f>VLOOKUP(A879,[1]Sheet1!$B:$C,2,0)</f>
        <v>040000180068</v>
      </c>
      <c r="C879" s="46">
        <v>8800</v>
      </c>
      <c r="D879" s="81">
        <f t="shared" si="55"/>
        <v>8800</v>
      </c>
      <c r="E879" s="79" t="s">
        <v>2492</v>
      </c>
      <c r="F879" s="82" t="str">
        <f t="shared" si="52"/>
        <v>insert into ins_premium_det (premium_rcv_code,assorted_code, rec_amount,premium_rcv_detail_code,remaining_amt, payrec, mode_code,coinsurance_code,class_cd,it_remarks) values</v>
      </c>
      <c r="G879" s="83" t="str">
        <f t="shared" si="53"/>
        <v>('24Sep240082','040000180068','8800',(select max(to_number(i.premium_rcv_detail_code))+1
from ins_premium_det i),'8800','8800','02', '11000003','00','Request by Mr. Omair Ali 25-Sep-2024 allocation no 24Sep240082 ');</v>
      </c>
      <c r="H879" s="84" t="str">
        <f t="shared" si="54"/>
        <v>insert into ins_premium_det (premium_rcv_code,assorted_code, rec_amount,premium_rcv_detail_code,remaining_amt, payrec, mode_code,coinsurance_code,class_cd,it_remarks) values('24Sep240082','040000180068','8800',(select max(to_number(i.premium_rcv_detail_code))+1
from ins_premium_det i),'8800','8800','02', '11000003','00','Request by Mr. Omair Ali 25-Sep-2024 allocation no 24Sep240082 ');</v>
      </c>
    </row>
    <row r="880" spans="1:8" ht="105" x14ac:dyDescent="0.25">
      <c r="A880" t="s">
        <v>992</v>
      </c>
      <c r="B880" s="80" t="str">
        <f>VLOOKUP(A880,[1]Sheet1!$B:$C,2,0)</f>
        <v>040000180070</v>
      </c>
      <c r="C880" s="46">
        <v>9550</v>
      </c>
      <c r="D880" s="81">
        <f t="shared" si="55"/>
        <v>9550</v>
      </c>
      <c r="E880" s="79" t="s">
        <v>2492</v>
      </c>
      <c r="F880" s="82" t="str">
        <f t="shared" si="52"/>
        <v>insert into ins_premium_det (premium_rcv_code,assorted_code, rec_amount,premium_rcv_detail_code,remaining_amt, payrec, mode_code,coinsurance_code,class_cd,it_remarks) values</v>
      </c>
      <c r="G880" s="83" t="str">
        <f t="shared" si="53"/>
        <v>('24Sep240082','040000180070','9550',(select max(to_number(i.premium_rcv_detail_code))+1
from ins_premium_det i),'9550','9550','02', '11000003','00','Request by Mr. Omair Ali 25-Sep-2024 allocation no 24Sep240082 ');</v>
      </c>
      <c r="H880" s="84" t="str">
        <f t="shared" si="54"/>
        <v>insert into ins_premium_det (premium_rcv_code,assorted_code, rec_amount,premium_rcv_detail_code,remaining_amt, payrec, mode_code,coinsurance_code,class_cd,it_remarks) values('24Sep240082','040000180070','9550',(select max(to_number(i.premium_rcv_detail_code))+1
from ins_premium_det i),'9550','9550','02', '11000003','00','Request by Mr. Omair Ali 25-Sep-2024 allocation no 24Sep240082 ');</v>
      </c>
    </row>
    <row r="881" spans="1:8" ht="105" x14ac:dyDescent="0.25">
      <c r="A881" t="s">
        <v>993</v>
      </c>
      <c r="B881" s="80" t="str">
        <f>VLOOKUP(A881,[1]Sheet1!$B:$C,2,0)</f>
        <v>040000180071</v>
      </c>
      <c r="C881" s="46">
        <v>12320</v>
      </c>
      <c r="D881" s="81">
        <f t="shared" si="55"/>
        <v>12320</v>
      </c>
      <c r="E881" s="79" t="s">
        <v>2492</v>
      </c>
      <c r="F881" s="82" t="str">
        <f t="shared" si="52"/>
        <v>insert into ins_premium_det (premium_rcv_code,assorted_code, rec_amount,premium_rcv_detail_code,remaining_amt, payrec, mode_code,coinsurance_code,class_cd,it_remarks) values</v>
      </c>
      <c r="G881" s="83" t="str">
        <f t="shared" si="53"/>
        <v>('24Sep240082','040000180071','12320',(select max(to_number(i.premium_rcv_detail_code))+1
from ins_premium_det i),'12320','12320','02', '11000003','00','Request by Mr. Omair Ali 25-Sep-2024 allocation no 24Sep240082 ');</v>
      </c>
      <c r="H881" s="84" t="str">
        <f t="shared" si="54"/>
        <v>insert into ins_premium_det (premium_rcv_code,assorted_code, rec_amount,premium_rcv_detail_code,remaining_amt, payrec, mode_code,coinsurance_code,class_cd,it_remarks) values('24Sep240082','040000180071','12320',(select max(to_number(i.premium_rcv_detail_code))+1
from ins_premium_det i),'12320','12320','02', '11000003','00','Request by Mr. Omair Ali 25-Sep-2024 allocation no 24Sep240082 ');</v>
      </c>
    </row>
    <row r="882" spans="1:8" ht="105" x14ac:dyDescent="0.25">
      <c r="A882" t="s">
        <v>994</v>
      </c>
      <c r="B882" s="80" t="str">
        <f>VLOOKUP(A882,[1]Sheet1!$B:$C,2,0)</f>
        <v>040000180084</v>
      </c>
      <c r="C882" s="46">
        <v>19145</v>
      </c>
      <c r="D882" s="81">
        <f t="shared" si="55"/>
        <v>19145</v>
      </c>
      <c r="E882" s="79" t="s">
        <v>2492</v>
      </c>
      <c r="F882" s="82" t="str">
        <f t="shared" si="52"/>
        <v>insert into ins_premium_det (premium_rcv_code,assorted_code, rec_amount,premium_rcv_detail_code,remaining_amt, payrec, mode_code,coinsurance_code,class_cd,it_remarks) values</v>
      </c>
      <c r="G882" s="83" t="str">
        <f t="shared" si="53"/>
        <v>('24Sep240082','040000180084','19145',(select max(to_number(i.premium_rcv_detail_code))+1
from ins_premium_det i),'19145','19145','02', '11000003','00','Request by Mr. Omair Ali 25-Sep-2024 allocation no 24Sep240082 ');</v>
      </c>
      <c r="H882" s="84" t="str">
        <f t="shared" si="54"/>
        <v>insert into ins_premium_det (premium_rcv_code,assorted_code, rec_amount,premium_rcv_detail_code,remaining_amt, payrec, mode_code,coinsurance_code,class_cd,it_remarks) values('24Sep240082','040000180084','19145',(select max(to_number(i.premium_rcv_detail_code))+1
from ins_premium_det i),'19145','19145','02', '11000003','00','Request by Mr. Omair Ali 25-Sep-2024 allocation no 24Sep240082 ');</v>
      </c>
    </row>
    <row r="883" spans="1:8" ht="105" x14ac:dyDescent="0.25">
      <c r="A883" t="s">
        <v>995</v>
      </c>
      <c r="B883" s="80" t="str">
        <f>VLOOKUP(A883,[1]Sheet1!$B:$C,2,0)</f>
        <v>040000180085</v>
      </c>
      <c r="C883" s="46">
        <v>19145</v>
      </c>
      <c r="D883" s="81">
        <f t="shared" si="55"/>
        <v>19145</v>
      </c>
      <c r="E883" s="79" t="s">
        <v>2492</v>
      </c>
      <c r="F883" s="82" t="str">
        <f t="shared" si="52"/>
        <v>insert into ins_premium_det (premium_rcv_code,assorted_code, rec_amount,premium_rcv_detail_code,remaining_amt, payrec, mode_code,coinsurance_code,class_cd,it_remarks) values</v>
      </c>
      <c r="G883" s="83" t="str">
        <f t="shared" si="53"/>
        <v>('24Sep240082','040000180085','19145',(select max(to_number(i.premium_rcv_detail_code))+1
from ins_premium_det i),'19145','19145','02', '11000003','00','Request by Mr. Omair Ali 25-Sep-2024 allocation no 24Sep240082 ');</v>
      </c>
      <c r="H883" s="84" t="str">
        <f t="shared" si="54"/>
        <v>insert into ins_premium_det (premium_rcv_code,assorted_code, rec_amount,premium_rcv_detail_code,remaining_amt, payrec, mode_code,coinsurance_code,class_cd,it_remarks) values('24Sep240082','040000180085','19145',(select max(to_number(i.premium_rcv_detail_code))+1
from ins_premium_det i),'19145','19145','02', '11000003','00','Request by Mr. Omair Ali 25-Sep-2024 allocation no 24Sep240082 ');</v>
      </c>
    </row>
    <row r="884" spans="1:8" ht="105" x14ac:dyDescent="0.25">
      <c r="A884" t="s">
        <v>996</v>
      </c>
      <c r="B884" s="80" t="str">
        <f>VLOOKUP(A884,[1]Sheet1!$B:$C,2,0)</f>
        <v>040000180089</v>
      </c>
      <c r="C884" s="46">
        <v>8800</v>
      </c>
      <c r="D884" s="81">
        <f t="shared" si="55"/>
        <v>8800</v>
      </c>
      <c r="E884" s="79" t="s">
        <v>2492</v>
      </c>
      <c r="F884" s="82" t="str">
        <f t="shared" si="52"/>
        <v>insert into ins_premium_det (premium_rcv_code,assorted_code, rec_amount,premium_rcv_detail_code,remaining_amt, payrec, mode_code,coinsurance_code,class_cd,it_remarks) values</v>
      </c>
      <c r="G884" s="83" t="str">
        <f t="shared" si="53"/>
        <v>('24Sep240082','040000180089','8800',(select max(to_number(i.premium_rcv_detail_code))+1
from ins_premium_det i),'8800','8800','02', '11000003','00','Request by Mr. Omair Ali 25-Sep-2024 allocation no 24Sep240082 ');</v>
      </c>
      <c r="H884" s="84" t="str">
        <f t="shared" si="54"/>
        <v>insert into ins_premium_det (premium_rcv_code,assorted_code, rec_amount,premium_rcv_detail_code,remaining_amt, payrec, mode_code,coinsurance_code,class_cd,it_remarks) values('24Sep240082','040000180089','8800',(select max(to_number(i.premium_rcv_detail_code))+1
from ins_premium_det i),'8800','8800','02', '11000003','00','Request by Mr. Omair Ali 25-Sep-2024 allocation no 24Sep240082 ');</v>
      </c>
    </row>
    <row r="885" spans="1:8" ht="105" x14ac:dyDescent="0.25">
      <c r="A885" t="s">
        <v>997</v>
      </c>
      <c r="B885" s="80" t="str">
        <f>VLOOKUP(A885,[1]Sheet1!$B:$C,2,0)</f>
        <v>040000180090</v>
      </c>
      <c r="C885" s="46">
        <v>8800</v>
      </c>
      <c r="D885" s="81">
        <f t="shared" si="55"/>
        <v>8800</v>
      </c>
      <c r="E885" s="79" t="s">
        <v>2492</v>
      </c>
      <c r="F885" s="82" t="str">
        <f t="shared" si="52"/>
        <v>insert into ins_premium_det (premium_rcv_code,assorted_code, rec_amount,premium_rcv_detail_code,remaining_amt, payrec, mode_code,coinsurance_code,class_cd,it_remarks) values</v>
      </c>
      <c r="G885" s="83" t="str">
        <f t="shared" si="53"/>
        <v>('24Sep240082','040000180090','8800',(select max(to_number(i.premium_rcv_detail_code))+1
from ins_premium_det i),'8800','8800','02', '11000003','00','Request by Mr. Omair Ali 25-Sep-2024 allocation no 24Sep240082 ');</v>
      </c>
      <c r="H885" s="84" t="str">
        <f t="shared" si="54"/>
        <v>insert into ins_premium_det (premium_rcv_code,assorted_code, rec_amount,premium_rcv_detail_code,remaining_amt, payrec, mode_code,coinsurance_code,class_cd,it_remarks) values('24Sep240082','040000180090','8800',(select max(to_number(i.premium_rcv_detail_code))+1
from ins_premium_det i),'8800','8800','02', '11000003','00','Request by Mr. Omair Ali 25-Sep-2024 allocation no 24Sep240082 ');</v>
      </c>
    </row>
    <row r="886" spans="1:8" ht="105" x14ac:dyDescent="0.25">
      <c r="A886" t="s">
        <v>998</v>
      </c>
      <c r="B886" s="80" t="str">
        <f>VLOOKUP(A886,[1]Sheet1!$B:$C,2,0)</f>
        <v>040000180091</v>
      </c>
      <c r="C886" s="46">
        <v>8800</v>
      </c>
      <c r="D886" s="81">
        <f t="shared" si="55"/>
        <v>8800</v>
      </c>
      <c r="E886" s="79" t="s">
        <v>2492</v>
      </c>
      <c r="F886" s="82" t="str">
        <f t="shared" si="52"/>
        <v>insert into ins_premium_det (premium_rcv_code,assorted_code, rec_amount,premium_rcv_detail_code,remaining_amt, payrec, mode_code,coinsurance_code,class_cd,it_remarks) values</v>
      </c>
      <c r="G886" s="83" t="str">
        <f t="shared" si="53"/>
        <v>('24Sep240082','040000180091','8800',(select max(to_number(i.premium_rcv_detail_code))+1
from ins_premium_det i),'8800','8800','02', '11000003','00','Request by Mr. Omair Ali 25-Sep-2024 allocation no 24Sep240082 ');</v>
      </c>
      <c r="H886" s="84" t="str">
        <f t="shared" si="54"/>
        <v>insert into ins_premium_det (premium_rcv_code,assorted_code, rec_amount,premium_rcv_detail_code,remaining_amt, payrec, mode_code,coinsurance_code,class_cd,it_remarks) values('24Sep240082','040000180091','8800',(select max(to_number(i.premium_rcv_detail_code))+1
from ins_premium_det i),'8800','8800','02', '11000003','00','Request by Mr. Omair Ali 25-Sep-2024 allocation no 24Sep240082 ');</v>
      </c>
    </row>
    <row r="887" spans="1:8" ht="105" x14ac:dyDescent="0.25">
      <c r="A887" t="s">
        <v>999</v>
      </c>
      <c r="B887" s="80" t="str">
        <f>VLOOKUP(A887,[1]Sheet1!$B:$C,2,0)</f>
        <v>040000180092</v>
      </c>
      <c r="C887" s="46">
        <v>8800</v>
      </c>
      <c r="D887" s="81">
        <f t="shared" si="55"/>
        <v>8800</v>
      </c>
      <c r="E887" s="79" t="s">
        <v>2492</v>
      </c>
      <c r="F887" s="82" t="str">
        <f t="shared" si="52"/>
        <v>insert into ins_premium_det (premium_rcv_code,assorted_code, rec_amount,premium_rcv_detail_code,remaining_amt, payrec, mode_code,coinsurance_code,class_cd,it_remarks) values</v>
      </c>
      <c r="G887" s="83" t="str">
        <f t="shared" si="53"/>
        <v>('24Sep240082','040000180092','8800',(select max(to_number(i.premium_rcv_detail_code))+1
from ins_premium_det i),'8800','8800','02', '11000003','00','Request by Mr. Omair Ali 25-Sep-2024 allocation no 24Sep240082 ');</v>
      </c>
      <c r="H887" s="84" t="str">
        <f t="shared" si="54"/>
        <v>insert into ins_premium_det (premium_rcv_code,assorted_code, rec_amount,premium_rcv_detail_code,remaining_amt, payrec, mode_code,coinsurance_code,class_cd,it_remarks) values('24Sep240082','040000180092','8800',(select max(to_number(i.premium_rcv_detail_code))+1
from ins_premium_det i),'8800','8800','02', '11000003','00','Request by Mr. Omair Ali 25-Sep-2024 allocation no 24Sep240082 ');</v>
      </c>
    </row>
    <row r="888" spans="1:8" ht="105" x14ac:dyDescent="0.25">
      <c r="A888" t="s">
        <v>1000</v>
      </c>
      <c r="B888" s="80" t="str">
        <f>VLOOKUP(A888,[1]Sheet1!$B:$C,2,0)</f>
        <v>040000180093</v>
      </c>
      <c r="C888" s="46">
        <v>8800</v>
      </c>
      <c r="D888" s="81">
        <f t="shared" si="55"/>
        <v>8800</v>
      </c>
      <c r="E888" s="79" t="s">
        <v>2492</v>
      </c>
      <c r="F888" s="82" t="str">
        <f t="shared" si="52"/>
        <v>insert into ins_premium_det (premium_rcv_code,assorted_code, rec_amount,premium_rcv_detail_code,remaining_amt, payrec, mode_code,coinsurance_code,class_cd,it_remarks) values</v>
      </c>
      <c r="G888" s="83" t="str">
        <f t="shared" si="53"/>
        <v>('24Sep240082','040000180093','8800',(select max(to_number(i.premium_rcv_detail_code))+1
from ins_premium_det i),'8800','8800','02', '11000003','00','Request by Mr. Omair Ali 25-Sep-2024 allocation no 24Sep240082 ');</v>
      </c>
      <c r="H888" s="84" t="str">
        <f t="shared" si="54"/>
        <v>insert into ins_premium_det (premium_rcv_code,assorted_code, rec_amount,premium_rcv_detail_code,remaining_amt, payrec, mode_code,coinsurance_code,class_cd,it_remarks) values('24Sep240082','040000180093','8800',(select max(to_number(i.premium_rcv_detail_code))+1
from ins_premium_det i),'8800','8800','02', '11000003','00','Request by Mr. Omair Ali 25-Sep-2024 allocation no 24Sep240082 ');</v>
      </c>
    </row>
    <row r="889" spans="1:8" ht="105" x14ac:dyDescent="0.25">
      <c r="A889" t="s">
        <v>1001</v>
      </c>
      <c r="B889" s="80" t="str">
        <f>VLOOKUP(A889,[1]Sheet1!$B:$C,2,0)</f>
        <v>040000180094</v>
      </c>
      <c r="C889" s="46">
        <v>8800</v>
      </c>
      <c r="D889" s="81">
        <f t="shared" si="55"/>
        <v>8800</v>
      </c>
      <c r="E889" s="79" t="s">
        <v>2492</v>
      </c>
      <c r="F889" s="82" t="str">
        <f t="shared" si="52"/>
        <v>insert into ins_premium_det (premium_rcv_code,assorted_code, rec_amount,premium_rcv_detail_code,remaining_amt, payrec, mode_code,coinsurance_code,class_cd,it_remarks) values</v>
      </c>
      <c r="G889" s="83" t="str">
        <f t="shared" si="53"/>
        <v>('24Sep240082','040000180094','8800',(select max(to_number(i.premium_rcv_detail_code))+1
from ins_premium_det i),'8800','8800','02', '11000003','00','Request by Mr. Omair Ali 25-Sep-2024 allocation no 24Sep240082 ');</v>
      </c>
      <c r="H889" s="84" t="str">
        <f t="shared" si="54"/>
        <v>insert into ins_premium_det (premium_rcv_code,assorted_code, rec_amount,premium_rcv_detail_code,remaining_amt, payrec, mode_code,coinsurance_code,class_cd,it_remarks) values('24Sep240082','040000180094','8800',(select max(to_number(i.premium_rcv_detail_code))+1
from ins_premium_det i),'8800','8800','02', '11000003','00','Request by Mr. Omair Ali 25-Sep-2024 allocation no 24Sep240082 ');</v>
      </c>
    </row>
    <row r="890" spans="1:8" ht="105" x14ac:dyDescent="0.25">
      <c r="A890" t="s">
        <v>1002</v>
      </c>
      <c r="B890" s="80" t="str">
        <f>VLOOKUP(A890,[1]Sheet1!$B:$C,2,0)</f>
        <v>040000180132</v>
      </c>
      <c r="C890" s="46">
        <v>8800</v>
      </c>
      <c r="D890" s="81">
        <f t="shared" si="55"/>
        <v>8800</v>
      </c>
      <c r="E890" s="79" t="s">
        <v>2492</v>
      </c>
      <c r="F890" s="82" t="str">
        <f t="shared" si="52"/>
        <v>insert into ins_premium_det (premium_rcv_code,assorted_code, rec_amount,premium_rcv_detail_code,remaining_amt, payrec, mode_code,coinsurance_code,class_cd,it_remarks) values</v>
      </c>
      <c r="G890" s="83" t="str">
        <f t="shared" si="53"/>
        <v>('24Sep240082','040000180132','8800',(select max(to_number(i.premium_rcv_detail_code))+1
from ins_premium_det i),'8800','8800','02', '11000003','00','Request by Mr. Omair Ali 25-Sep-2024 allocation no 24Sep240082 ');</v>
      </c>
      <c r="H890" s="84" t="str">
        <f t="shared" si="54"/>
        <v>insert into ins_premium_det (premium_rcv_code,assorted_code, rec_amount,premium_rcv_detail_code,remaining_amt, payrec, mode_code,coinsurance_code,class_cd,it_remarks) values('24Sep240082','040000180132','8800',(select max(to_number(i.premium_rcv_detail_code))+1
from ins_premium_det i),'8800','8800','02', '11000003','00','Request by Mr. Omair Ali 25-Sep-2024 allocation no 24Sep240082 ');</v>
      </c>
    </row>
    <row r="891" spans="1:8" ht="105" x14ac:dyDescent="0.25">
      <c r="A891" t="s">
        <v>1003</v>
      </c>
      <c r="B891" s="80" t="str">
        <f>VLOOKUP(A891,[1]Sheet1!$B:$C,2,0)</f>
        <v>040000180139</v>
      </c>
      <c r="C891" s="46">
        <v>12320</v>
      </c>
      <c r="D891" s="81">
        <f t="shared" si="55"/>
        <v>12320</v>
      </c>
      <c r="E891" s="79" t="s">
        <v>2492</v>
      </c>
      <c r="F891" s="82" t="str">
        <f t="shared" si="52"/>
        <v>insert into ins_premium_det (premium_rcv_code,assorted_code, rec_amount,premium_rcv_detail_code,remaining_amt, payrec, mode_code,coinsurance_code,class_cd,it_remarks) values</v>
      </c>
      <c r="G891" s="83" t="str">
        <f t="shared" si="53"/>
        <v>('24Sep240082','040000180139','12320',(select max(to_number(i.premium_rcv_detail_code))+1
from ins_premium_det i),'12320','12320','02', '11000003','00','Request by Mr. Omair Ali 25-Sep-2024 allocation no 24Sep240082 ');</v>
      </c>
      <c r="H891" s="84" t="str">
        <f t="shared" si="54"/>
        <v>insert into ins_premium_det (premium_rcv_code,assorted_code, rec_amount,premium_rcv_detail_code,remaining_amt, payrec, mode_code,coinsurance_code,class_cd,it_remarks) values('24Sep240082','040000180139','12320',(select max(to_number(i.premium_rcv_detail_code))+1
from ins_premium_det i),'12320','12320','02', '11000003','00','Request by Mr. Omair Ali 25-Sep-2024 allocation no 24Sep240082 ');</v>
      </c>
    </row>
    <row r="892" spans="1:8" ht="105" x14ac:dyDescent="0.25">
      <c r="A892" t="s">
        <v>1004</v>
      </c>
      <c r="B892" s="80" t="str">
        <f>VLOOKUP(A892,[1]Sheet1!$B:$C,2,0)</f>
        <v>040000180140</v>
      </c>
      <c r="C892" s="46">
        <v>9550</v>
      </c>
      <c r="D892" s="81">
        <f t="shared" si="55"/>
        <v>9550</v>
      </c>
      <c r="E892" s="79" t="s">
        <v>2492</v>
      </c>
      <c r="F892" s="82" t="str">
        <f t="shared" si="52"/>
        <v>insert into ins_premium_det (premium_rcv_code,assorted_code, rec_amount,premium_rcv_detail_code,remaining_amt, payrec, mode_code,coinsurance_code,class_cd,it_remarks) values</v>
      </c>
      <c r="G892" s="83" t="str">
        <f t="shared" si="53"/>
        <v>('24Sep240082','040000180140','9550',(select max(to_number(i.premium_rcv_detail_code))+1
from ins_premium_det i),'9550','9550','02', '11000003','00','Request by Mr. Omair Ali 25-Sep-2024 allocation no 24Sep240082 ');</v>
      </c>
      <c r="H892" s="84" t="str">
        <f t="shared" si="54"/>
        <v>insert into ins_premium_det (premium_rcv_code,assorted_code, rec_amount,premium_rcv_detail_code,remaining_amt, payrec, mode_code,coinsurance_code,class_cd,it_remarks) values('24Sep240082','040000180140','9550',(select max(to_number(i.premium_rcv_detail_code))+1
from ins_premium_det i),'9550','9550','02', '11000003','00','Request by Mr. Omair Ali 25-Sep-2024 allocation no 24Sep240082 ');</v>
      </c>
    </row>
    <row r="893" spans="1:8" ht="105" x14ac:dyDescent="0.25">
      <c r="A893" t="s">
        <v>1005</v>
      </c>
      <c r="B893" s="80" t="str">
        <f>VLOOKUP(A893,[1]Sheet1!$B:$C,2,0)</f>
        <v>040000180146</v>
      </c>
      <c r="C893" s="46">
        <v>9550</v>
      </c>
      <c r="D893" s="81">
        <f t="shared" si="55"/>
        <v>9550</v>
      </c>
      <c r="E893" s="79" t="s">
        <v>2492</v>
      </c>
      <c r="F893" s="82" t="str">
        <f t="shared" si="52"/>
        <v>insert into ins_premium_det (premium_rcv_code,assorted_code, rec_amount,premium_rcv_detail_code,remaining_amt, payrec, mode_code,coinsurance_code,class_cd,it_remarks) values</v>
      </c>
      <c r="G893" s="83" t="str">
        <f t="shared" si="53"/>
        <v>('24Sep240082','040000180146','9550',(select max(to_number(i.premium_rcv_detail_code))+1
from ins_premium_det i),'9550','9550','02', '11000003','00','Request by Mr. Omair Ali 25-Sep-2024 allocation no 24Sep240082 ');</v>
      </c>
      <c r="H893" s="84" t="str">
        <f t="shared" si="54"/>
        <v>insert into ins_premium_det (premium_rcv_code,assorted_code, rec_amount,premium_rcv_detail_code,remaining_amt, payrec, mode_code,coinsurance_code,class_cd,it_remarks) values('24Sep240082','040000180146','9550',(select max(to_number(i.premium_rcv_detail_code))+1
from ins_premium_det i),'9550','9550','02', '11000003','00','Request by Mr. Omair Ali 25-Sep-2024 allocation no 24Sep240082 ');</v>
      </c>
    </row>
    <row r="894" spans="1:8" ht="105" x14ac:dyDescent="0.25">
      <c r="A894" t="s">
        <v>1006</v>
      </c>
      <c r="B894" s="80" t="str">
        <f>VLOOKUP(A894,[1]Sheet1!$B:$C,2,0)</f>
        <v>040000180149</v>
      </c>
      <c r="C894" s="46">
        <v>8800</v>
      </c>
      <c r="D894" s="81">
        <f t="shared" si="55"/>
        <v>8800</v>
      </c>
      <c r="E894" s="79" t="s">
        <v>2492</v>
      </c>
      <c r="F894" s="82" t="str">
        <f t="shared" si="52"/>
        <v>insert into ins_premium_det (premium_rcv_code,assorted_code, rec_amount,premium_rcv_detail_code,remaining_amt, payrec, mode_code,coinsurance_code,class_cd,it_remarks) values</v>
      </c>
      <c r="G894" s="83" t="str">
        <f t="shared" si="53"/>
        <v>('24Sep240082','040000180149','8800',(select max(to_number(i.premium_rcv_detail_code))+1
from ins_premium_det i),'8800','8800','02', '11000003','00','Request by Mr. Omair Ali 25-Sep-2024 allocation no 24Sep240082 ');</v>
      </c>
      <c r="H894" s="84" t="str">
        <f t="shared" si="54"/>
        <v>insert into ins_premium_det (premium_rcv_code,assorted_code, rec_amount,premium_rcv_detail_code,remaining_amt, payrec, mode_code,coinsurance_code,class_cd,it_remarks) values('24Sep240082','040000180149','8800',(select max(to_number(i.premium_rcv_detail_code))+1
from ins_premium_det i),'8800','8800','02', '11000003','00','Request by Mr. Omair Ali 25-Sep-2024 allocation no 24Sep240082 ');</v>
      </c>
    </row>
    <row r="895" spans="1:8" ht="105" x14ac:dyDescent="0.25">
      <c r="A895" t="s">
        <v>1007</v>
      </c>
      <c r="B895" s="80" t="str">
        <f>VLOOKUP(A895,[1]Sheet1!$B:$C,2,0)</f>
        <v>040000180150</v>
      </c>
      <c r="C895" s="46">
        <v>13675</v>
      </c>
      <c r="D895" s="81">
        <f t="shared" si="55"/>
        <v>13675</v>
      </c>
      <c r="E895" s="79" t="s">
        <v>2492</v>
      </c>
      <c r="F895" s="82" t="str">
        <f t="shared" si="52"/>
        <v>insert into ins_premium_det (premium_rcv_code,assorted_code, rec_amount,premium_rcv_detail_code,remaining_amt, payrec, mode_code,coinsurance_code,class_cd,it_remarks) values</v>
      </c>
      <c r="G895" s="83" t="str">
        <f t="shared" si="53"/>
        <v>('24Sep240082','040000180150','13675',(select max(to_number(i.premium_rcv_detail_code))+1
from ins_premium_det i),'13675','13675','02', '11000003','00','Request by Mr. Omair Ali 25-Sep-2024 allocation no 24Sep240082 ');</v>
      </c>
      <c r="H895" s="84" t="str">
        <f t="shared" si="54"/>
        <v>insert into ins_premium_det (premium_rcv_code,assorted_code, rec_amount,premium_rcv_detail_code,remaining_amt, payrec, mode_code,coinsurance_code,class_cd,it_remarks) values('24Sep240082','040000180150','13675',(select max(to_number(i.premium_rcv_detail_code))+1
from ins_premium_det i),'13675','13675','02', '11000003','00','Request by Mr. Omair Ali 25-Sep-2024 allocation no 24Sep240082 ');</v>
      </c>
    </row>
    <row r="896" spans="1:8" ht="105" x14ac:dyDescent="0.25">
      <c r="A896" t="s">
        <v>1008</v>
      </c>
      <c r="B896" s="80" t="str">
        <f>VLOOKUP(A896,[1]Sheet1!$B:$C,2,0)</f>
        <v>040000180151</v>
      </c>
      <c r="C896" s="46">
        <v>13675</v>
      </c>
      <c r="D896" s="81">
        <f t="shared" si="55"/>
        <v>13675</v>
      </c>
      <c r="E896" s="79" t="s">
        <v>2492</v>
      </c>
      <c r="F896" s="82" t="str">
        <f t="shared" si="52"/>
        <v>insert into ins_premium_det (premium_rcv_code,assorted_code, rec_amount,premium_rcv_detail_code,remaining_amt, payrec, mode_code,coinsurance_code,class_cd,it_remarks) values</v>
      </c>
      <c r="G896" s="83" t="str">
        <f t="shared" si="53"/>
        <v>('24Sep240082','040000180151','13675',(select max(to_number(i.premium_rcv_detail_code))+1
from ins_premium_det i),'13675','13675','02', '11000003','00','Request by Mr. Omair Ali 25-Sep-2024 allocation no 24Sep240082 ');</v>
      </c>
      <c r="H896" s="84" t="str">
        <f t="shared" si="54"/>
        <v>insert into ins_premium_det (premium_rcv_code,assorted_code, rec_amount,premium_rcv_detail_code,remaining_amt, payrec, mode_code,coinsurance_code,class_cd,it_remarks) values('24Sep240082','040000180151','13675',(select max(to_number(i.premium_rcv_detail_code))+1
from ins_premium_det i),'13675','13675','02', '11000003','00','Request by Mr. Omair Ali 25-Sep-2024 allocation no 24Sep240082 ');</v>
      </c>
    </row>
    <row r="897" spans="1:8" ht="105" x14ac:dyDescent="0.25">
      <c r="A897" t="s">
        <v>1009</v>
      </c>
      <c r="B897" s="80" t="str">
        <f>VLOOKUP(A897,[1]Sheet1!$B:$C,2,0)</f>
        <v>040000180154</v>
      </c>
      <c r="C897" s="46">
        <v>8800</v>
      </c>
      <c r="D897" s="81">
        <f t="shared" si="55"/>
        <v>8800</v>
      </c>
      <c r="E897" s="79" t="s">
        <v>2492</v>
      </c>
      <c r="F897" s="82" t="str">
        <f t="shared" si="52"/>
        <v>insert into ins_premium_det (premium_rcv_code,assorted_code, rec_amount,premium_rcv_detail_code,remaining_amt, payrec, mode_code,coinsurance_code,class_cd,it_remarks) values</v>
      </c>
      <c r="G897" s="83" t="str">
        <f t="shared" si="53"/>
        <v>('24Sep240082','040000180154','8800',(select max(to_number(i.premium_rcv_detail_code))+1
from ins_premium_det i),'8800','8800','02', '11000003','00','Request by Mr. Omair Ali 25-Sep-2024 allocation no 24Sep240082 ');</v>
      </c>
      <c r="H897" s="84" t="str">
        <f t="shared" si="54"/>
        <v>insert into ins_premium_det (premium_rcv_code,assorted_code, rec_amount,premium_rcv_detail_code,remaining_amt, payrec, mode_code,coinsurance_code,class_cd,it_remarks) values('24Sep240082','040000180154','8800',(select max(to_number(i.premium_rcv_detail_code))+1
from ins_premium_det i),'8800','8800','02', '11000003','00','Request by Mr. Omair Ali 25-Sep-2024 allocation no 24Sep240082 ');</v>
      </c>
    </row>
    <row r="898" spans="1:8" ht="105" x14ac:dyDescent="0.25">
      <c r="A898" t="s">
        <v>1010</v>
      </c>
      <c r="B898" s="80" t="str">
        <f>VLOOKUP(A898,[1]Sheet1!$B:$C,2,0)</f>
        <v>040000180156</v>
      </c>
      <c r="C898" s="46">
        <v>9550</v>
      </c>
      <c r="D898" s="81">
        <f t="shared" si="55"/>
        <v>9550</v>
      </c>
      <c r="E898" s="79" t="s">
        <v>2492</v>
      </c>
      <c r="F898" s="82" t="str">
        <f t="shared" ref="F898:F959" si="5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98" s="83" t="str">
        <f t="shared" si="53"/>
        <v>('24Sep240082','040000180156','9550',(select max(to_number(i.premium_rcv_detail_code))+1
from ins_premium_det i),'9550','9550','02', '11000003','00','Request by Mr. Omair Ali 25-Sep-2024 allocation no 24Sep240082 ');</v>
      </c>
      <c r="H898" s="84" t="str">
        <f t="shared" si="54"/>
        <v>insert into ins_premium_det (premium_rcv_code,assorted_code, rec_amount,premium_rcv_detail_code,remaining_amt, payrec, mode_code,coinsurance_code,class_cd,it_remarks) values('24Sep240082','040000180156','9550',(select max(to_number(i.premium_rcv_detail_code))+1
from ins_premium_det i),'9550','9550','02', '11000003','00','Request by Mr. Omair Ali 25-Sep-2024 allocation no 24Sep240082 ');</v>
      </c>
    </row>
    <row r="899" spans="1:8" ht="105" x14ac:dyDescent="0.25">
      <c r="A899" t="s">
        <v>1011</v>
      </c>
      <c r="B899" s="80" t="str">
        <f>VLOOKUP(A899,[1]Sheet1!$B:$C,2,0)</f>
        <v>040000180158</v>
      </c>
      <c r="C899" s="46">
        <v>13675</v>
      </c>
      <c r="D899" s="81">
        <f t="shared" si="55"/>
        <v>13675</v>
      </c>
      <c r="E899" s="79" t="s">
        <v>2492</v>
      </c>
      <c r="F899" s="82" t="str">
        <f t="shared" si="56"/>
        <v>insert into ins_premium_det (premium_rcv_code,assorted_code, rec_amount,premium_rcv_detail_code,remaining_amt, payrec, mode_code,coinsurance_code,class_cd,it_remarks) values</v>
      </c>
      <c r="G899" s="83" t="str">
        <f t="shared" ref="G899:G959" si="57">"('"&amp;E899&amp;"','"&amp;B899&amp;"','"&amp;D899&amp;"',(select max(to_number(i.premium_rcv_detail_code))+1
from ins_premium_det i),'"&amp;D899&amp;"','"&amp;D899&amp;"','02', '11000003','00','Request by Mr. Omair Ali 25-Sep-2024 allocation no 24Sep240082 ');"</f>
        <v>('24Sep240082','040000180158','13675',(select max(to_number(i.premium_rcv_detail_code))+1
from ins_premium_det i),'13675','13675','02', '11000003','00','Request by Mr. Omair Ali 25-Sep-2024 allocation no 24Sep240082 ');</v>
      </c>
      <c r="H899" s="84" t="str">
        <f t="shared" ref="H899:H959" si="58">F899&amp;G899</f>
        <v>insert into ins_premium_det (premium_rcv_code,assorted_code, rec_amount,premium_rcv_detail_code,remaining_amt, payrec, mode_code,coinsurance_code,class_cd,it_remarks) values('24Sep240082','040000180158','13675',(select max(to_number(i.premium_rcv_detail_code))+1
from ins_premium_det i),'13675','13675','02', '11000003','00','Request by Mr. Omair Ali 25-Sep-2024 allocation no 24Sep240082 ');</v>
      </c>
    </row>
    <row r="900" spans="1:8" ht="105" x14ac:dyDescent="0.25">
      <c r="A900" t="s">
        <v>1012</v>
      </c>
      <c r="B900" s="80" t="str">
        <f>VLOOKUP(A900,[1]Sheet1!$B:$C,2,0)</f>
        <v>040000180159</v>
      </c>
      <c r="C900" s="46">
        <v>13675</v>
      </c>
      <c r="D900" s="81">
        <f t="shared" ref="D900:D959" si="59">ROUND(C900,0)</f>
        <v>13675</v>
      </c>
      <c r="E900" s="79" t="s">
        <v>2492</v>
      </c>
      <c r="F900" s="82" t="str">
        <f t="shared" si="56"/>
        <v>insert into ins_premium_det (premium_rcv_code,assorted_code, rec_amount,premium_rcv_detail_code,remaining_amt, payrec, mode_code,coinsurance_code,class_cd,it_remarks) values</v>
      </c>
      <c r="G900" s="83" t="str">
        <f t="shared" si="57"/>
        <v>('24Sep240082','040000180159','13675',(select max(to_number(i.premium_rcv_detail_code))+1
from ins_premium_det i),'13675','13675','02', '11000003','00','Request by Mr. Omair Ali 25-Sep-2024 allocation no 24Sep240082 ');</v>
      </c>
      <c r="H900" s="84" t="str">
        <f t="shared" si="58"/>
        <v>insert into ins_premium_det (premium_rcv_code,assorted_code, rec_amount,premium_rcv_detail_code,remaining_amt, payrec, mode_code,coinsurance_code,class_cd,it_remarks) values('24Sep240082','040000180159','13675',(select max(to_number(i.premium_rcv_detail_code))+1
from ins_premium_det i),'13675','13675','02', '11000003','00','Request by Mr. Omair Ali 25-Sep-2024 allocation no 24Sep240082 ');</v>
      </c>
    </row>
    <row r="901" spans="1:8" ht="105" x14ac:dyDescent="0.25">
      <c r="A901" t="s">
        <v>1013</v>
      </c>
      <c r="B901" s="80" t="str">
        <f>VLOOKUP(A901,[1]Sheet1!$B:$C,2,0)</f>
        <v>040000180161</v>
      </c>
      <c r="C901" s="46">
        <v>12320</v>
      </c>
      <c r="D901" s="81">
        <f t="shared" si="59"/>
        <v>12320</v>
      </c>
      <c r="E901" s="79" t="s">
        <v>2492</v>
      </c>
      <c r="F901" s="82" t="str">
        <f t="shared" si="56"/>
        <v>insert into ins_premium_det (premium_rcv_code,assorted_code, rec_amount,premium_rcv_detail_code,remaining_amt, payrec, mode_code,coinsurance_code,class_cd,it_remarks) values</v>
      </c>
      <c r="G901" s="83" t="str">
        <f t="shared" si="57"/>
        <v>('24Sep240082','040000180161','12320',(select max(to_number(i.premium_rcv_detail_code))+1
from ins_premium_det i),'12320','12320','02', '11000003','00','Request by Mr. Omair Ali 25-Sep-2024 allocation no 24Sep240082 ');</v>
      </c>
      <c r="H901" s="84" t="str">
        <f t="shared" si="58"/>
        <v>insert into ins_premium_det (premium_rcv_code,assorted_code, rec_amount,premium_rcv_detail_code,remaining_amt, payrec, mode_code,coinsurance_code,class_cd,it_remarks) values('24Sep240082','040000180161','12320',(select max(to_number(i.premium_rcv_detail_code))+1
from ins_premium_det i),'12320','12320','02', '11000003','00','Request by Mr. Omair Ali 25-Sep-2024 allocation no 24Sep240082 ');</v>
      </c>
    </row>
    <row r="902" spans="1:8" ht="105" x14ac:dyDescent="0.25">
      <c r="A902" t="s">
        <v>1014</v>
      </c>
      <c r="B902" s="80" t="str">
        <f>VLOOKUP(A902,[1]Sheet1!$B:$C,2,0)</f>
        <v>040000180162</v>
      </c>
      <c r="C902" s="46">
        <v>12320</v>
      </c>
      <c r="D902" s="81">
        <f t="shared" si="59"/>
        <v>12320</v>
      </c>
      <c r="E902" s="79" t="s">
        <v>2492</v>
      </c>
      <c r="F902" s="82" t="str">
        <f t="shared" si="56"/>
        <v>insert into ins_premium_det (premium_rcv_code,assorted_code, rec_amount,premium_rcv_detail_code,remaining_amt, payrec, mode_code,coinsurance_code,class_cd,it_remarks) values</v>
      </c>
      <c r="G902" s="83" t="str">
        <f t="shared" si="57"/>
        <v>('24Sep240082','040000180162','12320',(select max(to_number(i.premium_rcv_detail_code))+1
from ins_premium_det i),'12320','12320','02', '11000003','00','Request by Mr. Omair Ali 25-Sep-2024 allocation no 24Sep240082 ');</v>
      </c>
      <c r="H902" s="84" t="str">
        <f t="shared" si="58"/>
        <v>insert into ins_premium_det (premium_rcv_code,assorted_code, rec_amount,premium_rcv_detail_code,remaining_amt, payrec, mode_code,coinsurance_code,class_cd,it_remarks) values('24Sep240082','040000180162','12320',(select max(to_number(i.premium_rcv_detail_code))+1
from ins_premium_det i),'12320','12320','02', '11000003','00','Request by Mr. Omair Ali 25-Sep-2024 allocation no 24Sep240082 ');</v>
      </c>
    </row>
    <row r="903" spans="1:8" ht="105" x14ac:dyDescent="0.25">
      <c r="A903" t="s">
        <v>1015</v>
      </c>
      <c r="B903" s="80" t="str">
        <f>VLOOKUP(A903,[1]Sheet1!$B:$C,2,0)</f>
        <v>040000180166</v>
      </c>
      <c r="C903" s="46">
        <v>12320</v>
      </c>
      <c r="D903" s="81">
        <f t="shared" si="59"/>
        <v>12320</v>
      </c>
      <c r="E903" s="79" t="s">
        <v>2492</v>
      </c>
      <c r="F903" s="82" t="str">
        <f t="shared" si="56"/>
        <v>insert into ins_premium_det (premium_rcv_code,assorted_code, rec_amount,premium_rcv_detail_code,remaining_amt, payrec, mode_code,coinsurance_code,class_cd,it_remarks) values</v>
      </c>
      <c r="G903" s="83" t="str">
        <f t="shared" si="57"/>
        <v>('24Sep240082','040000180166','12320',(select max(to_number(i.premium_rcv_detail_code))+1
from ins_premium_det i),'12320','12320','02', '11000003','00','Request by Mr. Omair Ali 25-Sep-2024 allocation no 24Sep240082 ');</v>
      </c>
      <c r="H903" s="84" t="str">
        <f t="shared" si="58"/>
        <v>insert into ins_premium_det (premium_rcv_code,assorted_code, rec_amount,premium_rcv_detail_code,remaining_amt, payrec, mode_code,coinsurance_code,class_cd,it_remarks) values('24Sep240082','040000180166','12320',(select max(to_number(i.premium_rcv_detail_code))+1
from ins_premium_det i),'12320','12320','02', '11000003','00','Request by Mr. Omair Ali 25-Sep-2024 allocation no 24Sep240082 ');</v>
      </c>
    </row>
    <row r="904" spans="1:8" ht="105" x14ac:dyDescent="0.25">
      <c r="A904" t="s">
        <v>1016</v>
      </c>
      <c r="B904" s="80" t="str">
        <f>VLOOKUP(A904,[1]Sheet1!$B:$C,2,0)</f>
        <v>040000180167</v>
      </c>
      <c r="C904" s="46">
        <v>12320</v>
      </c>
      <c r="D904" s="81">
        <f t="shared" si="59"/>
        <v>12320</v>
      </c>
      <c r="E904" s="79" t="s">
        <v>2492</v>
      </c>
      <c r="F904" s="82" t="str">
        <f t="shared" si="56"/>
        <v>insert into ins_premium_det (premium_rcv_code,assorted_code, rec_amount,premium_rcv_detail_code,remaining_amt, payrec, mode_code,coinsurance_code,class_cd,it_remarks) values</v>
      </c>
      <c r="G904" s="83" t="str">
        <f t="shared" si="57"/>
        <v>('24Sep240082','040000180167','12320',(select max(to_number(i.premium_rcv_detail_code))+1
from ins_premium_det i),'12320','12320','02', '11000003','00','Request by Mr. Omair Ali 25-Sep-2024 allocation no 24Sep240082 ');</v>
      </c>
      <c r="H904" s="84" t="str">
        <f t="shared" si="58"/>
        <v>insert into ins_premium_det (premium_rcv_code,assorted_code, rec_amount,premium_rcv_detail_code,remaining_amt, payrec, mode_code,coinsurance_code,class_cd,it_remarks) values('24Sep240082','040000180167','12320',(select max(to_number(i.premium_rcv_detail_code))+1
from ins_premium_det i),'12320','12320','02', '11000003','00','Request by Mr. Omair Ali 25-Sep-2024 allocation no 24Sep240082 ');</v>
      </c>
    </row>
    <row r="905" spans="1:8" ht="105" x14ac:dyDescent="0.25">
      <c r="A905" t="s">
        <v>1017</v>
      </c>
      <c r="B905" s="80" t="str">
        <f>VLOOKUP(A905,[1]Sheet1!$B:$C,2,0)</f>
        <v>040000180170</v>
      </c>
      <c r="C905" s="46">
        <v>8800</v>
      </c>
      <c r="D905" s="81">
        <f t="shared" si="59"/>
        <v>8800</v>
      </c>
      <c r="E905" s="79" t="s">
        <v>2492</v>
      </c>
      <c r="F905" s="82" t="str">
        <f t="shared" si="56"/>
        <v>insert into ins_premium_det (premium_rcv_code,assorted_code, rec_amount,premium_rcv_detail_code,remaining_amt, payrec, mode_code,coinsurance_code,class_cd,it_remarks) values</v>
      </c>
      <c r="G905" s="83" t="str">
        <f t="shared" si="57"/>
        <v>('24Sep240082','040000180170','8800',(select max(to_number(i.premium_rcv_detail_code))+1
from ins_premium_det i),'8800','8800','02', '11000003','00','Request by Mr. Omair Ali 25-Sep-2024 allocation no 24Sep240082 ');</v>
      </c>
      <c r="H905" s="84" t="str">
        <f t="shared" si="58"/>
        <v>insert into ins_premium_det (premium_rcv_code,assorted_code, rec_amount,premium_rcv_detail_code,remaining_amt, payrec, mode_code,coinsurance_code,class_cd,it_remarks) values('24Sep240082','040000180170','8800',(select max(to_number(i.premium_rcv_detail_code))+1
from ins_premium_det i),'8800','8800','02', '11000003','00','Request by Mr. Omair Ali 25-Sep-2024 allocation no 24Sep240082 ');</v>
      </c>
    </row>
    <row r="906" spans="1:8" ht="105" x14ac:dyDescent="0.25">
      <c r="A906" t="s">
        <v>1018</v>
      </c>
      <c r="B906" s="80" t="str">
        <f>VLOOKUP(A906,[1]Sheet1!$B:$C,2,0)</f>
        <v>040000180172</v>
      </c>
      <c r="C906" s="46">
        <v>8800</v>
      </c>
      <c r="D906" s="81">
        <f t="shared" si="59"/>
        <v>8800</v>
      </c>
      <c r="E906" s="79" t="s">
        <v>2492</v>
      </c>
      <c r="F906" s="82" t="str">
        <f t="shared" si="56"/>
        <v>insert into ins_premium_det (premium_rcv_code,assorted_code, rec_amount,premium_rcv_detail_code,remaining_amt, payrec, mode_code,coinsurance_code,class_cd,it_remarks) values</v>
      </c>
      <c r="G906" s="83" t="str">
        <f t="shared" si="57"/>
        <v>('24Sep240082','040000180172','8800',(select max(to_number(i.premium_rcv_detail_code))+1
from ins_premium_det i),'8800','8800','02', '11000003','00','Request by Mr. Omair Ali 25-Sep-2024 allocation no 24Sep240082 ');</v>
      </c>
      <c r="H906" s="84" t="str">
        <f t="shared" si="58"/>
        <v>insert into ins_premium_det (premium_rcv_code,assorted_code, rec_amount,premium_rcv_detail_code,remaining_amt, payrec, mode_code,coinsurance_code,class_cd,it_remarks) values('24Sep240082','040000180172','8800',(select max(to_number(i.premium_rcv_detail_code))+1
from ins_premium_det i),'8800','8800','02', '11000003','00','Request by Mr. Omair Ali 25-Sep-2024 allocation no 24Sep240082 ');</v>
      </c>
    </row>
    <row r="907" spans="1:8" ht="105" x14ac:dyDescent="0.25">
      <c r="A907" t="s">
        <v>1019</v>
      </c>
      <c r="B907" s="80" t="str">
        <f>VLOOKUP(A907,[1]Sheet1!$B:$C,2,0)</f>
        <v>040000180176</v>
      </c>
      <c r="C907" s="46">
        <v>8800</v>
      </c>
      <c r="D907" s="81">
        <f t="shared" si="59"/>
        <v>8800</v>
      </c>
      <c r="E907" s="79" t="s">
        <v>2492</v>
      </c>
      <c r="F907" s="82" t="str">
        <f t="shared" si="56"/>
        <v>insert into ins_premium_det (premium_rcv_code,assorted_code, rec_amount,premium_rcv_detail_code,remaining_amt, payrec, mode_code,coinsurance_code,class_cd,it_remarks) values</v>
      </c>
      <c r="G907" s="83" t="str">
        <f t="shared" si="57"/>
        <v>('24Sep240082','040000180176','8800',(select max(to_number(i.premium_rcv_detail_code))+1
from ins_premium_det i),'8800','8800','02', '11000003','00','Request by Mr. Omair Ali 25-Sep-2024 allocation no 24Sep240082 ');</v>
      </c>
      <c r="H907" s="84" t="str">
        <f t="shared" si="58"/>
        <v>insert into ins_premium_det (premium_rcv_code,assorted_code, rec_amount,premium_rcv_detail_code,remaining_amt, payrec, mode_code,coinsurance_code,class_cd,it_remarks) values('24Sep240082','040000180176','8800',(select max(to_number(i.premium_rcv_detail_code))+1
from ins_premium_det i),'8800','8800','02', '11000003','00','Request by Mr. Omair Ali 25-Sep-2024 allocation no 24Sep240082 ');</v>
      </c>
    </row>
    <row r="908" spans="1:8" ht="105" x14ac:dyDescent="0.25">
      <c r="A908" t="s">
        <v>1020</v>
      </c>
      <c r="B908" s="80" t="str">
        <f>VLOOKUP(A908,[1]Sheet1!$B:$C,2,0)</f>
        <v>040000180178</v>
      </c>
      <c r="C908" s="46">
        <v>8800</v>
      </c>
      <c r="D908" s="81">
        <f t="shared" si="59"/>
        <v>8800</v>
      </c>
      <c r="E908" s="79" t="s">
        <v>2492</v>
      </c>
      <c r="F908" s="82" t="str">
        <f t="shared" si="56"/>
        <v>insert into ins_premium_det (premium_rcv_code,assorted_code, rec_amount,premium_rcv_detail_code,remaining_amt, payrec, mode_code,coinsurance_code,class_cd,it_remarks) values</v>
      </c>
      <c r="G908" s="83" t="str">
        <f t="shared" si="57"/>
        <v>('24Sep240082','040000180178','8800',(select max(to_number(i.premium_rcv_detail_code))+1
from ins_premium_det i),'8800','8800','02', '11000003','00','Request by Mr. Omair Ali 25-Sep-2024 allocation no 24Sep240082 ');</v>
      </c>
      <c r="H908" s="84" t="str">
        <f t="shared" si="58"/>
        <v>insert into ins_premium_det (premium_rcv_code,assorted_code, rec_amount,premium_rcv_detail_code,remaining_amt, payrec, mode_code,coinsurance_code,class_cd,it_remarks) values('24Sep240082','040000180178','8800',(select max(to_number(i.premium_rcv_detail_code))+1
from ins_premium_det i),'8800','8800','02', '11000003','00','Request by Mr. Omair Ali 25-Sep-2024 allocation no 24Sep240082 ');</v>
      </c>
    </row>
    <row r="909" spans="1:8" ht="105" x14ac:dyDescent="0.25">
      <c r="A909" t="s">
        <v>1021</v>
      </c>
      <c r="B909" s="80" t="str">
        <f>VLOOKUP(A909,[1]Sheet1!$B:$C,2,0)</f>
        <v>040000180189</v>
      </c>
      <c r="C909" s="46">
        <v>12320</v>
      </c>
      <c r="D909" s="81">
        <f t="shared" si="59"/>
        <v>12320</v>
      </c>
      <c r="E909" s="79" t="s">
        <v>2492</v>
      </c>
      <c r="F909" s="82" t="str">
        <f t="shared" si="56"/>
        <v>insert into ins_premium_det (premium_rcv_code,assorted_code, rec_amount,premium_rcv_detail_code,remaining_amt, payrec, mode_code,coinsurance_code,class_cd,it_remarks) values</v>
      </c>
      <c r="G909" s="83" t="str">
        <f t="shared" si="57"/>
        <v>('24Sep240082','040000180189','12320',(select max(to_number(i.premium_rcv_detail_code))+1
from ins_premium_det i),'12320','12320','02', '11000003','00','Request by Mr. Omair Ali 25-Sep-2024 allocation no 24Sep240082 ');</v>
      </c>
      <c r="H909" s="84" t="str">
        <f t="shared" si="58"/>
        <v>insert into ins_premium_det (premium_rcv_code,assorted_code, rec_amount,premium_rcv_detail_code,remaining_amt, payrec, mode_code,coinsurance_code,class_cd,it_remarks) values('24Sep240082','040000180189','12320',(select max(to_number(i.premium_rcv_detail_code))+1
from ins_premium_det i),'12320','12320','02', '11000003','00','Request by Mr. Omair Ali 25-Sep-2024 allocation no 24Sep240082 ');</v>
      </c>
    </row>
    <row r="910" spans="1:8" ht="105" x14ac:dyDescent="0.25">
      <c r="A910" t="s">
        <v>1022</v>
      </c>
      <c r="B910" s="80" t="str">
        <f>VLOOKUP(A910,[1]Sheet1!$B:$C,2,0)</f>
        <v>040000180191</v>
      </c>
      <c r="C910" s="46">
        <v>19145</v>
      </c>
      <c r="D910" s="81">
        <f t="shared" si="59"/>
        <v>19145</v>
      </c>
      <c r="E910" s="79" t="s">
        <v>2492</v>
      </c>
      <c r="F910" s="82" t="str">
        <f t="shared" si="56"/>
        <v>insert into ins_premium_det (premium_rcv_code,assorted_code, rec_amount,premium_rcv_detail_code,remaining_amt, payrec, mode_code,coinsurance_code,class_cd,it_remarks) values</v>
      </c>
      <c r="G910" s="83" t="str">
        <f t="shared" si="57"/>
        <v>('24Sep240082','040000180191','19145',(select max(to_number(i.premium_rcv_detail_code))+1
from ins_premium_det i),'19145','19145','02', '11000003','00','Request by Mr. Omair Ali 25-Sep-2024 allocation no 24Sep240082 ');</v>
      </c>
      <c r="H910" s="84" t="str">
        <f t="shared" si="58"/>
        <v>insert into ins_premium_det (premium_rcv_code,assorted_code, rec_amount,premium_rcv_detail_code,remaining_amt, payrec, mode_code,coinsurance_code,class_cd,it_remarks) values('24Sep240082','040000180191','19145',(select max(to_number(i.premium_rcv_detail_code))+1
from ins_premium_det i),'19145','19145','02', '11000003','00','Request by Mr. Omair Ali 25-Sep-2024 allocation no 24Sep240082 ');</v>
      </c>
    </row>
    <row r="911" spans="1:8" ht="105" x14ac:dyDescent="0.25">
      <c r="A911" t="s">
        <v>1023</v>
      </c>
      <c r="B911" s="80" t="str">
        <f>VLOOKUP(A911,[1]Sheet1!$B:$C,2,0)</f>
        <v>040000180203</v>
      </c>
      <c r="C911" s="46">
        <v>12320</v>
      </c>
      <c r="D911" s="81">
        <f t="shared" si="59"/>
        <v>12320</v>
      </c>
      <c r="E911" s="79" t="s">
        <v>2492</v>
      </c>
      <c r="F911" s="82" t="str">
        <f t="shared" si="56"/>
        <v>insert into ins_premium_det (premium_rcv_code,assorted_code, rec_amount,premium_rcv_detail_code,remaining_amt, payrec, mode_code,coinsurance_code,class_cd,it_remarks) values</v>
      </c>
      <c r="G911" s="83" t="str">
        <f t="shared" si="57"/>
        <v>('24Sep240082','040000180203','12320',(select max(to_number(i.premium_rcv_detail_code))+1
from ins_premium_det i),'12320','12320','02', '11000003','00','Request by Mr. Omair Ali 25-Sep-2024 allocation no 24Sep240082 ');</v>
      </c>
      <c r="H911" s="84" t="str">
        <f t="shared" si="58"/>
        <v>insert into ins_premium_det (premium_rcv_code,assorted_code, rec_amount,premium_rcv_detail_code,remaining_amt, payrec, mode_code,coinsurance_code,class_cd,it_remarks) values('24Sep240082','040000180203','12320',(select max(to_number(i.premium_rcv_detail_code))+1
from ins_premium_det i),'12320','12320','02', '11000003','00','Request by Mr. Omair Ali 25-Sep-2024 allocation no 24Sep240082 ');</v>
      </c>
    </row>
    <row r="912" spans="1:8" ht="105" x14ac:dyDescent="0.25">
      <c r="A912" t="s">
        <v>1024</v>
      </c>
      <c r="B912" s="80" t="str">
        <f>VLOOKUP(A912,[1]Sheet1!$B:$C,2,0)</f>
        <v>040000180204</v>
      </c>
      <c r="C912" s="46">
        <v>12320</v>
      </c>
      <c r="D912" s="81">
        <f t="shared" si="59"/>
        <v>12320</v>
      </c>
      <c r="E912" s="79" t="s">
        <v>2492</v>
      </c>
      <c r="F912" s="82" t="str">
        <f t="shared" si="56"/>
        <v>insert into ins_premium_det (premium_rcv_code,assorted_code, rec_amount,premium_rcv_detail_code,remaining_amt, payrec, mode_code,coinsurance_code,class_cd,it_remarks) values</v>
      </c>
      <c r="G912" s="83" t="str">
        <f t="shared" si="57"/>
        <v>('24Sep240082','040000180204','12320',(select max(to_number(i.premium_rcv_detail_code))+1
from ins_premium_det i),'12320','12320','02', '11000003','00','Request by Mr. Omair Ali 25-Sep-2024 allocation no 24Sep240082 ');</v>
      </c>
      <c r="H912" s="84" t="str">
        <f t="shared" si="58"/>
        <v>insert into ins_premium_det (premium_rcv_code,assorted_code, rec_amount,premium_rcv_detail_code,remaining_amt, payrec, mode_code,coinsurance_code,class_cd,it_remarks) values('24Sep240082','040000180204','12320',(select max(to_number(i.premium_rcv_detail_code))+1
from ins_premium_det i),'12320','12320','02', '11000003','00','Request by Mr. Omair Ali 25-Sep-2024 allocation no 24Sep240082 ');</v>
      </c>
    </row>
    <row r="913" spans="1:8" ht="105" x14ac:dyDescent="0.25">
      <c r="A913" t="s">
        <v>1025</v>
      </c>
      <c r="B913" s="80" t="str">
        <f>VLOOKUP(A913,[1]Sheet1!$B:$C,2,0)</f>
        <v>040000180228</v>
      </c>
      <c r="C913" s="46">
        <v>8800</v>
      </c>
      <c r="D913" s="81">
        <f t="shared" si="59"/>
        <v>8800</v>
      </c>
      <c r="E913" s="79" t="s">
        <v>2492</v>
      </c>
      <c r="F913" s="82" t="str">
        <f t="shared" si="56"/>
        <v>insert into ins_premium_det (premium_rcv_code,assorted_code, rec_amount,premium_rcv_detail_code,remaining_amt, payrec, mode_code,coinsurance_code,class_cd,it_remarks) values</v>
      </c>
      <c r="G913" s="83" t="str">
        <f t="shared" si="57"/>
        <v>('24Sep240082','040000180228','8800',(select max(to_number(i.premium_rcv_detail_code))+1
from ins_premium_det i),'8800','8800','02', '11000003','00','Request by Mr. Omair Ali 25-Sep-2024 allocation no 24Sep240082 ');</v>
      </c>
      <c r="H913" s="84" t="str">
        <f t="shared" si="58"/>
        <v>insert into ins_premium_det (premium_rcv_code,assorted_code, rec_amount,premium_rcv_detail_code,remaining_amt, payrec, mode_code,coinsurance_code,class_cd,it_remarks) values('24Sep240082','040000180228','8800',(select max(to_number(i.premium_rcv_detail_code))+1
from ins_premium_det i),'8800','8800','02', '11000003','00','Request by Mr. Omair Ali 25-Sep-2024 allocation no 24Sep240082 ');</v>
      </c>
    </row>
    <row r="914" spans="1:8" ht="105" x14ac:dyDescent="0.25">
      <c r="A914" t="s">
        <v>1026</v>
      </c>
      <c r="B914" s="80" t="str">
        <f>VLOOKUP(A914,[1]Sheet1!$B:$C,2,0)</f>
        <v>040000180232</v>
      </c>
      <c r="C914" s="46">
        <v>13370</v>
      </c>
      <c r="D914" s="81">
        <f t="shared" si="59"/>
        <v>13370</v>
      </c>
      <c r="E914" s="79" t="s">
        <v>2492</v>
      </c>
      <c r="F914" s="82" t="str">
        <f t="shared" si="56"/>
        <v>insert into ins_premium_det (premium_rcv_code,assorted_code, rec_amount,premium_rcv_detail_code,remaining_amt, payrec, mode_code,coinsurance_code,class_cd,it_remarks) values</v>
      </c>
      <c r="G914" s="83" t="str">
        <f t="shared" si="57"/>
        <v>('24Sep240082','040000180232','13370',(select max(to_number(i.premium_rcv_detail_code))+1
from ins_premium_det i),'13370','13370','02', '11000003','00','Request by Mr. Omair Ali 25-Sep-2024 allocation no 24Sep240082 ');</v>
      </c>
      <c r="H914" s="84" t="str">
        <f t="shared" si="58"/>
        <v>insert into ins_premium_det (premium_rcv_code,assorted_code, rec_amount,premium_rcv_detail_code,remaining_amt, payrec, mode_code,coinsurance_code,class_cd,it_remarks) values('24Sep240082','040000180232','13370',(select max(to_number(i.premium_rcv_detail_code))+1
from ins_premium_det i),'13370','13370','02', '11000003','00','Request by Mr. Omair Ali 25-Sep-2024 allocation no 24Sep240082 ');</v>
      </c>
    </row>
    <row r="915" spans="1:8" ht="105" x14ac:dyDescent="0.25">
      <c r="A915" t="s">
        <v>1027</v>
      </c>
      <c r="B915" s="80" t="str">
        <f>VLOOKUP(A915,[1]Sheet1!$B:$C,2,0)</f>
        <v>040000180244</v>
      </c>
      <c r="C915" s="46">
        <v>11725</v>
      </c>
      <c r="D915" s="81">
        <f t="shared" si="59"/>
        <v>11725</v>
      </c>
      <c r="E915" s="79" t="s">
        <v>2492</v>
      </c>
      <c r="F915" s="82" t="str">
        <f t="shared" si="56"/>
        <v>insert into ins_premium_det (premium_rcv_code,assorted_code, rec_amount,premium_rcv_detail_code,remaining_amt, payrec, mode_code,coinsurance_code,class_cd,it_remarks) values</v>
      </c>
      <c r="G915" s="83" t="str">
        <f t="shared" si="57"/>
        <v>('24Sep240082','040000180244','11725',(select max(to_number(i.premium_rcv_detail_code))+1
from ins_premium_det i),'11725','11725','02', '11000003','00','Request by Mr. Omair Ali 25-Sep-2024 allocation no 24Sep240082 ');</v>
      </c>
      <c r="H915" s="84" t="str">
        <f t="shared" si="58"/>
        <v>insert into ins_premium_det (premium_rcv_code,assorted_code, rec_amount,premium_rcv_detail_code,remaining_amt, payrec, mode_code,coinsurance_code,class_cd,it_remarks) values('24Sep240082','040000180244','11725',(select max(to_number(i.premium_rcv_detail_code))+1
from ins_premium_det i),'11725','11725','02', '11000003','00','Request by Mr. Omair Ali 25-Sep-2024 allocation no 24Sep240082 ');</v>
      </c>
    </row>
    <row r="916" spans="1:8" ht="105" x14ac:dyDescent="0.25">
      <c r="A916" t="s">
        <v>1028</v>
      </c>
      <c r="B916" s="80" t="str">
        <f>VLOOKUP(A916,[1]Sheet1!$B:$C,2,0)</f>
        <v>040000180250</v>
      </c>
      <c r="C916" s="46">
        <v>17465</v>
      </c>
      <c r="D916" s="81">
        <f t="shared" si="59"/>
        <v>17465</v>
      </c>
      <c r="E916" s="79" t="s">
        <v>2492</v>
      </c>
      <c r="F916" s="82" t="str">
        <f t="shared" si="56"/>
        <v>insert into ins_premium_det (premium_rcv_code,assorted_code, rec_amount,premium_rcv_detail_code,remaining_amt, payrec, mode_code,coinsurance_code,class_cd,it_remarks) values</v>
      </c>
      <c r="G916" s="83" t="str">
        <f t="shared" si="57"/>
        <v>('24Sep240082','040000180250','17465',(select max(to_number(i.premium_rcv_detail_code))+1
from ins_premium_det i),'17465','17465','02', '11000003','00','Request by Mr. Omair Ali 25-Sep-2024 allocation no 24Sep240082 ');</v>
      </c>
      <c r="H916" s="84" t="str">
        <f t="shared" si="58"/>
        <v>insert into ins_premium_det (premium_rcv_code,assorted_code, rec_amount,premium_rcv_detail_code,remaining_amt, payrec, mode_code,coinsurance_code,class_cd,it_remarks) values('24Sep240082','040000180250','17465',(select max(to_number(i.premium_rcv_detail_code))+1
from ins_premium_det i),'17465','17465','02', '11000003','00','Request by Mr. Omair Ali 25-Sep-2024 allocation no 24Sep240082 ');</v>
      </c>
    </row>
    <row r="917" spans="1:8" ht="105" x14ac:dyDescent="0.25">
      <c r="A917" t="s">
        <v>1029</v>
      </c>
      <c r="B917" s="80" t="str">
        <f>VLOOKUP(A917,[1]Sheet1!$B:$C,2,0)</f>
        <v>040000180252</v>
      </c>
      <c r="C917" s="46">
        <v>13475</v>
      </c>
      <c r="D917" s="81">
        <f t="shared" si="59"/>
        <v>13475</v>
      </c>
      <c r="E917" s="79" t="s">
        <v>2492</v>
      </c>
      <c r="F917" s="82" t="str">
        <f t="shared" si="56"/>
        <v>insert into ins_premium_det (premium_rcv_code,assorted_code, rec_amount,premium_rcv_detail_code,remaining_amt, payrec, mode_code,coinsurance_code,class_cd,it_remarks) values</v>
      </c>
      <c r="G917" s="83" t="str">
        <f t="shared" si="57"/>
        <v>('24Sep240082','040000180252','13475',(select max(to_number(i.premium_rcv_detail_code))+1
from ins_premium_det i),'13475','13475','02', '11000003','00','Request by Mr. Omair Ali 25-Sep-2024 allocation no 24Sep240082 ');</v>
      </c>
      <c r="H917" s="84" t="str">
        <f t="shared" si="58"/>
        <v>insert into ins_premium_det (premium_rcv_code,assorted_code, rec_amount,premium_rcv_detail_code,remaining_amt, payrec, mode_code,coinsurance_code,class_cd,it_remarks) values('24Sep240082','040000180252','13475',(select max(to_number(i.premium_rcv_detail_code))+1
from ins_premium_det i),'13475','13475','02', '11000003','00','Request by Mr. Omair Ali 25-Sep-2024 allocation no 24Sep240082 ');</v>
      </c>
    </row>
    <row r="918" spans="1:8" ht="105" x14ac:dyDescent="0.25">
      <c r="A918" t="s">
        <v>1030</v>
      </c>
      <c r="B918" s="80" t="str">
        <f>VLOOKUP(A918,[1]Sheet1!$B:$C,2,0)</f>
        <v>040000180256</v>
      </c>
      <c r="C918" s="46">
        <v>13475</v>
      </c>
      <c r="D918" s="81">
        <f t="shared" si="59"/>
        <v>13475</v>
      </c>
      <c r="E918" s="79" t="s">
        <v>2492</v>
      </c>
      <c r="F918" s="82" t="str">
        <f t="shared" si="56"/>
        <v>insert into ins_premium_det (premium_rcv_code,assorted_code, rec_amount,premium_rcv_detail_code,remaining_amt, payrec, mode_code,coinsurance_code,class_cd,it_remarks) values</v>
      </c>
      <c r="G918" s="83" t="str">
        <f t="shared" si="57"/>
        <v>('24Sep240082','040000180256','13475',(select max(to_number(i.premium_rcv_detail_code))+1
from ins_premium_det i),'13475','13475','02', '11000003','00','Request by Mr. Omair Ali 25-Sep-2024 allocation no 24Sep240082 ');</v>
      </c>
      <c r="H918" s="84" t="str">
        <f t="shared" si="58"/>
        <v>insert into ins_premium_det (premium_rcv_code,assorted_code, rec_amount,premium_rcv_detail_code,remaining_amt, payrec, mode_code,coinsurance_code,class_cd,it_remarks) values('24Sep240082','040000180256','13475',(select max(to_number(i.premium_rcv_detail_code))+1
from ins_premium_det i),'13475','13475','02', '11000003','00','Request by Mr. Omair Ali 25-Sep-2024 allocation no 24Sep240082 ');</v>
      </c>
    </row>
    <row r="919" spans="1:8" ht="105" x14ac:dyDescent="0.25">
      <c r="A919" t="s">
        <v>1031</v>
      </c>
      <c r="B919" s="80" t="str">
        <f>VLOOKUP(A919,[1]Sheet1!$B:$C,2,0)</f>
        <v>040000180258</v>
      </c>
      <c r="C919" s="46">
        <v>13370</v>
      </c>
      <c r="D919" s="81">
        <f t="shared" si="59"/>
        <v>13370</v>
      </c>
      <c r="E919" s="79" t="s">
        <v>2492</v>
      </c>
      <c r="F919" s="82" t="str">
        <f t="shared" si="56"/>
        <v>insert into ins_premium_det (premium_rcv_code,assorted_code, rec_amount,premium_rcv_detail_code,remaining_amt, payrec, mode_code,coinsurance_code,class_cd,it_remarks) values</v>
      </c>
      <c r="G919" s="83" t="str">
        <f t="shared" si="57"/>
        <v>('24Sep240082','040000180258','13370',(select max(to_number(i.premium_rcv_detail_code))+1
from ins_premium_det i),'13370','13370','02', '11000003','00','Request by Mr. Omair Ali 25-Sep-2024 allocation no 24Sep240082 ');</v>
      </c>
      <c r="H919" s="84" t="str">
        <f t="shared" si="58"/>
        <v>insert into ins_premium_det (premium_rcv_code,assorted_code, rec_amount,premium_rcv_detail_code,remaining_amt, payrec, mode_code,coinsurance_code,class_cd,it_remarks) values('24Sep240082','040000180258','13370',(select max(to_number(i.premium_rcv_detail_code))+1
from ins_premium_det i),'13370','13370','02', '11000003','00','Request by Mr. Omair Ali 25-Sep-2024 allocation no 24Sep240082 ');</v>
      </c>
    </row>
    <row r="920" spans="1:8" ht="105" x14ac:dyDescent="0.25">
      <c r="A920" t="s">
        <v>1032</v>
      </c>
      <c r="B920" s="80" t="str">
        <f>VLOOKUP(A920,[1]Sheet1!$B:$C,2,0)</f>
        <v>040000180261</v>
      </c>
      <c r="C920" s="46">
        <v>12320</v>
      </c>
      <c r="D920" s="81">
        <f t="shared" si="59"/>
        <v>12320</v>
      </c>
      <c r="E920" s="79" t="s">
        <v>2492</v>
      </c>
      <c r="F920" s="82" t="str">
        <f t="shared" si="56"/>
        <v>insert into ins_premium_det (premium_rcv_code,assorted_code, rec_amount,premium_rcv_detail_code,remaining_amt, payrec, mode_code,coinsurance_code,class_cd,it_remarks) values</v>
      </c>
      <c r="G920" s="83" t="str">
        <f t="shared" si="57"/>
        <v>('24Sep240082','040000180261','12320',(select max(to_number(i.premium_rcv_detail_code))+1
from ins_premium_det i),'12320','12320','02', '11000003','00','Request by Mr. Omair Ali 25-Sep-2024 allocation no 24Sep240082 ');</v>
      </c>
      <c r="H920" s="84" t="str">
        <f t="shared" si="58"/>
        <v>insert into ins_premium_det (premium_rcv_code,assorted_code, rec_amount,premium_rcv_detail_code,remaining_amt, payrec, mode_code,coinsurance_code,class_cd,it_remarks) values('24Sep240082','040000180261','12320',(select max(to_number(i.premium_rcv_detail_code))+1
from ins_premium_det i),'12320','12320','02', '11000003','00','Request by Mr. Omair Ali 25-Sep-2024 allocation no 24Sep240082 ');</v>
      </c>
    </row>
    <row r="921" spans="1:8" ht="105" x14ac:dyDescent="0.25">
      <c r="A921" t="s">
        <v>1033</v>
      </c>
      <c r="B921" s="80" t="str">
        <f>VLOOKUP(A921,[1]Sheet1!$B:$C,2,0)</f>
        <v>040000180262</v>
      </c>
      <c r="C921" s="46">
        <v>12320</v>
      </c>
      <c r="D921" s="81">
        <f t="shared" si="59"/>
        <v>12320</v>
      </c>
      <c r="E921" s="79" t="s">
        <v>2492</v>
      </c>
      <c r="F921" s="82" t="str">
        <f t="shared" si="56"/>
        <v>insert into ins_premium_det (premium_rcv_code,assorted_code, rec_amount,premium_rcv_detail_code,remaining_amt, payrec, mode_code,coinsurance_code,class_cd,it_remarks) values</v>
      </c>
      <c r="G921" s="83" t="str">
        <f t="shared" si="57"/>
        <v>('24Sep240082','040000180262','12320',(select max(to_number(i.premium_rcv_detail_code))+1
from ins_premium_det i),'12320','12320','02', '11000003','00','Request by Mr. Omair Ali 25-Sep-2024 allocation no 24Sep240082 ');</v>
      </c>
      <c r="H921" s="84" t="str">
        <f t="shared" si="58"/>
        <v>insert into ins_premium_det (premium_rcv_code,assorted_code, rec_amount,premium_rcv_detail_code,remaining_amt, payrec, mode_code,coinsurance_code,class_cd,it_remarks) values('24Sep240082','040000180262','12320',(select max(to_number(i.premium_rcv_detail_code))+1
from ins_premium_det i),'12320','12320','02', '11000003','00','Request by Mr. Omair Ali 25-Sep-2024 allocation no 24Sep240082 ');</v>
      </c>
    </row>
    <row r="922" spans="1:8" ht="105" x14ac:dyDescent="0.25">
      <c r="A922" t="s">
        <v>1034</v>
      </c>
      <c r="B922" s="80" t="str">
        <f>VLOOKUP(A922,[1]Sheet1!$B:$C,2,0)</f>
        <v>040000180268</v>
      </c>
      <c r="C922" s="46">
        <v>12320</v>
      </c>
      <c r="D922" s="81">
        <f t="shared" si="59"/>
        <v>12320</v>
      </c>
      <c r="E922" s="79" t="s">
        <v>2492</v>
      </c>
      <c r="F922" s="82" t="str">
        <f t="shared" si="56"/>
        <v>insert into ins_premium_det (premium_rcv_code,assorted_code, rec_amount,premium_rcv_detail_code,remaining_amt, payrec, mode_code,coinsurance_code,class_cd,it_remarks) values</v>
      </c>
      <c r="G922" s="83" t="str">
        <f t="shared" si="57"/>
        <v>('24Sep240082','040000180268','12320',(select max(to_number(i.premium_rcv_detail_code))+1
from ins_premium_det i),'12320','12320','02', '11000003','00','Request by Mr. Omair Ali 25-Sep-2024 allocation no 24Sep240082 ');</v>
      </c>
      <c r="H922" s="84" t="str">
        <f t="shared" si="58"/>
        <v>insert into ins_premium_det (premium_rcv_code,assorted_code, rec_amount,premium_rcv_detail_code,remaining_amt, payrec, mode_code,coinsurance_code,class_cd,it_remarks) values('24Sep240082','040000180268','12320',(select max(to_number(i.premium_rcv_detail_code))+1
from ins_premium_det i),'12320','12320','02', '11000003','00','Request by Mr. Omair Ali 25-Sep-2024 allocation no 24Sep240082 ');</v>
      </c>
    </row>
    <row r="923" spans="1:8" ht="105" x14ac:dyDescent="0.25">
      <c r="A923" t="s">
        <v>1035</v>
      </c>
      <c r="B923" s="80" t="str">
        <f>VLOOKUP(A923,[1]Sheet1!$B:$C,2,0)</f>
        <v>040000180269</v>
      </c>
      <c r="C923" s="46">
        <v>12320</v>
      </c>
      <c r="D923" s="81">
        <f t="shared" si="59"/>
        <v>12320</v>
      </c>
      <c r="E923" s="79" t="s">
        <v>2492</v>
      </c>
      <c r="F923" s="82" t="str">
        <f t="shared" si="56"/>
        <v>insert into ins_premium_det (premium_rcv_code,assorted_code, rec_amount,premium_rcv_detail_code,remaining_amt, payrec, mode_code,coinsurance_code,class_cd,it_remarks) values</v>
      </c>
      <c r="G923" s="83" t="str">
        <f t="shared" si="57"/>
        <v>('24Sep240082','040000180269','12320',(select max(to_number(i.premium_rcv_detail_code))+1
from ins_premium_det i),'12320','12320','02', '11000003','00','Request by Mr. Omair Ali 25-Sep-2024 allocation no 24Sep240082 ');</v>
      </c>
      <c r="H923" s="84" t="str">
        <f t="shared" si="58"/>
        <v>insert into ins_premium_det (premium_rcv_code,assorted_code, rec_amount,premium_rcv_detail_code,remaining_amt, payrec, mode_code,coinsurance_code,class_cd,it_remarks) values('24Sep240082','040000180269','12320',(select max(to_number(i.premium_rcv_detail_code))+1
from ins_premium_det i),'12320','12320','02', '11000003','00','Request by Mr. Omair Ali 25-Sep-2024 allocation no 24Sep240082 ');</v>
      </c>
    </row>
    <row r="924" spans="1:8" ht="105" x14ac:dyDescent="0.25">
      <c r="A924" t="s">
        <v>1036</v>
      </c>
      <c r="B924" s="80" t="str">
        <f>VLOOKUP(A924,[1]Sheet1!$B:$C,2,0)</f>
        <v>040000180292</v>
      </c>
      <c r="C924" s="46">
        <v>12320</v>
      </c>
      <c r="D924" s="81">
        <f t="shared" si="59"/>
        <v>12320</v>
      </c>
      <c r="E924" s="79" t="s">
        <v>2492</v>
      </c>
      <c r="F924" s="82" t="str">
        <f t="shared" si="56"/>
        <v>insert into ins_premium_det (premium_rcv_code,assorted_code, rec_amount,premium_rcv_detail_code,remaining_amt, payrec, mode_code,coinsurance_code,class_cd,it_remarks) values</v>
      </c>
      <c r="G924" s="83" t="str">
        <f t="shared" si="57"/>
        <v>('24Sep240082','040000180292','12320',(select max(to_number(i.premium_rcv_detail_code))+1
from ins_premium_det i),'12320','12320','02', '11000003','00','Request by Mr. Omair Ali 25-Sep-2024 allocation no 24Sep240082 ');</v>
      </c>
      <c r="H924" s="84" t="str">
        <f t="shared" si="58"/>
        <v>insert into ins_premium_det (premium_rcv_code,assorted_code, rec_amount,premium_rcv_detail_code,remaining_amt, payrec, mode_code,coinsurance_code,class_cd,it_remarks) values('24Sep240082','040000180292','12320',(select max(to_number(i.premium_rcv_detail_code))+1
from ins_premium_det i),'12320','12320','02', '11000003','00','Request by Mr. Omair Ali 25-Sep-2024 allocation no 24Sep240082 ');</v>
      </c>
    </row>
    <row r="925" spans="1:8" ht="105" x14ac:dyDescent="0.25">
      <c r="A925" t="s">
        <v>1037</v>
      </c>
      <c r="B925" s="80" t="str">
        <f>VLOOKUP(A925,[1]Sheet1!$B:$C,2,0)</f>
        <v>040000180293</v>
      </c>
      <c r="C925" s="46">
        <v>12320</v>
      </c>
      <c r="D925" s="81">
        <f t="shared" si="59"/>
        <v>12320</v>
      </c>
      <c r="E925" s="79" t="s">
        <v>2492</v>
      </c>
      <c r="F925" s="82" t="str">
        <f t="shared" si="56"/>
        <v>insert into ins_premium_det (premium_rcv_code,assorted_code, rec_amount,premium_rcv_detail_code,remaining_amt, payrec, mode_code,coinsurance_code,class_cd,it_remarks) values</v>
      </c>
      <c r="G925" s="83" t="str">
        <f t="shared" si="57"/>
        <v>('24Sep240082','040000180293','12320',(select max(to_number(i.premium_rcv_detail_code))+1
from ins_premium_det i),'12320','12320','02', '11000003','00','Request by Mr. Omair Ali 25-Sep-2024 allocation no 24Sep240082 ');</v>
      </c>
      <c r="H925" s="84" t="str">
        <f t="shared" si="58"/>
        <v>insert into ins_premium_det (premium_rcv_code,assorted_code, rec_amount,premium_rcv_detail_code,remaining_amt, payrec, mode_code,coinsurance_code,class_cd,it_remarks) values('24Sep240082','040000180293','12320',(select max(to_number(i.premium_rcv_detail_code))+1
from ins_premium_det i),'12320','12320','02', '11000003','00','Request by Mr. Omair Ali 25-Sep-2024 allocation no 24Sep240082 ');</v>
      </c>
    </row>
    <row r="926" spans="1:8" ht="105" x14ac:dyDescent="0.25">
      <c r="A926" t="s">
        <v>1038</v>
      </c>
      <c r="B926" s="80" t="str">
        <f>VLOOKUP(A926,[1]Sheet1!$B:$C,2,0)</f>
        <v>040000180297</v>
      </c>
      <c r="C926" s="46">
        <v>12320</v>
      </c>
      <c r="D926" s="81">
        <f t="shared" si="59"/>
        <v>12320</v>
      </c>
      <c r="E926" s="79" t="s">
        <v>2492</v>
      </c>
      <c r="F926" s="82" t="str">
        <f t="shared" si="56"/>
        <v>insert into ins_premium_det (premium_rcv_code,assorted_code, rec_amount,premium_rcv_detail_code,remaining_amt, payrec, mode_code,coinsurance_code,class_cd,it_remarks) values</v>
      </c>
      <c r="G926" s="83" t="str">
        <f t="shared" si="57"/>
        <v>('24Sep240082','040000180297','12320',(select max(to_number(i.premium_rcv_detail_code))+1
from ins_premium_det i),'12320','12320','02', '11000003','00','Request by Mr. Omair Ali 25-Sep-2024 allocation no 24Sep240082 ');</v>
      </c>
      <c r="H926" s="84" t="str">
        <f t="shared" si="58"/>
        <v>insert into ins_premium_det (premium_rcv_code,assorted_code, rec_amount,premium_rcv_detail_code,remaining_amt, payrec, mode_code,coinsurance_code,class_cd,it_remarks) values('24Sep240082','040000180297','12320',(select max(to_number(i.premium_rcv_detail_code))+1
from ins_premium_det i),'12320','12320','02', '11000003','00','Request by Mr. Omair Ali 25-Sep-2024 allocation no 24Sep240082 ');</v>
      </c>
    </row>
    <row r="927" spans="1:8" ht="105" x14ac:dyDescent="0.25">
      <c r="A927" t="s">
        <v>1039</v>
      </c>
      <c r="B927" s="80" t="str">
        <f>VLOOKUP(A927,[1]Sheet1!$B:$C,2,0)</f>
        <v>040000180331</v>
      </c>
      <c r="C927" s="46">
        <v>12320</v>
      </c>
      <c r="D927" s="81">
        <f t="shared" si="59"/>
        <v>12320</v>
      </c>
      <c r="E927" s="79" t="s">
        <v>2492</v>
      </c>
      <c r="F927" s="82" t="str">
        <f t="shared" si="56"/>
        <v>insert into ins_premium_det (premium_rcv_code,assorted_code, rec_amount,premium_rcv_detail_code,remaining_amt, payrec, mode_code,coinsurance_code,class_cd,it_remarks) values</v>
      </c>
      <c r="G927" s="83" t="str">
        <f t="shared" si="57"/>
        <v>('24Sep240082','040000180331','12320',(select max(to_number(i.premium_rcv_detail_code))+1
from ins_premium_det i),'12320','12320','02', '11000003','00','Request by Mr. Omair Ali 25-Sep-2024 allocation no 24Sep240082 ');</v>
      </c>
      <c r="H927" s="84" t="str">
        <f t="shared" si="58"/>
        <v>insert into ins_premium_det (premium_rcv_code,assorted_code, rec_amount,premium_rcv_detail_code,remaining_amt, payrec, mode_code,coinsurance_code,class_cd,it_remarks) values('24Sep240082','040000180331','12320',(select max(to_number(i.premium_rcv_detail_code))+1
from ins_premium_det i),'12320','12320','02', '11000003','00','Request by Mr. Omair Ali 25-Sep-2024 allocation no 24Sep240082 ');</v>
      </c>
    </row>
    <row r="928" spans="1:8" ht="105" x14ac:dyDescent="0.25">
      <c r="A928" t="s">
        <v>1040</v>
      </c>
      <c r="B928" s="80" t="str">
        <f>VLOOKUP(A928,[1]Sheet1!$B:$C,2,0)</f>
        <v>040000180332</v>
      </c>
      <c r="C928" s="46">
        <v>12320</v>
      </c>
      <c r="D928" s="81">
        <f t="shared" si="59"/>
        <v>12320</v>
      </c>
      <c r="E928" s="79" t="s">
        <v>2492</v>
      </c>
      <c r="F928" s="82" t="str">
        <f t="shared" si="56"/>
        <v>insert into ins_premium_det (premium_rcv_code,assorted_code, rec_amount,premium_rcv_detail_code,remaining_amt, payrec, mode_code,coinsurance_code,class_cd,it_remarks) values</v>
      </c>
      <c r="G928" s="83" t="str">
        <f t="shared" si="57"/>
        <v>('24Sep240082','040000180332','12320',(select max(to_number(i.premium_rcv_detail_code))+1
from ins_premium_det i),'12320','12320','02', '11000003','00','Request by Mr. Omair Ali 25-Sep-2024 allocation no 24Sep240082 ');</v>
      </c>
      <c r="H928" s="84" t="str">
        <f t="shared" si="58"/>
        <v>insert into ins_premium_det (premium_rcv_code,assorted_code, rec_amount,premium_rcv_detail_code,remaining_amt, payrec, mode_code,coinsurance_code,class_cd,it_remarks) values('24Sep240082','040000180332','12320',(select max(to_number(i.premium_rcv_detail_code))+1
from ins_premium_det i),'12320','12320','02', '11000003','00','Request by Mr. Omair Ali 25-Sep-2024 allocation no 24Sep240082 ');</v>
      </c>
    </row>
    <row r="929" spans="1:8" ht="105" x14ac:dyDescent="0.25">
      <c r="A929" t="s">
        <v>1041</v>
      </c>
      <c r="B929" s="80" t="str">
        <f>VLOOKUP(A929,[1]Sheet1!$B:$C,2,0)</f>
        <v>040000180334</v>
      </c>
      <c r="C929" s="46">
        <v>8800</v>
      </c>
      <c r="D929" s="81">
        <f t="shared" si="59"/>
        <v>8800</v>
      </c>
      <c r="E929" s="79" t="s">
        <v>2492</v>
      </c>
      <c r="F929" s="82" t="str">
        <f t="shared" si="56"/>
        <v>insert into ins_premium_det (premium_rcv_code,assorted_code, rec_amount,premium_rcv_detail_code,remaining_amt, payrec, mode_code,coinsurance_code,class_cd,it_remarks) values</v>
      </c>
      <c r="G929" s="83" t="str">
        <f t="shared" si="57"/>
        <v>('24Sep240082','040000180334','8800',(select max(to_number(i.premium_rcv_detail_code))+1
from ins_premium_det i),'8800','8800','02', '11000003','00','Request by Mr. Omair Ali 25-Sep-2024 allocation no 24Sep240082 ');</v>
      </c>
      <c r="H929" s="84" t="str">
        <f t="shared" si="58"/>
        <v>insert into ins_premium_det (premium_rcv_code,assorted_code, rec_amount,premium_rcv_detail_code,remaining_amt, payrec, mode_code,coinsurance_code,class_cd,it_remarks) values('24Sep240082','040000180334','8800',(select max(to_number(i.premium_rcv_detail_code))+1
from ins_premium_det i),'8800','8800','02', '11000003','00','Request by Mr. Omair Ali 25-Sep-2024 allocation no 24Sep240082 ');</v>
      </c>
    </row>
    <row r="930" spans="1:8" ht="105" x14ac:dyDescent="0.25">
      <c r="A930" t="s">
        <v>1042</v>
      </c>
      <c r="B930" s="80" t="str">
        <f>VLOOKUP(A930,[1]Sheet1!$B:$C,2,0)</f>
        <v>040000180336</v>
      </c>
      <c r="C930" s="46">
        <v>8800</v>
      </c>
      <c r="D930" s="81">
        <f t="shared" si="59"/>
        <v>8800</v>
      </c>
      <c r="E930" s="79" t="s">
        <v>2492</v>
      </c>
      <c r="F930" s="82" t="str">
        <f t="shared" si="56"/>
        <v>insert into ins_premium_det (premium_rcv_code,assorted_code, rec_amount,premium_rcv_detail_code,remaining_amt, payrec, mode_code,coinsurance_code,class_cd,it_remarks) values</v>
      </c>
      <c r="G930" s="83" t="str">
        <f t="shared" si="57"/>
        <v>('24Sep240082','040000180336','8800',(select max(to_number(i.premium_rcv_detail_code))+1
from ins_premium_det i),'8800','8800','02', '11000003','00','Request by Mr. Omair Ali 25-Sep-2024 allocation no 24Sep240082 ');</v>
      </c>
      <c r="H930" s="84" t="str">
        <f t="shared" si="58"/>
        <v>insert into ins_premium_det (premium_rcv_code,assorted_code, rec_amount,premium_rcv_detail_code,remaining_amt, payrec, mode_code,coinsurance_code,class_cd,it_remarks) values('24Sep240082','040000180336','8800',(select max(to_number(i.premium_rcv_detail_code))+1
from ins_premium_det i),'8800','8800','02', '11000003','00','Request by Mr. Omair Ali 25-Sep-2024 allocation no 24Sep240082 ');</v>
      </c>
    </row>
    <row r="931" spans="1:8" ht="105" x14ac:dyDescent="0.25">
      <c r="A931" t="s">
        <v>1043</v>
      </c>
      <c r="B931" s="80" t="str">
        <f>VLOOKUP(A931,[1]Sheet1!$B:$C,2,0)</f>
        <v>040000180338</v>
      </c>
      <c r="C931" s="46">
        <v>8800</v>
      </c>
      <c r="D931" s="81">
        <f t="shared" si="59"/>
        <v>8800</v>
      </c>
      <c r="E931" s="79" t="s">
        <v>2492</v>
      </c>
      <c r="F931" s="82" t="str">
        <f t="shared" si="56"/>
        <v>insert into ins_premium_det (premium_rcv_code,assorted_code, rec_amount,premium_rcv_detail_code,remaining_amt, payrec, mode_code,coinsurance_code,class_cd,it_remarks) values</v>
      </c>
      <c r="G931" s="83" t="str">
        <f t="shared" si="57"/>
        <v>('24Sep240082','040000180338','8800',(select max(to_number(i.premium_rcv_detail_code))+1
from ins_premium_det i),'8800','8800','02', '11000003','00','Request by Mr. Omair Ali 25-Sep-2024 allocation no 24Sep240082 ');</v>
      </c>
      <c r="H931" s="84" t="str">
        <f t="shared" si="58"/>
        <v>insert into ins_premium_det (premium_rcv_code,assorted_code, rec_amount,premium_rcv_detail_code,remaining_amt, payrec, mode_code,coinsurance_code,class_cd,it_remarks) values('24Sep240082','040000180338','8800',(select max(to_number(i.premium_rcv_detail_code))+1
from ins_premium_det i),'8800','8800','02', '11000003','00','Request by Mr. Omair Ali 25-Sep-2024 allocation no 24Sep240082 ');</v>
      </c>
    </row>
    <row r="932" spans="1:8" ht="105" x14ac:dyDescent="0.25">
      <c r="A932" t="s">
        <v>1044</v>
      </c>
      <c r="B932" s="80" t="str">
        <f>VLOOKUP(A932,[1]Sheet1!$B:$C,2,0)</f>
        <v>040000180339</v>
      </c>
      <c r="C932" s="46">
        <v>8800</v>
      </c>
      <c r="D932" s="81">
        <f t="shared" si="59"/>
        <v>8800</v>
      </c>
      <c r="E932" s="79" t="s">
        <v>2492</v>
      </c>
      <c r="F932" s="82" t="str">
        <f t="shared" si="56"/>
        <v>insert into ins_premium_det (premium_rcv_code,assorted_code, rec_amount,premium_rcv_detail_code,remaining_amt, payrec, mode_code,coinsurance_code,class_cd,it_remarks) values</v>
      </c>
      <c r="G932" s="83" t="str">
        <f t="shared" si="57"/>
        <v>('24Sep240082','040000180339','8800',(select max(to_number(i.premium_rcv_detail_code))+1
from ins_premium_det i),'8800','8800','02', '11000003','00','Request by Mr. Omair Ali 25-Sep-2024 allocation no 24Sep240082 ');</v>
      </c>
      <c r="H932" s="84" t="str">
        <f t="shared" si="58"/>
        <v>insert into ins_premium_det (premium_rcv_code,assorted_code, rec_amount,premium_rcv_detail_code,remaining_amt, payrec, mode_code,coinsurance_code,class_cd,it_remarks) values('24Sep240082','040000180339','8800',(select max(to_number(i.premium_rcv_detail_code))+1
from ins_premium_det i),'8800','8800','02', '11000003','00','Request by Mr. Omair Ali 25-Sep-2024 allocation no 24Sep240082 ');</v>
      </c>
    </row>
    <row r="933" spans="1:8" ht="105" x14ac:dyDescent="0.25">
      <c r="A933" t="s">
        <v>1045</v>
      </c>
      <c r="B933" s="80" t="str">
        <f>VLOOKUP(A933,[1]Sheet1!$B:$C,2,0)</f>
        <v>040000180341</v>
      </c>
      <c r="C933" s="46">
        <v>9550</v>
      </c>
      <c r="D933" s="81">
        <f t="shared" si="59"/>
        <v>9550</v>
      </c>
      <c r="E933" s="79" t="s">
        <v>2492</v>
      </c>
      <c r="F933" s="82" t="str">
        <f t="shared" si="56"/>
        <v>insert into ins_premium_det (premium_rcv_code,assorted_code, rec_amount,premium_rcv_detail_code,remaining_amt, payrec, mode_code,coinsurance_code,class_cd,it_remarks) values</v>
      </c>
      <c r="G933" s="83" t="str">
        <f t="shared" si="57"/>
        <v>('24Sep240082','040000180341','9550',(select max(to_number(i.premium_rcv_detail_code))+1
from ins_premium_det i),'9550','9550','02', '11000003','00','Request by Mr. Omair Ali 25-Sep-2024 allocation no 24Sep240082 ');</v>
      </c>
      <c r="H933" s="84" t="str">
        <f t="shared" si="58"/>
        <v>insert into ins_premium_det (premium_rcv_code,assorted_code, rec_amount,premium_rcv_detail_code,remaining_amt, payrec, mode_code,coinsurance_code,class_cd,it_remarks) values('24Sep240082','040000180341','9550',(select max(to_number(i.premium_rcv_detail_code))+1
from ins_premium_det i),'9550','9550','02', '11000003','00','Request by Mr. Omair Ali 25-Sep-2024 allocation no 24Sep240082 ');</v>
      </c>
    </row>
    <row r="934" spans="1:8" ht="105" x14ac:dyDescent="0.25">
      <c r="A934" t="s">
        <v>1046</v>
      </c>
      <c r="B934" s="80" t="str">
        <f>VLOOKUP(A934,[1]Sheet1!$B:$C,2,0)</f>
        <v>040000180343</v>
      </c>
      <c r="C934" s="46">
        <v>8800</v>
      </c>
      <c r="D934" s="81">
        <f t="shared" si="59"/>
        <v>8800</v>
      </c>
      <c r="E934" s="79" t="s">
        <v>2492</v>
      </c>
      <c r="F934" s="82" t="str">
        <f t="shared" si="56"/>
        <v>insert into ins_premium_det (premium_rcv_code,assorted_code, rec_amount,premium_rcv_detail_code,remaining_amt, payrec, mode_code,coinsurance_code,class_cd,it_remarks) values</v>
      </c>
      <c r="G934" s="83" t="str">
        <f t="shared" si="57"/>
        <v>('24Sep240082','040000180343','8800',(select max(to_number(i.premium_rcv_detail_code))+1
from ins_premium_det i),'8800','8800','02', '11000003','00','Request by Mr. Omair Ali 25-Sep-2024 allocation no 24Sep240082 ');</v>
      </c>
      <c r="H934" s="84" t="str">
        <f t="shared" si="58"/>
        <v>insert into ins_premium_det (premium_rcv_code,assorted_code, rec_amount,premium_rcv_detail_code,remaining_amt, payrec, mode_code,coinsurance_code,class_cd,it_remarks) values('24Sep240082','040000180343','8800',(select max(to_number(i.premium_rcv_detail_code))+1
from ins_premium_det i),'8800','8800','02', '11000003','00','Request by Mr. Omair Ali 25-Sep-2024 allocation no 24Sep240082 ');</v>
      </c>
    </row>
    <row r="935" spans="1:8" ht="105" x14ac:dyDescent="0.25">
      <c r="A935" t="s">
        <v>1047</v>
      </c>
      <c r="B935" s="80" t="str">
        <f>VLOOKUP(A935,[1]Sheet1!$B:$C,2,0)</f>
        <v>040000180345</v>
      </c>
      <c r="C935" s="46">
        <v>9550</v>
      </c>
      <c r="D935" s="81">
        <f t="shared" si="59"/>
        <v>9550</v>
      </c>
      <c r="E935" s="79" t="s">
        <v>2492</v>
      </c>
      <c r="F935" s="82" t="str">
        <f t="shared" si="56"/>
        <v>insert into ins_premium_det (premium_rcv_code,assorted_code, rec_amount,premium_rcv_detail_code,remaining_amt, payrec, mode_code,coinsurance_code,class_cd,it_remarks) values</v>
      </c>
      <c r="G935" s="83" t="str">
        <f t="shared" si="57"/>
        <v>('24Sep240082','040000180345','9550',(select max(to_number(i.premium_rcv_detail_code))+1
from ins_premium_det i),'9550','9550','02', '11000003','00','Request by Mr. Omair Ali 25-Sep-2024 allocation no 24Sep240082 ');</v>
      </c>
      <c r="H935" s="84" t="str">
        <f t="shared" si="58"/>
        <v>insert into ins_premium_det (premium_rcv_code,assorted_code, rec_amount,premium_rcv_detail_code,remaining_amt, payrec, mode_code,coinsurance_code,class_cd,it_remarks) values('24Sep240082','040000180345','9550',(select max(to_number(i.premium_rcv_detail_code))+1
from ins_premium_det i),'9550','9550','02', '11000003','00','Request by Mr. Omair Ali 25-Sep-2024 allocation no 24Sep240082 ');</v>
      </c>
    </row>
    <row r="936" spans="1:8" ht="105" x14ac:dyDescent="0.25">
      <c r="A936" t="s">
        <v>1048</v>
      </c>
      <c r="B936" s="80" t="str">
        <f>VLOOKUP(A936,[1]Sheet1!$B:$C,2,0)</f>
        <v>040000180348</v>
      </c>
      <c r="C936" s="46">
        <v>8800</v>
      </c>
      <c r="D936" s="81">
        <f t="shared" si="59"/>
        <v>8800</v>
      </c>
      <c r="E936" s="79" t="s">
        <v>2492</v>
      </c>
      <c r="F936" s="82" t="str">
        <f t="shared" si="56"/>
        <v>insert into ins_premium_det (premium_rcv_code,assorted_code, rec_amount,premium_rcv_detail_code,remaining_amt, payrec, mode_code,coinsurance_code,class_cd,it_remarks) values</v>
      </c>
      <c r="G936" s="83" t="str">
        <f t="shared" si="57"/>
        <v>('24Sep240082','040000180348','8800',(select max(to_number(i.premium_rcv_detail_code))+1
from ins_premium_det i),'8800','8800','02', '11000003','00','Request by Mr. Omair Ali 25-Sep-2024 allocation no 24Sep240082 ');</v>
      </c>
      <c r="H936" s="84" t="str">
        <f t="shared" si="58"/>
        <v>insert into ins_premium_det (premium_rcv_code,assorted_code, rec_amount,premium_rcv_detail_code,remaining_amt, payrec, mode_code,coinsurance_code,class_cd,it_remarks) values('24Sep240082','040000180348','8800',(select max(to_number(i.premium_rcv_detail_code))+1
from ins_premium_det i),'8800','8800','02', '11000003','00','Request by Mr. Omair Ali 25-Sep-2024 allocation no 24Sep240082 ');</v>
      </c>
    </row>
    <row r="937" spans="1:8" ht="105" x14ac:dyDescent="0.25">
      <c r="A937" t="s">
        <v>1049</v>
      </c>
      <c r="B937" s="80" t="str">
        <f>VLOOKUP(A937,[1]Sheet1!$B:$C,2,0)</f>
        <v>040000180350</v>
      </c>
      <c r="C937" s="46">
        <v>8800</v>
      </c>
      <c r="D937" s="81">
        <f t="shared" si="59"/>
        <v>8800</v>
      </c>
      <c r="E937" s="79" t="s">
        <v>2492</v>
      </c>
      <c r="F937" s="82" t="str">
        <f t="shared" si="56"/>
        <v>insert into ins_premium_det (premium_rcv_code,assorted_code, rec_amount,premium_rcv_detail_code,remaining_amt, payrec, mode_code,coinsurance_code,class_cd,it_remarks) values</v>
      </c>
      <c r="G937" s="83" t="str">
        <f t="shared" si="57"/>
        <v>('24Sep240082','040000180350','8800',(select max(to_number(i.premium_rcv_detail_code))+1
from ins_premium_det i),'8800','8800','02', '11000003','00','Request by Mr. Omair Ali 25-Sep-2024 allocation no 24Sep240082 ');</v>
      </c>
      <c r="H937" s="84" t="str">
        <f t="shared" si="58"/>
        <v>insert into ins_premium_det (premium_rcv_code,assorted_code, rec_amount,premium_rcv_detail_code,remaining_amt, payrec, mode_code,coinsurance_code,class_cd,it_remarks) values('24Sep240082','040000180350','8800',(select max(to_number(i.premium_rcv_detail_code))+1
from ins_premium_det i),'8800','8800','02', '11000003','00','Request by Mr. Omair Ali 25-Sep-2024 allocation no 24Sep240082 ');</v>
      </c>
    </row>
    <row r="938" spans="1:8" ht="105" x14ac:dyDescent="0.25">
      <c r="A938" t="s">
        <v>1050</v>
      </c>
      <c r="B938" s="80" t="str">
        <f>VLOOKUP(A938,[1]Sheet1!$B:$C,2,0)</f>
        <v>040000180351</v>
      </c>
      <c r="C938" s="46">
        <v>13370</v>
      </c>
      <c r="D938" s="81">
        <f t="shared" si="59"/>
        <v>13370</v>
      </c>
      <c r="E938" s="79" t="s">
        <v>2492</v>
      </c>
      <c r="F938" s="82" t="str">
        <f t="shared" si="56"/>
        <v>insert into ins_premium_det (premium_rcv_code,assorted_code, rec_amount,premium_rcv_detail_code,remaining_amt, payrec, mode_code,coinsurance_code,class_cd,it_remarks) values</v>
      </c>
      <c r="G938" s="83" t="str">
        <f t="shared" si="57"/>
        <v>('24Sep240082','040000180351','13370',(select max(to_number(i.premium_rcv_detail_code))+1
from ins_premium_det i),'13370','13370','02', '11000003','00','Request by Mr. Omair Ali 25-Sep-2024 allocation no 24Sep240082 ');</v>
      </c>
      <c r="H938" s="84" t="str">
        <f t="shared" si="58"/>
        <v>insert into ins_premium_det (premium_rcv_code,assorted_code, rec_amount,premium_rcv_detail_code,remaining_amt, payrec, mode_code,coinsurance_code,class_cd,it_remarks) values('24Sep240082','040000180351','13370',(select max(to_number(i.premium_rcv_detail_code))+1
from ins_premium_det i),'13370','13370','02', '11000003','00','Request by Mr. Omair Ali 25-Sep-2024 allocation no 24Sep240082 ');</v>
      </c>
    </row>
    <row r="939" spans="1:8" ht="105" x14ac:dyDescent="0.25">
      <c r="A939" t="s">
        <v>1051</v>
      </c>
      <c r="B939" s="80" t="str">
        <f>VLOOKUP(A939,[1]Sheet1!$B:$C,2,0)</f>
        <v>040000180372</v>
      </c>
      <c r="C939" s="46">
        <v>12320</v>
      </c>
      <c r="D939" s="81">
        <f t="shared" si="59"/>
        <v>12320</v>
      </c>
      <c r="E939" s="79" t="s">
        <v>2492</v>
      </c>
      <c r="F939" s="82" t="str">
        <f t="shared" si="56"/>
        <v>insert into ins_premium_det (premium_rcv_code,assorted_code, rec_amount,premium_rcv_detail_code,remaining_amt, payrec, mode_code,coinsurance_code,class_cd,it_remarks) values</v>
      </c>
      <c r="G939" s="83" t="str">
        <f t="shared" si="57"/>
        <v>('24Sep240082','040000180372','12320',(select max(to_number(i.premium_rcv_detail_code))+1
from ins_premium_det i),'12320','12320','02', '11000003','00','Request by Mr. Omair Ali 25-Sep-2024 allocation no 24Sep240082 ');</v>
      </c>
      <c r="H939" s="84" t="str">
        <f t="shared" si="58"/>
        <v>insert into ins_premium_det (premium_rcv_code,assorted_code, rec_amount,premium_rcv_detail_code,remaining_amt, payrec, mode_code,coinsurance_code,class_cd,it_remarks) values('24Sep240082','040000180372','12320',(select max(to_number(i.premium_rcv_detail_code))+1
from ins_premium_det i),'12320','12320','02', '11000003','00','Request by Mr. Omair Ali 25-Sep-2024 allocation no 24Sep240082 ');</v>
      </c>
    </row>
    <row r="940" spans="1:8" ht="105" x14ac:dyDescent="0.25">
      <c r="A940" t="s">
        <v>1052</v>
      </c>
      <c r="B940" s="80" t="str">
        <f>VLOOKUP(A940,[1]Sheet1!$B:$C,2,0)</f>
        <v>040000180373</v>
      </c>
      <c r="C940" s="46">
        <v>12320</v>
      </c>
      <c r="D940" s="81">
        <f t="shared" si="59"/>
        <v>12320</v>
      </c>
      <c r="E940" s="79" t="s">
        <v>2492</v>
      </c>
      <c r="F940" s="82" t="str">
        <f t="shared" si="56"/>
        <v>insert into ins_premium_det (premium_rcv_code,assorted_code, rec_amount,premium_rcv_detail_code,remaining_amt, payrec, mode_code,coinsurance_code,class_cd,it_remarks) values</v>
      </c>
      <c r="G940" s="83" t="str">
        <f t="shared" si="57"/>
        <v>('24Sep240082','040000180373','12320',(select max(to_number(i.premium_rcv_detail_code))+1
from ins_premium_det i),'12320','12320','02', '11000003','00','Request by Mr. Omair Ali 25-Sep-2024 allocation no 24Sep240082 ');</v>
      </c>
      <c r="H940" s="84" t="str">
        <f t="shared" si="58"/>
        <v>insert into ins_premium_det (premium_rcv_code,assorted_code, rec_amount,premium_rcv_detail_code,remaining_amt, payrec, mode_code,coinsurance_code,class_cd,it_remarks) values('24Sep240082','040000180373','12320',(select max(to_number(i.premium_rcv_detail_code))+1
from ins_premium_det i),'12320','12320','02', '11000003','00','Request by Mr. Omair Ali 25-Sep-2024 allocation no 24Sep240082 ');</v>
      </c>
    </row>
    <row r="941" spans="1:8" ht="105" x14ac:dyDescent="0.25">
      <c r="A941" t="s">
        <v>1053</v>
      </c>
      <c r="B941" s="80" t="str">
        <f>VLOOKUP(A941,[1]Sheet1!$B:$C,2,0)</f>
        <v>040000180374</v>
      </c>
      <c r="C941" s="46">
        <v>12320</v>
      </c>
      <c r="D941" s="81">
        <f t="shared" si="59"/>
        <v>12320</v>
      </c>
      <c r="E941" s="79" t="s">
        <v>2492</v>
      </c>
      <c r="F941" s="82" t="str">
        <f t="shared" si="56"/>
        <v>insert into ins_premium_det (premium_rcv_code,assorted_code, rec_amount,premium_rcv_detail_code,remaining_amt, payrec, mode_code,coinsurance_code,class_cd,it_remarks) values</v>
      </c>
      <c r="G941" s="83" t="str">
        <f t="shared" si="57"/>
        <v>('24Sep240082','040000180374','12320',(select max(to_number(i.premium_rcv_detail_code))+1
from ins_premium_det i),'12320','12320','02', '11000003','00','Request by Mr. Omair Ali 25-Sep-2024 allocation no 24Sep240082 ');</v>
      </c>
      <c r="H941" s="84" t="str">
        <f t="shared" si="58"/>
        <v>insert into ins_premium_det (premium_rcv_code,assorted_code, rec_amount,premium_rcv_detail_code,remaining_amt, payrec, mode_code,coinsurance_code,class_cd,it_remarks) values('24Sep240082','040000180374','12320',(select max(to_number(i.premium_rcv_detail_code))+1
from ins_premium_det i),'12320','12320','02', '11000003','00','Request by Mr. Omair Ali 25-Sep-2024 allocation no 24Sep240082 ');</v>
      </c>
    </row>
    <row r="942" spans="1:8" ht="105" x14ac:dyDescent="0.25">
      <c r="A942" t="s">
        <v>1054</v>
      </c>
      <c r="B942" s="80" t="str">
        <f>VLOOKUP(A942,[1]Sheet1!$B:$C,2,0)</f>
        <v>040000180376</v>
      </c>
      <c r="C942" s="46">
        <v>12320</v>
      </c>
      <c r="D942" s="81">
        <f t="shared" si="59"/>
        <v>12320</v>
      </c>
      <c r="E942" s="79" t="s">
        <v>2492</v>
      </c>
      <c r="F942" s="82" t="str">
        <f t="shared" si="56"/>
        <v>insert into ins_premium_det (premium_rcv_code,assorted_code, rec_amount,premium_rcv_detail_code,remaining_amt, payrec, mode_code,coinsurance_code,class_cd,it_remarks) values</v>
      </c>
      <c r="G942" s="83" t="str">
        <f t="shared" si="57"/>
        <v>('24Sep240082','040000180376','12320',(select max(to_number(i.premium_rcv_detail_code))+1
from ins_premium_det i),'12320','12320','02', '11000003','00','Request by Mr. Omair Ali 25-Sep-2024 allocation no 24Sep240082 ');</v>
      </c>
      <c r="H942" s="84" t="str">
        <f t="shared" si="58"/>
        <v>insert into ins_premium_det (premium_rcv_code,assorted_code, rec_amount,premium_rcv_detail_code,remaining_amt, payrec, mode_code,coinsurance_code,class_cd,it_remarks) values('24Sep240082','040000180376','12320',(select max(to_number(i.premium_rcv_detail_code))+1
from ins_premium_det i),'12320','12320','02', '11000003','00','Request by Mr. Omair Ali 25-Sep-2024 allocation no 24Sep240082 ');</v>
      </c>
    </row>
    <row r="943" spans="1:8" ht="105" x14ac:dyDescent="0.25">
      <c r="A943" t="s">
        <v>1055</v>
      </c>
      <c r="B943" s="80" t="str">
        <f>VLOOKUP(A943,[1]Sheet1!$B:$C,2,0)</f>
        <v>040000180377</v>
      </c>
      <c r="C943" s="46">
        <v>13370</v>
      </c>
      <c r="D943" s="81">
        <f t="shared" si="59"/>
        <v>13370</v>
      </c>
      <c r="E943" s="79" t="s">
        <v>2492</v>
      </c>
      <c r="F943" s="82" t="str">
        <f t="shared" si="56"/>
        <v>insert into ins_premium_det (premium_rcv_code,assorted_code, rec_amount,premium_rcv_detail_code,remaining_amt, payrec, mode_code,coinsurance_code,class_cd,it_remarks) values</v>
      </c>
      <c r="G943" s="83" t="str">
        <f t="shared" si="57"/>
        <v>('24Sep240082','040000180377','13370',(select max(to_number(i.premium_rcv_detail_code))+1
from ins_premium_det i),'13370','13370','02', '11000003','00','Request by Mr. Omair Ali 25-Sep-2024 allocation no 24Sep240082 ');</v>
      </c>
      <c r="H943" s="84" t="str">
        <f t="shared" si="58"/>
        <v>insert into ins_premium_det (premium_rcv_code,assorted_code, rec_amount,premium_rcv_detail_code,remaining_amt, payrec, mode_code,coinsurance_code,class_cd,it_remarks) values('24Sep240082','040000180377','13370',(select max(to_number(i.premium_rcv_detail_code))+1
from ins_premium_det i),'13370','13370','02', '11000003','00','Request by Mr. Omair Ali 25-Sep-2024 allocation no 24Sep240082 ');</v>
      </c>
    </row>
    <row r="944" spans="1:8" ht="105" x14ac:dyDescent="0.25">
      <c r="A944" t="s">
        <v>1056</v>
      </c>
      <c r="B944" s="80" t="str">
        <f>VLOOKUP(A944,[1]Sheet1!$B:$C,2,0)</f>
        <v>040000180378</v>
      </c>
      <c r="C944" s="46">
        <v>13370</v>
      </c>
      <c r="D944" s="81">
        <f t="shared" si="59"/>
        <v>13370</v>
      </c>
      <c r="E944" s="79" t="s">
        <v>2492</v>
      </c>
      <c r="F944" s="82" t="str">
        <f t="shared" si="56"/>
        <v>insert into ins_premium_det (premium_rcv_code,assorted_code, rec_amount,premium_rcv_detail_code,remaining_amt, payrec, mode_code,coinsurance_code,class_cd,it_remarks) values</v>
      </c>
      <c r="G944" s="83" t="str">
        <f t="shared" si="57"/>
        <v>('24Sep240082','040000180378','13370',(select max(to_number(i.premium_rcv_detail_code))+1
from ins_premium_det i),'13370','13370','02', '11000003','00','Request by Mr. Omair Ali 25-Sep-2024 allocation no 24Sep240082 ');</v>
      </c>
      <c r="H944" s="84" t="str">
        <f t="shared" si="58"/>
        <v>insert into ins_premium_det (premium_rcv_code,assorted_code, rec_amount,premium_rcv_detail_code,remaining_amt, payrec, mode_code,coinsurance_code,class_cd,it_remarks) values('24Sep240082','040000180378','13370',(select max(to_number(i.premium_rcv_detail_code))+1
from ins_premium_det i),'13370','13370','02', '11000003','00','Request by Mr. Omair Ali 25-Sep-2024 allocation no 24Sep240082 ');</v>
      </c>
    </row>
    <row r="945" spans="1:8" ht="105" x14ac:dyDescent="0.25">
      <c r="A945" t="s">
        <v>1057</v>
      </c>
      <c r="B945" s="80" t="str">
        <f>VLOOKUP(A945,[1]Sheet1!$B:$C,2,0)</f>
        <v>040000180456</v>
      </c>
      <c r="C945" s="46">
        <v>19145</v>
      </c>
      <c r="D945" s="81">
        <f t="shared" si="59"/>
        <v>19145</v>
      </c>
      <c r="E945" s="79" t="s">
        <v>2492</v>
      </c>
      <c r="F945" s="82" t="str">
        <f t="shared" si="56"/>
        <v>insert into ins_premium_det (premium_rcv_code,assorted_code, rec_amount,premium_rcv_detail_code,remaining_amt, payrec, mode_code,coinsurance_code,class_cd,it_remarks) values</v>
      </c>
      <c r="G945" s="83" t="str">
        <f t="shared" si="57"/>
        <v>('24Sep240082','040000180456','19145',(select max(to_number(i.premium_rcv_detail_code))+1
from ins_premium_det i),'19145','19145','02', '11000003','00','Request by Mr. Omair Ali 25-Sep-2024 allocation no 24Sep240082 ');</v>
      </c>
      <c r="H945" s="84" t="str">
        <f t="shared" si="58"/>
        <v>insert into ins_premium_det (premium_rcv_code,assorted_code, rec_amount,premium_rcv_detail_code,remaining_amt, payrec, mode_code,coinsurance_code,class_cd,it_remarks) values('24Sep240082','040000180456','19145',(select max(to_number(i.premium_rcv_detail_code))+1
from ins_premium_det i),'19145','19145','02', '11000003','00','Request by Mr. Omair Ali 25-Sep-2024 allocation no 24Sep240082 ');</v>
      </c>
    </row>
    <row r="946" spans="1:8" ht="105" x14ac:dyDescent="0.25">
      <c r="A946" t="s">
        <v>1058</v>
      </c>
      <c r="B946" s="80" t="str">
        <f>VLOOKUP(A946,[1]Sheet1!$B:$C,2,0)</f>
        <v>040000180462</v>
      </c>
      <c r="C946" s="46">
        <v>12320</v>
      </c>
      <c r="D946" s="81">
        <f t="shared" si="59"/>
        <v>12320</v>
      </c>
      <c r="E946" s="79" t="s">
        <v>2492</v>
      </c>
      <c r="F946" s="82" t="str">
        <f t="shared" si="56"/>
        <v>insert into ins_premium_det (premium_rcv_code,assorted_code, rec_amount,premium_rcv_detail_code,remaining_amt, payrec, mode_code,coinsurance_code,class_cd,it_remarks) values</v>
      </c>
      <c r="G946" s="83" t="str">
        <f t="shared" si="57"/>
        <v>('24Sep240082','040000180462','12320',(select max(to_number(i.premium_rcv_detail_code))+1
from ins_premium_det i),'12320','12320','02', '11000003','00','Request by Mr. Omair Ali 25-Sep-2024 allocation no 24Sep240082 ');</v>
      </c>
      <c r="H946" s="84" t="str">
        <f t="shared" si="58"/>
        <v>insert into ins_premium_det (premium_rcv_code,assorted_code, rec_amount,premium_rcv_detail_code,remaining_amt, payrec, mode_code,coinsurance_code,class_cd,it_remarks) values('24Sep240082','040000180462','12320',(select max(to_number(i.premium_rcv_detail_code))+1
from ins_premium_det i),'12320','12320','02', '11000003','00','Request by Mr. Omair Ali 25-Sep-2024 allocation no 24Sep240082 ');</v>
      </c>
    </row>
    <row r="947" spans="1:8" ht="105" x14ac:dyDescent="0.25">
      <c r="A947" t="s">
        <v>1059</v>
      </c>
      <c r="B947" s="80" t="str">
        <f>VLOOKUP(A947,[1]Sheet1!$B:$C,2,0)</f>
        <v>040000180466</v>
      </c>
      <c r="C947" s="46">
        <v>12320</v>
      </c>
      <c r="D947" s="81">
        <f t="shared" si="59"/>
        <v>12320</v>
      </c>
      <c r="E947" s="79" t="s">
        <v>2492</v>
      </c>
      <c r="F947" s="82" t="str">
        <f t="shared" si="56"/>
        <v>insert into ins_premium_det (premium_rcv_code,assorted_code, rec_amount,premium_rcv_detail_code,remaining_amt, payrec, mode_code,coinsurance_code,class_cd,it_remarks) values</v>
      </c>
      <c r="G947" s="83" t="str">
        <f t="shared" si="57"/>
        <v>('24Sep240082','040000180466','12320',(select max(to_number(i.premium_rcv_detail_code))+1
from ins_premium_det i),'12320','12320','02', '11000003','00','Request by Mr. Omair Ali 25-Sep-2024 allocation no 24Sep240082 ');</v>
      </c>
      <c r="H947" s="84" t="str">
        <f t="shared" si="58"/>
        <v>insert into ins_premium_det (premium_rcv_code,assorted_code, rec_amount,premium_rcv_detail_code,remaining_amt, payrec, mode_code,coinsurance_code,class_cd,it_remarks) values('24Sep240082','040000180466','12320',(select max(to_number(i.premium_rcv_detail_code))+1
from ins_premium_det i),'12320','12320','02', '11000003','00','Request by Mr. Omair Ali 25-Sep-2024 allocation no 24Sep240082 ');</v>
      </c>
    </row>
    <row r="948" spans="1:8" ht="105" x14ac:dyDescent="0.25">
      <c r="A948" t="s">
        <v>1060</v>
      </c>
      <c r="B948" s="80" t="str">
        <f>VLOOKUP(A948,[1]Sheet1!$B:$C,2,0)</f>
        <v>040000180474</v>
      </c>
      <c r="C948" s="46">
        <v>13370</v>
      </c>
      <c r="D948" s="81">
        <f t="shared" si="59"/>
        <v>13370</v>
      </c>
      <c r="E948" s="79" t="s">
        <v>2492</v>
      </c>
      <c r="F948" s="82" t="str">
        <f t="shared" si="56"/>
        <v>insert into ins_premium_det (premium_rcv_code,assorted_code, rec_amount,premium_rcv_detail_code,remaining_amt, payrec, mode_code,coinsurance_code,class_cd,it_remarks) values</v>
      </c>
      <c r="G948" s="83" t="str">
        <f t="shared" si="57"/>
        <v>('24Sep240082','040000180474','13370',(select max(to_number(i.premium_rcv_detail_code))+1
from ins_premium_det i),'13370','13370','02', '11000003','00','Request by Mr. Omair Ali 25-Sep-2024 allocation no 24Sep240082 ');</v>
      </c>
      <c r="H948" s="84" t="str">
        <f t="shared" si="58"/>
        <v>insert into ins_premium_det (premium_rcv_code,assorted_code, rec_amount,premium_rcv_detail_code,remaining_amt, payrec, mode_code,coinsurance_code,class_cd,it_remarks) values('24Sep240082','040000180474','13370',(select max(to_number(i.premium_rcv_detail_code))+1
from ins_premium_det i),'13370','13370','02', '11000003','00','Request by Mr. Omair Ali 25-Sep-2024 allocation no 24Sep240082 ');</v>
      </c>
    </row>
    <row r="949" spans="1:8" ht="105" x14ac:dyDescent="0.25">
      <c r="A949" t="s">
        <v>1061</v>
      </c>
      <c r="B949" s="80" t="str">
        <f>VLOOKUP(A949,[1]Sheet1!$B:$C,2,0)</f>
        <v>040000180477</v>
      </c>
      <c r="C949" s="46">
        <v>13370</v>
      </c>
      <c r="D949" s="81">
        <f t="shared" si="59"/>
        <v>13370</v>
      </c>
      <c r="E949" s="79" t="s">
        <v>2492</v>
      </c>
      <c r="F949" s="82" t="str">
        <f t="shared" si="56"/>
        <v>insert into ins_premium_det (premium_rcv_code,assorted_code, rec_amount,premium_rcv_detail_code,remaining_amt, payrec, mode_code,coinsurance_code,class_cd,it_remarks) values</v>
      </c>
      <c r="G949" s="83" t="str">
        <f t="shared" si="57"/>
        <v>('24Sep240082','040000180477','13370',(select max(to_number(i.premium_rcv_detail_code))+1
from ins_premium_det i),'13370','13370','02', '11000003','00','Request by Mr. Omair Ali 25-Sep-2024 allocation no 24Sep240082 ');</v>
      </c>
      <c r="H949" s="84" t="str">
        <f t="shared" si="58"/>
        <v>insert into ins_premium_det (premium_rcv_code,assorted_code, rec_amount,premium_rcv_detail_code,remaining_amt, payrec, mode_code,coinsurance_code,class_cd,it_remarks) values('24Sep240082','040000180477','13370',(select max(to_number(i.premium_rcv_detail_code))+1
from ins_premium_det i),'13370','13370','02', '11000003','00','Request by Mr. Omair Ali 25-Sep-2024 allocation no 24Sep240082 ');</v>
      </c>
    </row>
    <row r="950" spans="1:8" ht="105" x14ac:dyDescent="0.25">
      <c r="A950" t="s">
        <v>1062</v>
      </c>
      <c r="B950" s="80" t="str">
        <f>VLOOKUP(A950,[1]Sheet1!$B:$C,2,0)</f>
        <v>040000180487</v>
      </c>
      <c r="C950" s="46">
        <v>12320</v>
      </c>
      <c r="D950" s="81">
        <f t="shared" si="59"/>
        <v>12320</v>
      </c>
      <c r="E950" s="79" t="s">
        <v>2492</v>
      </c>
      <c r="F950" s="82" t="str">
        <f t="shared" si="56"/>
        <v>insert into ins_premium_det (premium_rcv_code,assorted_code, rec_amount,premium_rcv_detail_code,remaining_amt, payrec, mode_code,coinsurance_code,class_cd,it_remarks) values</v>
      </c>
      <c r="G950" s="83" t="str">
        <f t="shared" si="57"/>
        <v>('24Sep240082','040000180487','12320',(select max(to_number(i.premium_rcv_detail_code))+1
from ins_premium_det i),'12320','12320','02', '11000003','00','Request by Mr. Omair Ali 25-Sep-2024 allocation no 24Sep240082 ');</v>
      </c>
      <c r="H950" s="84" t="str">
        <f t="shared" si="58"/>
        <v>insert into ins_premium_det (premium_rcv_code,assorted_code, rec_amount,premium_rcv_detail_code,remaining_amt, payrec, mode_code,coinsurance_code,class_cd,it_remarks) values('24Sep240082','040000180487','12320',(select max(to_number(i.premium_rcv_detail_code))+1
from ins_premium_det i),'12320','12320','02', '11000003','00','Request by Mr. Omair Ali 25-Sep-2024 allocation no 24Sep240082 ');</v>
      </c>
    </row>
    <row r="951" spans="1:8" ht="105" x14ac:dyDescent="0.25">
      <c r="A951" t="s">
        <v>1063</v>
      </c>
      <c r="B951" s="80" t="str">
        <f>VLOOKUP(A951,[1]Sheet1!$B:$C,2,0)</f>
        <v>040000180492</v>
      </c>
      <c r="C951" s="46">
        <v>13370</v>
      </c>
      <c r="D951" s="81">
        <f t="shared" si="59"/>
        <v>13370</v>
      </c>
      <c r="E951" s="79" t="s">
        <v>2492</v>
      </c>
      <c r="F951" s="82" t="str">
        <f t="shared" si="56"/>
        <v>insert into ins_premium_det (premium_rcv_code,assorted_code, rec_amount,premium_rcv_detail_code,remaining_amt, payrec, mode_code,coinsurance_code,class_cd,it_remarks) values</v>
      </c>
      <c r="G951" s="83" t="str">
        <f t="shared" si="57"/>
        <v>('24Sep240082','040000180492','13370',(select max(to_number(i.premium_rcv_detail_code))+1
from ins_premium_det i),'13370','13370','02', '11000003','00','Request by Mr. Omair Ali 25-Sep-2024 allocation no 24Sep240082 ');</v>
      </c>
      <c r="H951" s="84" t="str">
        <f t="shared" si="58"/>
        <v>insert into ins_premium_det (premium_rcv_code,assorted_code, rec_amount,premium_rcv_detail_code,remaining_amt, payrec, mode_code,coinsurance_code,class_cd,it_remarks) values('24Sep240082','040000180492','13370',(select max(to_number(i.premium_rcv_detail_code))+1
from ins_premium_det i),'13370','13370','02', '11000003','00','Request by Mr. Omair Ali 25-Sep-2024 allocation no 24Sep240082 ');</v>
      </c>
    </row>
    <row r="952" spans="1:8" ht="105" x14ac:dyDescent="0.25">
      <c r="A952" t="s">
        <v>1064</v>
      </c>
      <c r="B952" s="80" t="str">
        <f>VLOOKUP(A952,[1]Sheet1!$B:$C,2,0)</f>
        <v>040000180494</v>
      </c>
      <c r="C952" s="46">
        <v>12320</v>
      </c>
      <c r="D952" s="81">
        <f t="shared" si="59"/>
        <v>12320</v>
      </c>
      <c r="E952" s="79" t="s">
        <v>2492</v>
      </c>
      <c r="F952" s="82" t="str">
        <f t="shared" si="56"/>
        <v>insert into ins_premium_det (premium_rcv_code,assorted_code, rec_amount,premium_rcv_detail_code,remaining_amt, payrec, mode_code,coinsurance_code,class_cd,it_remarks) values</v>
      </c>
      <c r="G952" s="83" t="str">
        <f t="shared" si="57"/>
        <v>('24Sep240082','040000180494','12320',(select max(to_number(i.premium_rcv_detail_code))+1
from ins_premium_det i),'12320','12320','02', '11000003','00','Request by Mr. Omair Ali 25-Sep-2024 allocation no 24Sep240082 ');</v>
      </c>
      <c r="H952" s="84" t="str">
        <f t="shared" si="58"/>
        <v>insert into ins_premium_det (premium_rcv_code,assorted_code, rec_amount,premium_rcv_detail_code,remaining_amt, payrec, mode_code,coinsurance_code,class_cd,it_remarks) values('24Sep240082','040000180494','12320',(select max(to_number(i.premium_rcv_detail_code))+1
from ins_premium_det i),'12320','12320','02', '11000003','00','Request by Mr. Omair Ali 25-Sep-2024 allocation no 24Sep240082 ');</v>
      </c>
    </row>
    <row r="953" spans="1:8" ht="105" x14ac:dyDescent="0.25">
      <c r="A953" t="s">
        <v>1065</v>
      </c>
      <c r="B953" s="80" t="str">
        <f>VLOOKUP(A953,[1]Sheet1!$B:$C,2,0)</f>
        <v>040000180498</v>
      </c>
      <c r="C953" s="46">
        <v>19145</v>
      </c>
      <c r="D953" s="81">
        <f t="shared" si="59"/>
        <v>19145</v>
      </c>
      <c r="E953" s="79" t="s">
        <v>2492</v>
      </c>
      <c r="F953" s="82" t="str">
        <f t="shared" si="56"/>
        <v>insert into ins_premium_det (premium_rcv_code,assorted_code, rec_amount,premium_rcv_detail_code,remaining_amt, payrec, mode_code,coinsurance_code,class_cd,it_remarks) values</v>
      </c>
      <c r="G953" s="83" t="str">
        <f t="shared" si="57"/>
        <v>('24Sep240082','040000180498','19145',(select max(to_number(i.premium_rcv_detail_code))+1
from ins_premium_det i),'19145','19145','02', '11000003','00','Request by Mr. Omair Ali 25-Sep-2024 allocation no 24Sep240082 ');</v>
      </c>
      <c r="H953" s="84" t="str">
        <f t="shared" si="58"/>
        <v>insert into ins_premium_det (premium_rcv_code,assorted_code, rec_amount,premium_rcv_detail_code,remaining_amt, payrec, mode_code,coinsurance_code,class_cd,it_remarks) values('24Sep240082','040000180498','19145',(select max(to_number(i.premium_rcv_detail_code))+1
from ins_premium_det i),'19145','19145','02', '11000003','00','Request by Mr. Omair Ali 25-Sep-2024 allocation no 24Sep240082 ');</v>
      </c>
    </row>
    <row r="954" spans="1:8" ht="105" x14ac:dyDescent="0.25">
      <c r="A954" t="s">
        <v>1066</v>
      </c>
      <c r="B954" s="80" t="str">
        <f>VLOOKUP(A954,[1]Sheet1!$B:$C,2,0)</f>
        <v>040000180499</v>
      </c>
      <c r="C954" s="46">
        <v>19145</v>
      </c>
      <c r="D954" s="81">
        <f t="shared" si="59"/>
        <v>19145</v>
      </c>
      <c r="E954" s="79" t="s">
        <v>2492</v>
      </c>
      <c r="F954" s="82" t="str">
        <f t="shared" si="56"/>
        <v>insert into ins_premium_det (premium_rcv_code,assorted_code, rec_amount,premium_rcv_detail_code,remaining_amt, payrec, mode_code,coinsurance_code,class_cd,it_remarks) values</v>
      </c>
      <c r="G954" s="83" t="str">
        <f t="shared" si="57"/>
        <v>('24Sep240082','040000180499','19145',(select max(to_number(i.premium_rcv_detail_code))+1
from ins_premium_det i),'19145','19145','02', '11000003','00','Request by Mr. Omair Ali 25-Sep-2024 allocation no 24Sep240082 ');</v>
      </c>
      <c r="H954" s="84" t="str">
        <f t="shared" si="58"/>
        <v>insert into ins_premium_det (premium_rcv_code,assorted_code, rec_amount,premium_rcv_detail_code,remaining_amt, payrec, mode_code,coinsurance_code,class_cd,it_remarks) values('24Sep240082','040000180499','19145',(select max(to_number(i.premium_rcv_detail_code))+1
from ins_premium_det i),'19145','19145','02', '11000003','00','Request by Mr. Omair Ali 25-Sep-2024 allocation no 24Sep240082 ');</v>
      </c>
    </row>
    <row r="955" spans="1:8" ht="105" x14ac:dyDescent="0.25">
      <c r="A955" t="s">
        <v>1067</v>
      </c>
      <c r="B955" s="80" t="str">
        <f>VLOOKUP(A955,[1]Sheet1!$B:$C,2,0)</f>
        <v>040000180503</v>
      </c>
      <c r="C955" s="46">
        <v>13370</v>
      </c>
      <c r="D955" s="81">
        <f t="shared" si="59"/>
        <v>13370</v>
      </c>
      <c r="E955" s="79" t="s">
        <v>2492</v>
      </c>
      <c r="F955" s="82" t="str">
        <f t="shared" si="56"/>
        <v>insert into ins_premium_det (premium_rcv_code,assorted_code, rec_amount,premium_rcv_detail_code,remaining_amt, payrec, mode_code,coinsurance_code,class_cd,it_remarks) values</v>
      </c>
      <c r="G955" s="83" t="str">
        <f t="shared" si="57"/>
        <v>('24Sep240082','040000180503','13370',(select max(to_number(i.premium_rcv_detail_code))+1
from ins_premium_det i),'13370','13370','02', '11000003','00','Request by Mr. Omair Ali 25-Sep-2024 allocation no 24Sep240082 ');</v>
      </c>
      <c r="H955" s="84" t="str">
        <f t="shared" si="58"/>
        <v>insert into ins_premium_det (premium_rcv_code,assorted_code, rec_amount,premium_rcv_detail_code,remaining_amt, payrec, mode_code,coinsurance_code,class_cd,it_remarks) values('24Sep240082','040000180503','13370',(select max(to_number(i.premium_rcv_detail_code))+1
from ins_premium_det i),'13370','13370','02', '11000003','00','Request by Mr. Omair Ali 25-Sep-2024 allocation no 24Sep240082 ');</v>
      </c>
    </row>
    <row r="956" spans="1:8" ht="105" x14ac:dyDescent="0.25">
      <c r="A956" t="s">
        <v>1068</v>
      </c>
      <c r="B956" s="80" t="str">
        <f>VLOOKUP(A956,[1]Sheet1!$B:$C,2,0)</f>
        <v>040000180504</v>
      </c>
      <c r="C956" s="46">
        <v>13370</v>
      </c>
      <c r="D956" s="81">
        <f t="shared" si="59"/>
        <v>13370</v>
      </c>
      <c r="E956" s="79" t="s">
        <v>2492</v>
      </c>
      <c r="F956" s="82" t="str">
        <f t="shared" si="56"/>
        <v>insert into ins_premium_det (premium_rcv_code,assorted_code, rec_amount,premium_rcv_detail_code,remaining_amt, payrec, mode_code,coinsurance_code,class_cd,it_remarks) values</v>
      </c>
      <c r="G956" s="83" t="str">
        <f t="shared" si="57"/>
        <v>('24Sep240082','040000180504','13370',(select max(to_number(i.premium_rcv_detail_code))+1
from ins_premium_det i),'13370','13370','02', '11000003','00','Request by Mr. Omair Ali 25-Sep-2024 allocation no 24Sep240082 ');</v>
      </c>
      <c r="H956" s="84" t="str">
        <f t="shared" si="58"/>
        <v>insert into ins_premium_det (premium_rcv_code,assorted_code, rec_amount,premium_rcv_detail_code,remaining_amt, payrec, mode_code,coinsurance_code,class_cd,it_remarks) values('24Sep240082','040000180504','13370',(select max(to_number(i.premium_rcv_detail_code))+1
from ins_premium_det i),'13370','13370','02', '11000003','00','Request by Mr. Omair Ali 25-Sep-2024 allocation no 24Sep240082 ');</v>
      </c>
    </row>
    <row r="957" spans="1:8" ht="105" x14ac:dyDescent="0.25">
      <c r="A957" t="s">
        <v>1069</v>
      </c>
      <c r="B957" s="80" t="str">
        <f>VLOOKUP(A957,[1]Sheet1!$B:$C,2,0)</f>
        <v>040000180511</v>
      </c>
      <c r="C957" s="46">
        <v>12320</v>
      </c>
      <c r="D957" s="81">
        <f t="shared" si="59"/>
        <v>12320</v>
      </c>
      <c r="E957" s="79" t="s">
        <v>2492</v>
      </c>
      <c r="F957" s="82" t="str">
        <f t="shared" si="56"/>
        <v>insert into ins_premium_det (premium_rcv_code,assorted_code, rec_amount,premium_rcv_detail_code,remaining_amt, payrec, mode_code,coinsurance_code,class_cd,it_remarks) values</v>
      </c>
      <c r="G957" s="83" t="str">
        <f t="shared" si="57"/>
        <v>('24Sep240082','040000180511','12320',(select max(to_number(i.premium_rcv_detail_code))+1
from ins_premium_det i),'12320','12320','02', '11000003','00','Request by Mr. Omair Ali 25-Sep-2024 allocation no 24Sep240082 ');</v>
      </c>
      <c r="H957" s="84" t="str">
        <f t="shared" si="58"/>
        <v>insert into ins_premium_det (premium_rcv_code,assorted_code, rec_amount,premium_rcv_detail_code,remaining_amt, payrec, mode_code,coinsurance_code,class_cd,it_remarks) values('24Sep240082','040000180511','12320',(select max(to_number(i.premium_rcv_detail_code))+1
from ins_premium_det i),'12320','12320','02', '11000003','00','Request by Mr. Omair Ali 25-Sep-2024 allocation no 24Sep240082 ');</v>
      </c>
    </row>
    <row r="958" spans="1:8" ht="105" x14ac:dyDescent="0.25">
      <c r="A958" t="s">
        <v>1070</v>
      </c>
      <c r="B958" s="80" t="str">
        <f>VLOOKUP(A958,[1]Sheet1!$B:$C,2,0)</f>
        <v>040000180512</v>
      </c>
      <c r="C958" s="46">
        <v>12320</v>
      </c>
      <c r="D958" s="81">
        <f t="shared" si="59"/>
        <v>12320</v>
      </c>
      <c r="E958" s="79" t="s">
        <v>2492</v>
      </c>
      <c r="F958" s="82" t="str">
        <f t="shared" si="56"/>
        <v>insert into ins_premium_det (premium_rcv_code,assorted_code, rec_amount,premium_rcv_detail_code,remaining_amt, payrec, mode_code,coinsurance_code,class_cd,it_remarks) values</v>
      </c>
      <c r="G958" s="83" t="str">
        <f t="shared" si="57"/>
        <v>('24Sep240082','040000180512','12320',(select max(to_number(i.premium_rcv_detail_code))+1
from ins_premium_det i),'12320','12320','02', '11000003','00','Request by Mr. Omair Ali 25-Sep-2024 allocation no 24Sep240082 ');</v>
      </c>
      <c r="H958" s="84" t="str">
        <f t="shared" si="58"/>
        <v>insert into ins_premium_det (premium_rcv_code,assorted_code, rec_amount,premium_rcv_detail_code,remaining_amt, payrec, mode_code,coinsurance_code,class_cd,it_remarks) values('24Sep240082','040000180512','12320',(select max(to_number(i.premium_rcv_detail_code))+1
from ins_premium_det i),'12320','12320','02', '11000003','00','Request by Mr. Omair Ali 25-Sep-2024 allocation no 24Sep240082 ');</v>
      </c>
    </row>
    <row r="959" spans="1:8" ht="105" x14ac:dyDescent="0.25">
      <c r="A959" t="s">
        <v>2484</v>
      </c>
      <c r="B959" s="80" t="str">
        <f>VLOOKUP(A959,[1]Sheet1!$B:$C,2,0)</f>
        <v>040000179263</v>
      </c>
      <c r="C959" s="46">
        <v>8800</v>
      </c>
      <c r="D959" s="81">
        <f t="shared" si="59"/>
        <v>8800</v>
      </c>
      <c r="E959" s="79" t="s">
        <v>2492</v>
      </c>
      <c r="F959" s="82" t="str">
        <f t="shared" si="56"/>
        <v>insert into ins_premium_det (premium_rcv_code,assorted_code, rec_amount,premium_rcv_detail_code,remaining_amt, payrec, mode_code,coinsurance_code,class_cd,it_remarks) values</v>
      </c>
      <c r="G959" s="83" t="str">
        <f t="shared" si="57"/>
        <v>('24Sep240082','040000179263','8800',(select max(to_number(i.premium_rcv_detail_code))+1
from ins_premium_det i),'8800','8800','02', '11000003','00','Request by Mr. Omair Ali 25-Sep-2024 allocation no 24Sep240082 ');</v>
      </c>
      <c r="H959" s="84" t="str">
        <f t="shared" si="58"/>
        <v>insert into ins_premium_det (premium_rcv_code,assorted_code, rec_amount,premium_rcv_detail_code,remaining_amt, payrec, mode_code,coinsurance_code,class_cd,it_remarks) values('24Sep240082','040000179263','8800',(select max(to_number(i.premium_rcv_detail_code))+1
from ins_premium_det i),'8800','8800','02', '11000003','00','Request by Mr. Omair Ali 25-Sep-2024 allocation no 24Sep240082 ');</v>
      </c>
    </row>
    <row r="960" spans="1:8" x14ac:dyDescent="0.25">
      <c r="C960" s="85">
        <f>SUM(C2:C959)</f>
        <v>11475480</v>
      </c>
    </row>
  </sheetData>
  <conditionalFormatting sqref="A1">
    <cfRule type="duplicateValues" dxfId="10" priority="3"/>
  </conditionalFormatting>
  <conditionalFormatting sqref="A1:A1048576">
    <cfRule type="duplicateValues" dxfId="9" priority="2"/>
  </conditionalFormatting>
  <conditionalFormatting sqref="A2:B2 B3:B959">
    <cfRule type="duplicateValues" dxfId="8" priority="588"/>
    <cfRule type="duplicateValues" dxfId="7" priority="589"/>
    <cfRule type="duplicateValues" dxfId="6" priority="590"/>
  </conditionalFormatting>
  <conditionalFormatting sqref="B2:B959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91E3-0E74-4ABF-8577-FF9D3F159B06}">
  <dimension ref="A1:E960"/>
  <sheetViews>
    <sheetView workbookViewId="0">
      <selection activeCell="H16" sqref="H16"/>
    </sheetView>
  </sheetViews>
  <sheetFormatPr defaultRowHeight="15" x14ac:dyDescent="0.25"/>
  <cols>
    <col min="1" max="1" width="39.85546875" bestFit="1" customWidth="1"/>
    <col min="5" max="5" width="40.5703125" bestFit="1" customWidth="1"/>
  </cols>
  <sheetData>
    <row r="1" spans="1:5" x14ac:dyDescent="0.25">
      <c r="A1" t="s">
        <v>114</v>
      </c>
      <c r="B1" t="s">
        <v>2487</v>
      </c>
      <c r="D1">
        <v>92057</v>
      </c>
      <c r="E1" t="str">
        <f>"ia.assorted_string like '%"&amp;D1&amp;B1&amp;"%' or"</f>
        <v>ia.assorted_string like '%92057-07-2024%' or</v>
      </c>
    </row>
    <row r="2" spans="1:5" x14ac:dyDescent="0.25">
      <c r="A2" t="s">
        <v>115</v>
      </c>
      <c r="B2" t="s">
        <v>2487</v>
      </c>
      <c r="D2">
        <v>92058</v>
      </c>
      <c r="E2" t="str">
        <f t="shared" ref="E2:E65" si="0">"ia.assorted_string like '%"&amp;D2&amp;B2&amp;"%' or"</f>
        <v>ia.assorted_string like '%92058-07-2024%' or</v>
      </c>
    </row>
    <row r="3" spans="1:5" x14ac:dyDescent="0.25">
      <c r="A3" t="s">
        <v>116</v>
      </c>
      <c r="B3" t="s">
        <v>2487</v>
      </c>
      <c r="D3">
        <v>92068</v>
      </c>
      <c r="E3" t="str">
        <f t="shared" si="0"/>
        <v>ia.assorted_string like '%92068-07-2024%' or</v>
      </c>
    </row>
    <row r="4" spans="1:5" x14ac:dyDescent="0.25">
      <c r="A4" t="s">
        <v>117</v>
      </c>
      <c r="B4" t="s">
        <v>2487</v>
      </c>
      <c r="D4">
        <v>92069</v>
      </c>
      <c r="E4" t="str">
        <f t="shared" si="0"/>
        <v>ia.assorted_string like '%92069-07-2024%' or</v>
      </c>
    </row>
    <row r="5" spans="1:5" x14ac:dyDescent="0.25">
      <c r="A5" t="s">
        <v>118</v>
      </c>
      <c r="B5" t="s">
        <v>2487</v>
      </c>
      <c r="D5">
        <v>92074</v>
      </c>
      <c r="E5" t="str">
        <f t="shared" si="0"/>
        <v>ia.assorted_string like '%92074-07-2024%' or</v>
      </c>
    </row>
    <row r="6" spans="1:5" x14ac:dyDescent="0.25">
      <c r="A6" t="s">
        <v>119</v>
      </c>
      <c r="B6" t="s">
        <v>2487</v>
      </c>
      <c r="D6">
        <v>92075</v>
      </c>
      <c r="E6" t="str">
        <f t="shared" si="0"/>
        <v>ia.assorted_string like '%92075-07-2024%' or</v>
      </c>
    </row>
    <row r="7" spans="1:5" x14ac:dyDescent="0.25">
      <c r="A7" t="s">
        <v>120</v>
      </c>
      <c r="B7" t="s">
        <v>2487</v>
      </c>
      <c r="D7">
        <v>92077</v>
      </c>
      <c r="E7" t="str">
        <f t="shared" si="0"/>
        <v>ia.assorted_string like '%92077-07-2024%' or</v>
      </c>
    </row>
    <row r="8" spans="1:5" x14ac:dyDescent="0.25">
      <c r="A8" t="s">
        <v>121</v>
      </c>
      <c r="B8" t="s">
        <v>2487</v>
      </c>
      <c r="D8">
        <v>92078</v>
      </c>
      <c r="E8" t="str">
        <f t="shared" si="0"/>
        <v>ia.assorted_string like '%92078-07-2024%' or</v>
      </c>
    </row>
    <row r="9" spans="1:5" x14ac:dyDescent="0.25">
      <c r="A9" t="s">
        <v>122</v>
      </c>
      <c r="B9" t="s">
        <v>2487</v>
      </c>
      <c r="D9">
        <v>92080</v>
      </c>
      <c r="E9" t="str">
        <f t="shared" si="0"/>
        <v>ia.assorted_string like '%92080-07-2024%' or</v>
      </c>
    </row>
    <row r="10" spans="1:5" x14ac:dyDescent="0.25">
      <c r="A10" t="s">
        <v>123</v>
      </c>
      <c r="B10" t="s">
        <v>2487</v>
      </c>
      <c r="D10">
        <v>92081</v>
      </c>
      <c r="E10" t="str">
        <f t="shared" si="0"/>
        <v>ia.assorted_string like '%92081-07-2024%' or</v>
      </c>
    </row>
    <row r="11" spans="1:5" x14ac:dyDescent="0.25">
      <c r="A11" t="s">
        <v>124</v>
      </c>
      <c r="B11" t="s">
        <v>2487</v>
      </c>
      <c r="D11">
        <v>92083</v>
      </c>
      <c r="E11" t="str">
        <f t="shared" si="0"/>
        <v>ia.assorted_string like '%92083-07-2024%' or</v>
      </c>
    </row>
    <row r="12" spans="1:5" x14ac:dyDescent="0.25">
      <c r="A12" t="s">
        <v>125</v>
      </c>
      <c r="B12" t="s">
        <v>2487</v>
      </c>
      <c r="D12">
        <v>92086</v>
      </c>
      <c r="E12" t="str">
        <f t="shared" si="0"/>
        <v>ia.assorted_string like '%92086-07-2024%' or</v>
      </c>
    </row>
    <row r="13" spans="1:5" x14ac:dyDescent="0.25">
      <c r="A13" t="s">
        <v>126</v>
      </c>
      <c r="B13" t="s">
        <v>2487</v>
      </c>
      <c r="D13">
        <v>92087</v>
      </c>
      <c r="E13" t="str">
        <f t="shared" si="0"/>
        <v>ia.assorted_string like '%92087-07-2024%' or</v>
      </c>
    </row>
    <row r="14" spans="1:5" x14ac:dyDescent="0.25">
      <c r="A14" t="s">
        <v>127</v>
      </c>
      <c r="B14" t="s">
        <v>2487</v>
      </c>
      <c r="D14">
        <v>92091</v>
      </c>
      <c r="E14" t="str">
        <f t="shared" si="0"/>
        <v>ia.assorted_string like '%92091-07-2024%' or</v>
      </c>
    </row>
    <row r="15" spans="1:5" x14ac:dyDescent="0.25">
      <c r="A15" t="s">
        <v>128</v>
      </c>
      <c r="B15" t="s">
        <v>2487</v>
      </c>
      <c r="D15">
        <v>92092</v>
      </c>
      <c r="E15" t="str">
        <f t="shared" si="0"/>
        <v>ia.assorted_string like '%92092-07-2024%' or</v>
      </c>
    </row>
    <row r="16" spans="1:5" x14ac:dyDescent="0.25">
      <c r="A16" t="s">
        <v>129</v>
      </c>
      <c r="B16" t="s">
        <v>2487</v>
      </c>
      <c r="D16">
        <v>92093</v>
      </c>
      <c r="E16" t="str">
        <f t="shared" si="0"/>
        <v>ia.assorted_string like '%92093-07-2024%' or</v>
      </c>
    </row>
    <row r="17" spans="1:5" x14ac:dyDescent="0.25">
      <c r="A17" t="s">
        <v>130</v>
      </c>
      <c r="B17" t="s">
        <v>2487</v>
      </c>
      <c r="D17">
        <v>92094</v>
      </c>
      <c r="E17" t="str">
        <f t="shared" si="0"/>
        <v>ia.assorted_string like '%92094-07-2024%' or</v>
      </c>
    </row>
    <row r="18" spans="1:5" x14ac:dyDescent="0.25">
      <c r="A18" t="s">
        <v>131</v>
      </c>
      <c r="B18" t="s">
        <v>2487</v>
      </c>
      <c r="D18">
        <v>92096</v>
      </c>
      <c r="E18" t="str">
        <f t="shared" si="0"/>
        <v>ia.assorted_string like '%92096-07-2024%' or</v>
      </c>
    </row>
    <row r="19" spans="1:5" x14ac:dyDescent="0.25">
      <c r="A19" t="s">
        <v>132</v>
      </c>
      <c r="B19" t="s">
        <v>2487</v>
      </c>
      <c r="D19">
        <v>92097</v>
      </c>
      <c r="E19" t="str">
        <f t="shared" si="0"/>
        <v>ia.assorted_string like '%92097-07-2024%' or</v>
      </c>
    </row>
    <row r="20" spans="1:5" x14ac:dyDescent="0.25">
      <c r="A20" t="s">
        <v>133</v>
      </c>
      <c r="B20" t="s">
        <v>2487</v>
      </c>
      <c r="D20">
        <v>92098</v>
      </c>
      <c r="E20" t="str">
        <f t="shared" si="0"/>
        <v>ia.assorted_string like '%92098-07-2024%' or</v>
      </c>
    </row>
    <row r="21" spans="1:5" x14ac:dyDescent="0.25">
      <c r="A21" t="s">
        <v>134</v>
      </c>
      <c r="B21" t="s">
        <v>2487</v>
      </c>
      <c r="D21">
        <v>92099</v>
      </c>
      <c r="E21" t="str">
        <f t="shared" si="0"/>
        <v>ia.assorted_string like '%92099-07-2024%' or</v>
      </c>
    </row>
    <row r="22" spans="1:5" x14ac:dyDescent="0.25">
      <c r="A22" t="s">
        <v>135</v>
      </c>
      <c r="B22" t="s">
        <v>2487</v>
      </c>
      <c r="D22">
        <v>92100</v>
      </c>
      <c r="E22" t="str">
        <f t="shared" si="0"/>
        <v>ia.assorted_string like '%92100-07-2024%' or</v>
      </c>
    </row>
    <row r="23" spans="1:5" x14ac:dyDescent="0.25">
      <c r="A23" t="s">
        <v>136</v>
      </c>
      <c r="B23" t="s">
        <v>2487</v>
      </c>
      <c r="D23">
        <v>92101</v>
      </c>
      <c r="E23" t="str">
        <f t="shared" si="0"/>
        <v>ia.assorted_string like '%92101-07-2024%' or</v>
      </c>
    </row>
    <row r="24" spans="1:5" x14ac:dyDescent="0.25">
      <c r="A24" t="s">
        <v>137</v>
      </c>
      <c r="B24" t="s">
        <v>2487</v>
      </c>
      <c r="D24">
        <v>92106</v>
      </c>
      <c r="E24" t="str">
        <f t="shared" si="0"/>
        <v>ia.assorted_string like '%92106-07-2024%' or</v>
      </c>
    </row>
    <row r="25" spans="1:5" x14ac:dyDescent="0.25">
      <c r="A25" t="s">
        <v>138</v>
      </c>
      <c r="B25" t="s">
        <v>2487</v>
      </c>
      <c r="D25">
        <v>92107</v>
      </c>
      <c r="E25" t="str">
        <f t="shared" si="0"/>
        <v>ia.assorted_string like '%92107-07-2024%' or</v>
      </c>
    </row>
    <row r="26" spans="1:5" x14ac:dyDescent="0.25">
      <c r="A26" t="s">
        <v>139</v>
      </c>
      <c r="B26" t="s">
        <v>2487</v>
      </c>
      <c r="D26">
        <v>92108</v>
      </c>
      <c r="E26" t="str">
        <f t="shared" si="0"/>
        <v>ia.assorted_string like '%92108-07-2024%' or</v>
      </c>
    </row>
    <row r="27" spans="1:5" x14ac:dyDescent="0.25">
      <c r="A27" t="s">
        <v>140</v>
      </c>
      <c r="B27" t="s">
        <v>2487</v>
      </c>
      <c r="D27">
        <v>92110</v>
      </c>
      <c r="E27" t="str">
        <f t="shared" si="0"/>
        <v>ia.assorted_string like '%92110-07-2024%' or</v>
      </c>
    </row>
    <row r="28" spans="1:5" x14ac:dyDescent="0.25">
      <c r="A28" t="s">
        <v>141</v>
      </c>
      <c r="B28" t="s">
        <v>2487</v>
      </c>
      <c r="D28">
        <v>92111</v>
      </c>
      <c r="E28" t="str">
        <f t="shared" si="0"/>
        <v>ia.assorted_string like '%92111-07-2024%' or</v>
      </c>
    </row>
    <row r="29" spans="1:5" x14ac:dyDescent="0.25">
      <c r="A29" t="s">
        <v>142</v>
      </c>
      <c r="B29" t="s">
        <v>2487</v>
      </c>
      <c r="D29">
        <v>92112</v>
      </c>
      <c r="E29" t="str">
        <f t="shared" si="0"/>
        <v>ia.assorted_string like '%92112-07-2024%' or</v>
      </c>
    </row>
    <row r="30" spans="1:5" x14ac:dyDescent="0.25">
      <c r="A30" t="s">
        <v>143</v>
      </c>
      <c r="B30" t="s">
        <v>2487</v>
      </c>
      <c r="D30">
        <v>92114</v>
      </c>
      <c r="E30" t="str">
        <f t="shared" si="0"/>
        <v>ia.assorted_string like '%92114-07-2024%' or</v>
      </c>
    </row>
    <row r="31" spans="1:5" x14ac:dyDescent="0.25">
      <c r="A31" t="s">
        <v>144</v>
      </c>
      <c r="B31" t="s">
        <v>2487</v>
      </c>
      <c r="D31">
        <v>92117</v>
      </c>
      <c r="E31" t="str">
        <f t="shared" si="0"/>
        <v>ia.assorted_string like '%92117-07-2024%' or</v>
      </c>
    </row>
    <row r="32" spans="1:5" x14ac:dyDescent="0.25">
      <c r="A32" t="s">
        <v>145</v>
      </c>
      <c r="B32" t="s">
        <v>2487</v>
      </c>
      <c r="D32">
        <v>92118</v>
      </c>
      <c r="E32" t="str">
        <f t="shared" si="0"/>
        <v>ia.assorted_string like '%92118-07-2024%' or</v>
      </c>
    </row>
    <row r="33" spans="1:5" x14ac:dyDescent="0.25">
      <c r="A33" t="s">
        <v>146</v>
      </c>
      <c r="B33" t="s">
        <v>2487</v>
      </c>
      <c r="D33">
        <v>92119</v>
      </c>
      <c r="E33" t="str">
        <f t="shared" si="0"/>
        <v>ia.assorted_string like '%92119-07-2024%' or</v>
      </c>
    </row>
    <row r="34" spans="1:5" x14ac:dyDescent="0.25">
      <c r="A34" t="s">
        <v>147</v>
      </c>
      <c r="B34" t="s">
        <v>2487</v>
      </c>
      <c r="D34">
        <v>92120</v>
      </c>
      <c r="E34" t="str">
        <f t="shared" si="0"/>
        <v>ia.assorted_string like '%92120-07-2024%' or</v>
      </c>
    </row>
    <row r="35" spans="1:5" x14ac:dyDescent="0.25">
      <c r="A35" t="s">
        <v>148</v>
      </c>
      <c r="B35" t="s">
        <v>2487</v>
      </c>
      <c r="D35">
        <v>92121</v>
      </c>
      <c r="E35" t="str">
        <f t="shared" si="0"/>
        <v>ia.assorted_string like '%92121-07-2024%' or</v>
      </c>
    </row>
    <row r="36" spans="1:5" x14ac:dyDescent="0.25">
      <c r="A36" t="s">
        <v>149</v>
      </c>
      <c r="B36" t="s">
        <v>2487</v>
      </c>
      <c r="D36">
        <v>92133</v>
      </c>
      <c r="E36" t="str">
        <f t="shared" si="0"/>
        <v>ia.assorted_string like '%92133-07-2024%' or</v>
      </c>
    </row>
    <row r="37" spans="1:5" x14ac:dyDescent="0.25">
      <c r="A37" t="s">
        <v>150</v>
      </c>
      <c r="B37" t="s">
        <v>2487</v>
      </c>
      <c r="D37">
        <v>92134</v>
      </c>
      <c r="E37" t="str">
        <f t="shared" si="0"/>
        <v>ia.assorted_string like '%92134-07-2024%' or</v>
      </c>
    </row>
    <row r="38" spans="1:5" x14ac:dyDescent="0.25">
      <c r="A38" t="s">
        <v>151</v>
      </c>
      <c r="B38" t="s">
        <v>2487</v>
      </c>
      <c r="D38">
        <v>92135</v>
      </c>
      <c r="E38" t="str">
        <f t="shared" si="0"/>
        <v>ia.assorted_string like '%92135-07-2024%' or</v>
      </c>
    </row>
    <row r="39" spans="1:5" x14ac:dyDescent="0.25">
      <c r="A39" t="s">
        <v>152</v>
      </c>
      <c r="B39" t="s">
        <v>2487</v>
      </c>
      <c r="D39">
        <v>92136</v>
      </c>
      <c r="E39" t="str">
        <f t="shared" si="0"/>
        <v>ia.assorted_string like '%92136-07-2024%' or</v>
      </c>
    </row>
    <row r="40" spans="1:5" x14ac:dyDescent="0.25">
      <c r="A40" t="s">
        <v>153</v>
      </c>
      <c r="B40" t="s">
        <v>2487</v>
      </c>
      <c r="D40">
        <v>92137</v>
      </c>
      <c r="E40" t="str">
        <f t="shared" si="0"/>
        <v>ia.assorted_string like '%92137-07-2024%' or</v>
      </c>
    </row>
    <row r="41" spans="1:5" x14ac:dyDescent="0.25">
      <c r="A41" t="s">
        <v>154</v>
      </c>
      <c r="B41" t="s">
        <v>2487</v>
      </c>
      <c r="D41">
        <v>92138</v>
      </c>
      <c r="E41" t="str">
        <f t="shared" si="0"/>
        <v>ia.assorted_string like '%92138-07-2024%' or</v>
      </c>
    </row>
    <row r="42" spans="1:5" x14ac:dyDescent="0.25">
      <c r="A42" t="s">
        <v>155</v>
      </c>
      <c r="B42" t="s">
        <v>2487</v>
      </c>
      <c r="D42">
        <v>92140</v>
      </c>
      <c r="E42" t="str">
        <f t="shared" si="0"/>
        <v>ia.assorted_string like '%92140-07-2024%' or</v>
      </c>
    </row>
    <row r="43" spans="1:5" x14ac:dyDescent="0.25">
      <c r="A43" t="s">
        <v>156</v>
      </c>
      <c r="B43" t="s">
        <v>2487</v>
      </c>
      <c r="D43">
        <v>92145</v>
      </c>
      <c r="E43" t="str">
        <f t="shared" si="0"/>
        <v>ia.assorted_string like '%92145-07-2024%' or</v>
      </c>
    </row>
    <row r="44" spans="1:5" x14ac:dyDescent="0.25">
      <c r="A44" t="s">
        <v>157</v>
      </c>
      <c r="B44" t="s">
        <v>2487</v>
      </c>
      <c r="D44">
        <v>92146</v>
      </c>
      <c r="E44" t="str">
        <f t="shared" si="0"/>
        <v>ia.assorted_string like '%92146-07-2024%' or</v>
      </c>
    </row>
    <row r="45" spans="1:5" x14ac:dyDescent="0.25">
      <c r="A45" t="s">
        <v>158</v>
      </c>
      <c r="B45" t="s">
        <v>2487</v>
      </c>
      <c r="D45">
        <v>92148</v>
      </c>
      <c r="E45" t="str">
        <f t="shared" si="0"/>
        <v>ia.assorted_string like '%92148-07-2024%' or</v>
      </c>
    </row>
    <row r="46" spans="1:5" x14ac:dyDescent="0.25">
      <c r="A46" t="s">
        <v>159</v>
      </c>
      <c r="B46" t="s">
        <v>2487</v>
      </c>
      <c r="D46">
        <v>92149</v>
      </c>
      <c r="E46" t="str">
        <f t="shared" si="0"/>
        <v>ia.assorted_string like '%92149-07-2024%' or</v>
      </c>
    </row>
    <row r="47" spans="1:5" x14ac:dyDescent="0.25">
      <c r="A47" t="s">
        <v>160</v>
      </c>
      <c r="B47" t="s">
        <v>2487</v>
      </c>
      <c r="D47">
        <v>92151</v>
      </c>
      <c r="E47" t="str">
        <f t="shared" si="0"/>
        <v>ia.assorted_string like '%92151-07-2024%' or</v>
      </c>
    </row>
    <row r="48" spans="1:5" x14ac:dyDescent="0.25">
      <c r="A48" t="s">
        <v>161</v>
      </c>
      <c r="B48" t="s">
        <v>2487</v>
      </c>
      <c r="D48">
        <v>92152</v>
      </c>
      <c r="E48" t="str">
        <f t="shared" si="0"/>
        <v>ia.assorted_string like '%92152-07-2024%' or</v>
      </c>
    </row>
    <row r="49" spans="1:5" x14ac:dyDescent="0.25">
      <c r="A49" t="s">
        <v>162</v>
      </c>
      <c r="B49" t="s">
        <v>2487</v>
      </c>
      <c r="D49">
        <v>92156</v>
      </c>
      <c r="E49" t="str">
        <f t="shared" si="0"/>
        <v>ia.assorted_string like '%92156-07-2024%' or</v>
      </c>
    </row>
    <row r="50" spans="1:5" x14ac:dyDescent="0.25">
      <c r="A50" t="s">
        <v>163</v>
      </c>
      <c r="B50" t="s">
        <v>2487</v>
      </c>
      <c r="D50">
        <v>92157</v>
      </c>
      <c r="E50" t="str">
        <f t="shared" si="0"/>
        <v>ia.assorted_string like '%92157-07-2024%' or</v>
      </c>
    </row>
    <row r="51" spans="1:5" x14ac:dyDescent="0.25">
      <c r="A51" t="s">
        <v>164</v>
      </c>
      <c r="B51" t="s">
        <v>2487</v>
      </c>
      <c r="D51">
        <v>92158</v>
      </c>
      <c r="E51" t="str">
        <f t="shared" si="0"/>
        <v>ia.assorted_string like '%92158-07-2024%' or</v>
      </c>
    </row>
    <row r="52" spans="1:5" x14ac:dyDescent="0.25">
      <c r="A52" t="s">
        <v>165</v>
      </c>
      <c r="B52" t="s">
        <v>2487</v>
      </c>
      <c r="D52">
        <v>92160</v>
      </c>
      <c r="E52" t="str">
        <f t="shared" si="0"/>
        <v>ia.assorted_string like '%92160-07-2024%' or</v>
      </c>
    </row>
    <row r="53" spans="1:5" x14ac:dyDescent="0.25">
      <c r="A53" t="s">
        <v>166</v>
      </c>
      <c r="B53" t="s">
        <v>2487</v>
      </c>
      <c r="D53">
        <v>92161</v>
      </c>
      <c r="E53" t="str">
        <f t="shared" si="0"/>
        <v>ia.assorted_string like '%92161-07-2024%' or</v>
      </c>
    </row>
    <row r="54" spans="1:5" x14ac:dyDescent="0.25">
      <c r="A54" t="s">
        <v>167</v>
      </c>
      <c r="B54" t="s">
        <v>2487</v>
      </c>
      <c r="D54">
        <v>92162</v>
      </c>
      <c r="E54" t="str">
        <f t="shared" si="0"/>
        <v>ia.assorted_string like '%92162-07-2024%' or</v>
      </c>
    </row>
    <row r="55" spans="1:5" x14ac:dyDescent="0.25">
      <c r="A55" t="s">
        <v>168</v>
      </c>
      <c r="B55" t="s">
        <v>2487</v>
      </c>
      <c r="D55">
        <v>92163</v>
      </c>
      <c r="E55" t="str">
        <f t="shared" si="0"/>
        <v>ia.assorted_string like '%92163-07-2024%' or</v>
      </c>
    </row>
    <row r="56" spans="1:5" x14ac:dyDescent="0.25">
      <c r="A56" t="s">
        <v>169</v>
      </c>
      <c r="B56" t="s">
        <v>2487</v>
      </c>
      <c r="D56">
        <v>92164</v>
      </c>
      <c r="E56" t="str">
        <f t="shared" si="0"/>
        <v>ia.assorted_string like '%92164-07-2024%' or</v>
      </c>
    </row>
    <row r="57" spans="1:5" x14ac:dyDescent="0.25">
      <c r="A57" t="s">
        <v>170</v>
      </c>
      <c r="B57" t="s">
        <v>2487</v>
      </c>
      <c r="D57">
        <v>92167</v>
      </c>
      <c r="E57" t="str">
        <f t="shared" si="0"/>
        <v>ia.assorted_string like '%92167-07-2024%' or</v>
      </c>
    </row>
    <row r="58" spans="1:5" x14ac:dyDescent="0.25">
      <c r="A58" t="s">
        <v>171</v>
      </c>
      <c r="B58" t="s">
        <v>2487</v>
      </c>
      <c r="D58">
        <v>92173</v>
      </c>
      <c r="E58" t="str">
        <f t="shared" si="0"/>
        <v>ia.assorted_string like '%92173-07-2024%' or</v>
      </c>
    </row>
    <row r="59" spans="1:5" x14ac:dyDescent="0.25">
      <c r="A59" t="s">
        <v>172</v>
      </c>
      <c r="B59" t="s">
        <v>2487</v>
      </c>
      <c r="D59">
        <v>92174</v>
      </c>
      <c r="E59" t="str">
        <f t="shared" si="0"/>
        <v>ia.assorted_string like '%92174-07-2024%' or</v>
      </c>
    </row>
    <row r="60" spans="1:5" x14ac:dyDescent="0.25">
      <c r="A60" t="s">
        <v>173</v>
      </c>
      <c r="B60" t="s">
        <v>2487</v>
      </c>
      <c r="D60">
        <v>92175</v>
      </c>
      <c r="E60" t="str">
        <f t="shared" si="0"/>
        <v>ia.assorted_string like '%92175-07-2024%' or</v>
      </c>
    </row>
    <row r="61" spans="1:5" x14ac:dyDescent="0.25">
      <c r="A61" t="s">
        <v>174</v>
      </c>
      <c r="B61" t="s">
        <v>2487</v>
      </c>
      <c r="D61">
        <v>92180</v>
      </c>
      <c r="E61" t="str">
        <f t="shared" si="0"/>
        <v>ia.assorted_string like '%92180-07-2024%' or</v>
      </c>
    </row>
    <row r="62" spans="1:5" x14ac:dyDescent="0.25">
      <c r="A62" t="s">
        <v>175</v>
      </c>
      <c r="B62" t="s">
        <v>2487</v>
      </c>
      <c r="D62">
        <v>92182</v>
      </c>
      <c r="E62" t="str">
        <f t="shared" si="0"/>
        <v>ia.assorted_string like '%92182-07-2024%' or</v>
      </c>
    </row>
    <row r="63" spans="1:5" x14ac:dyDescent="0.25">
      <c r="A63" t="s">
        <v>176</v>
      </c>
      <c r="B63" t="s">
        <v>2487</v>
      </c>
      <c r="D63">
        <v>92186</v>
      </c>
      <c r="E63" t="str">
        <f t="shared" si="0"/>
        <v>ia.assorted_string like '%92186-07-2024%' or</v>
      </c>
    </row>
    <row r="64" spans="1:5" x14ac:dyDescent="0.25">
      <c r="A64" t="s">
        <v>177</v>
      </c>
      <c r="B64" t="s">
        <v>2487</v>
      </c>
      <c r="D64">
        <v>92188</v>
      </c>
      <c r="E64" t="str">
        <f t="shared" si="0"/>
        <v>ia.assorted_string like '%92188-07-2024%' or</v>
      </c>
    </row>
    <row r="65" spans="1:5" x14ac:dyDescent="0.25">
      <c r="A65" t="s">
        <v>178</v>
      </c>
      <c r="B65" t="s">
        <v>2487</v>
      </c>
      <c r="D65">
        <v>92195</v>
      </c>
      <c r="E65" t="str">
        <f t="shared" si="0"/>
        <v>ia.assorted_string like '%92195-07-2024%' or</v>
      </c>
    </row>
    <row r="66" spans="1:5" x14ac:dyDescent="0.25">
      <c r="A66" t="s">
        <v>179</v>
      </c>
      <c r="B66" t="s">
        <v>2487</v>
      </c>
      <c r="D66">
        <v>92200</v>
      </c>
      <c r="E66" t="str">
        <f t="shared" ref="E66:E129" si="1">"ia.assorted_string like '%"&amp;D66&amp;B66&amp;"%' or"</f>
        <v>ia.assorted_string like '%92200-07-2024%' or</v>
      </c>
    </row>
    <row r="67" spans="1:5" x14ac:dyDescent="0.25">
      <c r="A67" t="s">
        <v>180</v>
      </c>
      <c r="B67" t="s">
        <v>2487</v>
      </c>
      <c r="D67">
        <v>92203</v>
      </c>
      <c r="E67" t="str">
        <f t="shared" si="1"/>
        <v>ia.assorted_string like '%92203-07-2024%' or</v>
      </c>
    </row>
    <row r="68" spans="1:5" x14ac:dyDescent="0.25">
      <c r="A68" t="s">
        <v>181</v>
      </c>
      <c r="B68" t="s">
        <v>2487</v>
      </c>
      <c r="D68">
        <v>92204</v>
      </c>
      <c r="E68" t="str">
        <f t="shared" si="1"/>
        <v>ia.assorted_string like '%92204-07-2024%' or</v>
      </c>
    </row>
    <row r="69" spans="1:5" x14ac:dyDescent="0.25">
      <c r="A69" t="s">
        <v>182</v>
      </c>
      <c r="B69" t="s">
        <v>2487</v>
      </c>
      <c r="D69">
        <v>92205</v>
      </c>
      <c r="E69" t="str">
        <f t="shared" si="1"/>
        <v>ia.assorted_string like '%92205-07-2024%' or</v>
      </c>
    </row>
    <row r="70" spans="1:5" x14ac:dyDescent="0.25">
      <c r="A70" t="s">
        <v>183</v>
      </c>
      <c r="B70" t="s">
        <v>2487</v>
      </c>
      <c r="D70">
        <v>92206</v>
      </c>
      <c r="E70" t="str">
        <f t="shared" si="1"/>
        <v>ia.assorted_string like '%92206-07-2024%' or</v>
      </c>
    </row>
    <row r="71" spans="1:5" x14ac:dyDescent="0.25">
      <c r="A71" t="s">
        <v>184</v>
      </c>
      <c r="B71" t="s">
        <v>2487</v>
      </c>
      <c r="D71">
        <v>92210</v>
      </c>
      <c r="E71" t="str">
        <f t="shared" si="1"/>
        <v>ia.assorted_string like '%92210-07-2024%' or</v>
      </c>
    </row>
    <row r="72" spans="1:5" x14ac:dyDescent="0.25">
      <c r="A72" t="s">
        <v>185</v>
      </c>
      <c r="B72" t="s">
        <v>2487</v>
      </c>
      <c r="D72">
        <v>92211</v>
      </c>
      <c r="E72" t="str">
        <f t="shared" si="1"/>
        <v>ia.assorted_string like '%92211-07-2024%' or</v>
      </c>
    </row>
    <row r="73" spans="1:5" x14ac:dyDescent="0.25">
      <c r="A73" t="s">
        <v>186</v>
      </c>
      <c r="B73" t="s">
        <v>2487</v>
      </c>
      <c r="D73">
        <v>92215</v>
      </c>
      <c r="E73" t="str">
        <f t="shared" si="1"/>
        <v>ia.assorted_string like '%92215-07-2024%' or</v>
      </c>
    </row>
    <row r="74" spans="1:5" x14ac:dyDescent="0.25">
      <c r="A74" t="s">
        <v>187</v>
      </c>
      <c r="B74" t="s">
        <v>2487</v>
      </c>
      <c r="D74">
        <v>92217</v>
      </c>
      <c r="E74" t="str">
        <f t="shared" si="1"/>
        <v>ia.assorted_string like '%92217-07-2024%' or</v>
      </c>
    </row>
    <row r="75" spans="1:5" x14ac:dyDescent="0.25">
      <c r="A75" t="s">
        <v>188</v>
      </c>
      <c r="B75" t="s">
        <v>2487</v>
      </c>
      <c r="D75">
        <v>92230</v>
      </c>
      <c r="E75" t="str">
        <f t="shared" si="1"/>
        <v>ia.assorted_string like '%92230-07-2024%' or</v>
      </c>
    </row>
    <row r="76" spans="1:5" x14ac:dyDescent="0.25">
      <c r="A76" t="s">
        <v>189</v>
      </c>
      <c r="B76" t="s">
        <v>2487</v>
      </c>
      <c r="D76">
        <v>92231</v>
      </c>
      <c r="E76" t="str">
        <f t="shared" si="1"/>
        <v>ia.assorted_string like '%92231-07-2024%' or</v>
      </c>
    </row>
    <row r="77" spans="1:5" x14ac:dyDescent="0.25">
      <c r="A77" t="s">
        <v>190</v>
      </c>
      <c r="B77" t="s">
        <v>2487</v>
      </c>
      <c r="D77">
        <v>92235</v>
      </c>
      <c r="E77" t="str">
        <f t="shared" si="1"/>
        <v>ia.assorted_string like '%92235-07-2024%' or</v>
      </c>
    </row>
    <row r="78" spans="1:5" x14ac:dyDescent="0.25">
      <c r="A78" t="s">
        <v>191</v>
      </c>
      <c r="B78" t="s">
        <v>2487</v>
      </c>
      <c r="D78">
        <v>92236</v>
      </c>
      <c r="E78" t="str">
        <f t="shared" si="1"/>
        <v>ia.assorted_string like '%92236-07-2024%' or</v>
      </c>
    </row>
    <row r="79" spans="1:5" x14ac:dyDescent="0.25">
      <c r="A79" t="s">
        <v>192</v>
      </c>
      <c r="B79" t="s">
        <v>2487</v>
      </c>
      <c r="D79">
        <v>92238</v>
      </c>
      <c r="E79" t="str">
        <f t="shared" si="1"/>
        <v>ia.assorted_string like '%92238-07-2024%' or</v>
      </c>
    </row>
    <row r="80" spans="1:5" x14ac:dyDescent="0.25">
      <c r="A80" t="s">
        <v>193</v>
      </c>
      <c r="B80" t="s">
        <v>2487</v>
      </c>
      <c r="D80">
        <v>92239</v>
      </c>
      <c r="E80" t="str">
        <f t="shared" si="1"/>
        <v>ia.assorted_string like '%92239-07-2024%' or</v>
      </c>
    </row>
    <row r="81" spans="1:5" x14ac:dyDescent="0.25">
      <c r="A81" t="s">
        <v>194</v>
      </c>
      <c r="B81" t="s">
        <v>2487</v>
      </c>
      <c r="D81">
        <v>92240</v>
      </c>
      <c r="E81" t="str">
        <f t="shared" si="1"/>
        <v>ia.assorted_string like '%92240-07-2024%' or</v>
      </c>
    </row>
    <row r="82" spans="1:5" x14ac:dyDescent="0.25">
      <c r="A82" t="s">
        <v>195</v>
      </c>
      <c r="B82" t="s">
        <v>2487</v>
      </c>
      <c r="D82">
        <v>92242</v>
      </c>
      <c r="E82" t="str">
        <f t="shared" si="1"/>
        <v>ia.assorted_string like '%92242-07-2024%' or</v>
      </c>
    </row>
    <row r="83" spans="1:5" x14ac:dyDescent="0.25">
      <c r="A83" t="s">
        <v>196</v>
      </c>
      <c r="B83" t="s">
        <v>2487</v>
      </c>
      <c r="D83">
        <v>92243</v>
      </c>
      <c r="E83" t="str">
        <f t="shared" si="1"/>
        <v>ia.assorted_string like '%92243-07-2024%' or</v>
      </c>
    </row>
    <row r="84" spans="1:5" x14ac:dyDescent="0.25">
      <c r="A84" t="s">
        <v>197</v>
      </c>
      <c r="B84" t="s">
        <v>2487</v>
      </c>
      <c r="D84">
        <v>92245</v>
      </c>
      <c r="E84" t="str">
        <f t="shared" si="1"/>
        <v>ia.assorted_string like '%92245-07-2024%' or</v>
      </c>
    </row>
    <row r="85" spans="1:5" x14ac:dyDescent="0.25">
      <c r="A85" t="s">
        <v>198</v>
      </c>
      <c r="B85" t="s">
        <v>2487</v>
      </c>
      <c r="D85">
        <v>92248</v>
      </c>
      <c r="E85" t="str">
        <f t="shared" si="1"/>
        <v>ia.assorted_string like '%92248-07-2024%' or</v>
      </c>
    </row>
    <row r="86" spans="1:5" x14ac:dyDescent="0.25">
      <c r="A86" t="s">
        <v>199</v>
      </c>
      <c r="B86" t="s">
        <v>2487</v>
      </c>
      <c r="D86">
        <v>92249</v>
      </c>
      <c r="E86" t="str">
        <f t="shared" si="1"/>
        <v>ia.assorted_string like '%92249-07-2024%' or</v>
      </c>
    </row>
    <row r="87" spans="1:5" x14ac:dyDescent="0.25">
      <c r="A87" t="s">
        <v>200</v>
      </c>
      <c r="B87" t="s">
        <v>2487</v>
      </c>
      <c r="D87">
        <v>92250</v>
      </c>
      <c r="E87" t="str">
        <f t="shared" si="1"/>
        <v>ia.assorted_string like '%92250-07-2024%' or</v>
      </c>
    </row>
    <row r="88" spans="1:5" x14ac:dyDescent="0.25">
      <c r="A88" t="s">
        <v>201</v>
      </c>
      <c r="B88" t="s">
        <v>2487</v>
      </c>
      <c r="D88">
        <v>92256</v>
      </c>
      <c r="E88" t="str">
        <f t="shared" si="1"/>
        <v>ia.assorted_string like '%92256-07-2024%' or</v>
      </c>
    </row>
    <row r="89" spans="1:5" x14ac:dyDescent="0.25">
      <c r="A89" t="s">
        <v>202</v>
      </c>
      <c r="B89" t="s">
        <v>2487</v>
      </c>
      <c r="D89">
        <v>92257</v>
      </c>
      <c r="E89" t="str">
        <f t="shared" si="1"/>
        <v>ia.assorted_string like '%92257-07-2024%' or</v>
      </c>
    </row>
    <row r="90" spans="1:5" x14ac:dyDescent="0.25">
      <c r="A90" t="s">
        <v>203</v>
      </c>
      <c r="B90" t="s">
        <v>2487</v>
      </c>
      <c r="D90">
        <v>92263</v>
      </c>
      <c r="E90" t="str">
        <f t="shared" si="1"/>
        <v>ia.assorted_string like '%92263-07-2024%' or</v>
      </c>
    </row>
    <row r="91" spans="1:5" x14ac:dyDescent="0.25">
      <c r="A91" t="s">
        <v>204</v>
      </c>
      <c r="B91" t="s">
        <v>2487</v>
      </c>
      <c r="D91">
        <v>92264</v>
      </c>
      <c r="E91" t="str">
        <f t="shared" si="1"/>
        <v>ia.assorted_string like '%92264-07-2024%' or</v>
      </c>
    </row>
    <row r="92" spans="1:5" x14ac:dyDescent="0.25">
      <c r="A92" t="s">
        <v>205</v>
      </c>
      <c r="B92" t="s">
        <v>2487</v>
      </c>
      <c r="D92">
        <v>92269</v>
      </c>
      <c r="E92" t="str">
        <f t="shared" si="1"/>
        <v>ia.assorted_string like '%92269-07-2024%' or</v>
      </c>
    </row>
    <row r="93" spans="1:5" x14ac:dyDescent="0.25">
      <c r="A93" t="s">
        <v>206</v>
      </c>
      <c r="B93" t="s">
        <v>2487</v>
      </c>
      <c r="D93">
        <v>92272</v>
      </c>
      <c r="E93" t="str">
        <f t="shared" si="1"/>
        <v>ia.assorted_string like '%92272-07-2024%' or</v>
      </c>
    </row>
    <row r="94" spans="1:5" x14ac:dyDescent="0.25">
      <c r="A94" t="s">
        <v>207</v>
      </c>
      <c r="B94" t="s">
        <v>2487</v>
      </c>
      <c r="D94">
        <v>92274</v>
      </c>
      <c r="E94" t="str">
        <f t="shared" si="1"/>
        <v>ia.assorted_string like '%92274-07-2024%' or</v>
      </c>
    </row>
    <row r="95" spans="1:5" x14ac:dyDescent="0.25">
      <c r="A95" t="s">
        <v>208</v>
      </c>
      <c r="B95" t="s">
        <v>2487</v>
      </c>
      <c r="D95">
        <v>92276</v>
      </c>
      <c r="E95" t="str">
        <f t="shared" si="1"/>
        <v>ia.assorted_string like '%92276-07-2024%' or</v>
      </c>
    </row>
    <row r="96" spans="1:5" x14ac:dyDescent="0.25">
      <c r="A96" t="s">
        <v>209</v>
      </c>
      <c r="B96" t="s">
        <v>2487</v>
      </c>
      <c r="D96">
        <v>92277</v>
      </c>
      <c r="E96" t="str">
        <f t="shared" si="1"/>
        <v>ia.assorted_string like '%92277-07-2024%' or</v>
      </c>
    </row>
    <row r="97" spans="1:5" x14ac:dyDescent="0.25">
      <c r="A97" t="s">
        <v>210</v>
      </c>
      <c r="B97" t="s">
        <v>2487</v>
      </c>
      <c r="D97">
        <v>92278</v>
      </c>
      <c r="E97" t="str">
        <f t="shared" si="1"/>
        <v>ia.assorted_string like '%92278-07-2024%' or</v>
      </c>
    </row>
    <row r="98" spans="1:5" x14ac:dyDescent="0.25">
      <c r="A98" t="s">
        <v>211</v>
      </c>
      <c r="B98" t="s">
        <v>2487</v>
      </c>
      <c r="D98">
        <v>92279</v>
      </c>
      <c r="E98" t="str">
        <f t="shared" si="1"/>
        <v>ia.assorted_string like '%92279-07-2024%' or</v>
      </c>
    </row>
    <row r="99" spans="1:5" x14ac:dyDescent="0.25">
      <c r="A99" t="s">
        <v>212</v>
      </c>
      <c r="B99" t="s">
        <v>2487</v>
      </c>
      <c r="D99">
        <v>92280</v>
      </c>
      <c r="E99" t="str">
        <f t="shared" si="1"/>
        <v>ia.assorted_string like '%92280-07-2024%' or</v>
      </c>
    </row>
    <row r="100" spans="1:5" x14ac:dyDescent="0.25">
      <c r="A100" t="s">
        <v>213</v>
      </c>
      <c r="B100" t="s">
        <v>2487</v>
      </c>
      <c r="D100">
        <v>92281</v>
      </c>
      <c r="E100" t="str">
        <f t="shared" si="1"/>
        <v>ia.assorted_string like '%92281-07-2024%' or</v>
      </c>
    </row>
    <row r="101" spans="1:5" x14ac:dyDescent="0.25">
      <c r="A101" t="s">
        <v>214</v>
      </c>
      <c r="B101" t="s">
        <v>2487</v>
      </c>
      <c r="D101">
        <v>92282</v>
      </c>
      <c r="E101" t="str">
        <f t="shared" si="1"/>
        <v>ia.assorted_string like '%92282-07-2024%' or</v>
      </c>
    </row>
    <row r="102" spans="1:5" x14ac:dyDescent="0.25">
      <c r="A102" t="s">
        <v>215</v>
      </c>
      <c r="B102" t="s">
        <v>2487</v>
      </c>
      <c r="D102">
        <v>92283</v>
      </c>
      <c r="E102" t="str">
        <f t="shared" si="1"/>
        <v>ia.assorted_string like '%92283-07-2024%' or</v>
      </c>
    </row>
    <row r="103" spans="1:5" x14ac:dyDescent="0.25">
      <c r="A103" t="s">
        <v>216</v>
      </c>
      <c r="B103" t="s">
        <v>2487</v>
      </c>
      <c r="D103">
        <v>92285</v>
      </c>
      <c r="E103" t="str">
        <f t="shared" si="1"/>
        <v>ia.assorted_string like '%92285-07-2024%' or</v>
      </c>
    </row>
    <row r="104" spans="1:5" x14ac:dyDescent="0.25">
      <c r="A104" t="s">
        <v>217</v>
      </c>
      <c r="B104" t="s">
        <v>2487</v>
      </c>
      <c r="D104">
        <v>92286</v>
      </c>
      <c r="E104" t="str">
        <f t="shared" si="1"/>
        <v>ia.assorted_string like '%92286-07-2024%' or</v>
      </c>
    </row>
    <row r="105" spans="1:5" x14ac:dyDescent="0.25">
      <c r="A105" t="s">
        <v>218</v>
      </c>
      <c r="B105" t="s">
        <v>2487</v>
      </c>
      <c r="D105">
        <v>92287</v>
      </c>
      <c r="E105" t="str">
        <f t="shared" si="1"/>
        <v>ia.assorted_string like '%92287-07-2024%' or</v>
      </c>
    </row>
    <row r="106" spans="1:5" x14ac:dyDescent="0.25">
      <c r="A106" t="s">
        <v>219</v>
      </c>
      <c r="B106" t="s">
        <v>2487</v>
      </c>
      <c r="D106">
        <v>92289</v>
      </c>
      <c r="E106" t="str">
        <f t="shared" si="1"/>
        <v>ia.assorted_string like '%92289-07-2024%' or</v>
      </c>
    </row>
    <row r="107" spans="1:5" x14ac:dyDescent="0.25">
      <c r="A107" t="s">
        <v>220</v>
      </c>
      <c r="B107" t="s">
        <v>2487</v>
      </c>
      <c r="D107">
        <v>92291</v>
      </c>
      <c r="E107" t="str">
        <f t="shared" si="1"/>
        <v>ia.assorted_string like '%92291-07-2024%' or</v>
      </c>
    </row>
    <row r="108" spans="1:5" x14ac:dyDescent="0.25">
      <c r="A108" t="s">
        <v>221</v>
      </c>
      <c r="B108" t="s">
        <v>2487</v>
      </c>
      <c r="D108">
        <v>92292</v>
      </c>
      <c r="E108" t="str">
        <f t="shared" si="1"/>
        <v>ia.assorted_string like '%92292-07-2024%' or</v>
      </c>
    </row>
    <row r="109" spans="1:5" x14ac:dyDescent="0.25">
      <c r="A109" t="s">
        <v>222</v>
      </c>
      <c r="B109" t="s">
        <v>2487</v>
      </c>
      <c r="D109">
        <v>92293</v>
      </c>
      <c r="E109" t="str">
        <f t="shared" si="1"/>
        <v>ia.assorted_string like '%92293-07-2024%' or</v>
      </c>
    </row>
    <row r="110" spans="1:5" x14ac:dyDescent="0.25">
      <c r="A110" t="s">
        <v>223</v>
      </c>
      <c r="B110" t="s">
        <v>2487</v>
      </c>
      <c r="D110">
        <v>92294</v>
      </c>
      <c r="E110" t="str">
        <f t="shared" si="1"/>
        <v>ia.assorted_string like '%92294-07-2024%' or</v>
      </c>
    </row>
    <row r="111" spans="1:5" x14ac:dyDescent="0.25">
      <c r="A111" t="s">
        <v>224</v>
      </c>
      <c r="B111" t="s">
        <v>2487</v>
      </c>
      <c r="D111">
        <v>92310</v>
      </c>
      <c r="E111" t="str">
        <f t="shared" si="1"/>
        <v>ia.assorted_string like '%92310-07-2024%' or</v>
      </c>
    </row>
    <row r="112" spans="1:5" x14ac:dyDescent="0.25">
      <c r="A112" t="s">
        <v>225</v>
      </c>
      <c r="B112" t="s">
        <v>2487</v>
      </c>
      <c r="D112">
        <v>92315</v>
      </c>
      <c r="E112" t="str">
        <f t="shared" si="1"/>
        <v>ia.assorted_string like '%92315-07-2024%' or</v>
      </c>
    </row>
    <row r="113" spans="1:5" x14ac:dyDescent="0.25">
      <c r="A113" t="s">
        <v>226</v>
      </c>
      <c r="B113" t="s">
        <v>2487</v>
      </c>
      <c r="D113">
        <v>92316</v>
      </c>
      <c r="E113" t="str">
        <f t="shared" si="1"/>
        <v>ia.assorted_string like '%92316-07-2024%' or</v>
      </c>
    </row>
    <row r="114" spans="1:5" x14ac:dyDescent="0.25">
      <c r="A114" t="s">
        <v>227</v>
      </c>
      <c r="B114" t="s">
        <v>2487</v>
      </c>
      <c r="D114">
        <v>92323</v>
      </c>
      <c r="E114" t="str">
        <f t="shared" si="1"/>
        <v>ia.assorted_string like '%92323-07-2024%' or</v>
      </c>
    </row>
    <row r="115" spans="1:5" x14ac:dyDescent="0.25">
      <c r="A115" t="s">
        <v>228</v>
      </c>
      <c r="B115" t="s">
        <v>2487</v>
      </c>
      <c r="D115">
        <v>92324</v>
      </c>
      <c r="E115" t="str">
        <f t="shared" si="1"/>
        <v>ia.assorted_string like '%92324-07-2024%' or</v>
      </c>
    </row>
    <row r="116" spans="1:5" x14ac:dyDescent="0.25">
      <c r="A116" t="s">
        <v>229</v>
      </c>
      <c r="B116" t="s">
        <v>2487</v>
      </c>
      <c r="D116">
        <v>92330</v>
      </c>
      <c r="E116" t="str">
        <f t="shared" si="1"/>
        <v>ia.assorted_string like '%92330-07-2024%' or</v>
      </c>
    </row>
    <row r="117" spans="1:5" x14ac:dyDescent="0.25">
      <c r="A117" t="s">
        <v>230</v>
      </c>
      <c r="B117" t="s">
        <v>2487</v>
      </c>
      <c r="D117">
        <v>92337</v>
      </c>
      <c r="E117" t="str">
        <f t="shared" si="1"/>
        <v>ia.assorted_string like '%92337-07-2024%' or</v>
      </c>
    </row>
    <row r="118" spans="1:5" x14ac:dyDescent="0.25">
      <c r="A118" t="s">
        <v>231</v>
      </c>
      <c r="B118" t="s">
        <v>2487</v>
      </c>
      <c r="D118">
        <v>92349</v>
      </c>
      <c r="E118" t="str">
        <f t="shared" si="1"/>
        <v>ia.assorted_string like '%92349-07-2024%' or</v>
      </c>
    </row>
    <row r="119" spans="1:5" x14ac:dyDescent="0.25">
      <c r="A119" t="s">
        <v>232</v>
      </c>
      <c r="B119" t="s">
        <v>2487</v>
      </c>
      <c r="D119">
        <v>92354</v>
      </c>
      <c r="E119" t="str">
        <f t="shared" si="1"/>
        <v>ia.assorted_string like '%92354-07-2024%' or</v>
      </c>
    </row>
    <row r="120" spans="1:5" x14ac:dyDescent="0.25">
      <c r="A120" t="s">
        <v>233</v>
      </c>
      <c r="B120" t="s">
        <v>2487</v>
      </c>
      <c r="D120">
        <v>92357</v>
      </c>
      <c r="E120" t="str">
        <f t="shared" si="1"/>
        <v>ia.assorted_string like '%92357-07-2024%' or</v>
      </c>
    </row>
    <row r="121" spans="1:5" x14ac:dyDescent="0.25">
      <c r="A121" t="s">
        <v>234</v>
      </c>
      <c r="B121" t="s">
        <v>2487</v>
      </c>
      <c r="D121">
        <v>92358</v>
      </c>
      <c r="E121" t="str">
        <f t="shared" si="1"/>
        <v>ia.assorted_string like '%92358-07-2024%' or</v>
      </c>
    </row>
    <row r="122" spans="1:5" x14ac:dyDescent="0.25">
      <c r="A122" t="s">
        <v>235</v>
      </c>
      <c r="B122" t="s">
        <v>2487</v>
      </c>
      <c r="D122">
        <v>92360</v>
      </c>
      <c r="E122" t="str">
        <f t="shared" si="1"/>
        <v>ia.assorted_string like '%92360-07-2024%' or</v>
      </c>
    </row>
    <row r="123" spans="1:5" x14ac:dyDescent="0.25">
      <c r="A123" t="s">
        <v>236</v>
      </c>
      <c r="B123" t="s">
        <v>2487</v>
      </c>
      <c r="D123">
        <v>92362</v>
      </c>
      <c r="E123" t="str">
        <f t="shared" si="1"/>
        <v>ia.assorted_string like '%92362-07-2024%' or</v>
      </c>
    </row>
    <row r="124" spans="1:5" x14ac:dyDescent="0.25">
      <c r="A124" t="s">
        <v>237</v>
      </c>
      <c r="B124" t="s">
        <v>2487</v>
      </c>
      <c r="D124">
        <v>92367</v>
      </c>
      <c r="E124" t="str">
        <f t="shared" si="1"/>
        <v>ia.assorted_string like '%92367-07-2024%' or</v>
      </c>
    </row>
    <row r="125" spans="1:5" x14ac:dyDescent="0.25">
      <c r="A125" t="s">
        <v>238</v>
      </c>
      <c r="B125" t="s">
        <v>2487</v>
      </c>
      <c r="D125">
        <v>92370</v>
      </c>
      <c r="E125" t="str">
        <f t="shared" si="1"/>
        <v>ia.assorted_string like '%92370-07-2024%' or</v>
      </c>
    </row>
    <row r="126" spans="1:5" x14ac:dyDescent="0.25">
      <c r="A126" t="s">
        <v>239</v>
      </c>
      <c r="B126" t="s">
        <v>2487</v>
      </c>
      <c r="D126">
        <v>92375</v>
      </c>
      <c r="E126" t="str">
        <f t="shared" si="1"/>
        <v>ia.assorted_string like '%92375-07-2024%' or</v>
      </c>
    </row>
    <row r="127" spans="1:5" x14ac:dyDescent="0.25">
      <c r="A127" t="s">
        <v>240</v>
      </c>
      <c r="B127" t="s">
        <v>2487</v>
      </c>
      <c r="D127">
        <v>92377</v>
      </c>
      <c r="E127" t="str">
        <f t="shared" si="1"/>
        <v>ia.assorted_string like '%92377-07-2024%' or</v>
      </c>
    </row>
    <row r="128" spans="1:5" x14ac:dyDescent="0.25">
      <c r="A128" t="s">
        <v>241</v>
      </c>
      <c r="B128" t="s">
        <v>2487</v>
      </c>
      <c r="D128">
        <v>92378</v>
      </c>
      <c r="E128" t="str">
        <f t="shared" si="1"/>
        <v>ia.assorted_string like '%92378-07-2024%' or</v>
      </c>
    </row>
    <row r="129" spans="1:5" x14ac:dyDescent="0.25">
      <c r="A129" t="s">
        <v>242</v>
      </c>
      <c r="B129" t="s">
        <v>2487</v>
      </c>
      <c r="D129">
        <v>92390</v>
      </c>
      <c r="E129" t="str">
        <f t="shared" si="1"/>
        <v>ia.assorted_string like '%92390-07-2024%' or</v>
      </c>
    </row>
    <row r="130" spans="1:5" x14ac:dyDescent="0.25">
      <c r="A130" t="s">
        <v>243</v>
      </c>
      <c r="B130" t="s">
        <v>2487</v>
      </c>
      <c r="D130">
        <v>92392</v>
      </c>
      <c r="E130" t="str">
        <f t="shared" ref="E130:E193" si="2">"ia.assorted_string like '%"&amp;D130&amp;B130&amp;"%' or"</f>
        <v>ia.assorted_string like '%92392-07-2024%' or</v>
      </c>
    </row>
    <row r="131" spans="1:5" x14ac:dyDescent="0.25">
      <c r="A131" t="s">
        <v>244</v>
      </c>
      <c r="B131" t="s">
        <v>2487</v>
      </c>
      <c r="D131">
        <v>92399</v>
      </c>
      <c r="E131" t="str">
        <f t="shared" si="2"/>
        <v>ia.assorted_string like '%92399-07-2024%' or</v>
      </c>
    </row>
    <row r="132" spans="1:5" x14ac:dyDescent="0.25">
      <c r="A132" t="s">
        <v>245</v>
      </c>
      <c r="B132" t="s">
        <v>2487</v>
      </c>
      <c r="D132">
        <v>92404</v>
      </c>
      <c r="E132" t="str">
        <f t="shared" si="2"/>
        <v>ia.assorted_string like '%92404-07-2024%' or</v>
      </c>
    </row>
    <row r="133" spans="1:5" x14ac:dyDescent="0.25">
      <c r="A133" t="s">
        <v>246</v>
      </c>
      <c r="B133" t="s">
        <v>2487</v>
      </c>
      <c r="D133">
        <v>92405</v>
      </c>
      <c r="E133" t="str">
        <f t="shared" si="2"/>
        <v>ia.assorted_string like '%92405-07-2024%' or</v>
      </c>
    </row>
    <row r="134" spans="1:5" x14ac:dyDescent="0.25">
      <c r="A134" t="s">
        <v>247</v>
      </c>
      <c r="B134" t="s">
        <v>2487</v>
      </c>
      <c r="D134">
        <v>92406</v>
      </c>
      <c r="E134" t="str">
        <f t="shared" si="2"/>
        <v>ia.assorted_string like '%92406-07-2024%' or</v>
      </c>
    </row>
    <row r="135" spans="1:5" x14ac:dyDescent="0.25">
      <c r="A135" t="s">
        <v>248</v>
      </c>
      <c r="B135" t="s">
        <v>2487</v>
      </c>
      <c r="D135">
        <v>92407</v>
      </c>
      <c r="E135" t="str">
        <f t="shared" si="2"/>
        <v>ia.assorted_string like '%92407-07-2024%' or</v>
      </c>
    </row>
    <row r="136" spans="1:5" x14ac:dyDescent="0.25">
      <c r="A136" t="s">
        <v>249</v>
      </c>
      <c r="B136" t="s">
        <v>2487</v>
      </c>
      <c r="D136">
        <v>92408</v>
      </c>
      <c r="E136" t="str">
        <f t="shared" si="2"/>
        <v>ia.assorted_string like '%92408-07-2024%' or</v>
      </c>
    </row>
    <row r="137" spans="1:5" x14ac:dyDescent="0.25">
      <c r="A137" t="s">
        <v>250</v>
      </c>
      <c r="B137" t="s">
        <v>2487</v>
      </c>
      <c r="D137">
        <v>92409</v>
      </c>
      <c r="E137" t="str">
        <f t="shared" si="2"/>
        <v>ia.assorted_string like '%92409-07-2024%' or</v>
      </c>
    </row>
    <row r="138" spans="1:5" x14ac:dyDescent="0.25">
      <c r="A138" t="s">
        <v>251</v>
      </c>
      <c r="B138" t="s">
        <v>2487</v>
      </c>
      <c r="D138">
        <v>92411</v>
      </c>
      <c r="E138" t="str">
        <f t="shared" si="2"/>
        <v>ia.assorted_string like '%92411-07-2024%' or</v>
      </c>
    </row>
    <row r="139" spans="1:5" x14ac:dyDescent="0.25">
      <c r="A139" t="s">
        <v>252</v>
      </c>
      <c r="B139" t="s">
        <v>2487</v>
      </c>
      <c r="D139">
        <v>92412</v>
      </c>
      <c r="E139" t="str">
        <f t="shared" si="2"/>
        <v>ia.assorted_string like '%92412-07-2024%' or</v>
      </c>
    </row>
    <row r="140" spans="1:5" x14ac:dyDescent="0.25">
      <c r="A140" t="s">
        <v>253</v>
      </c>
      <c r="B140" t="s">
        <v>2487</v>
      </c>
      <c r="D140">
        <v>92414</v>
      </c>
      <c r="E140" t="str">
        <f t="shared" si="2"/>
        <v>ia.assorted_string like '%92414-07-2024%' or</v>
      </c>
    </row>
    <row r="141" spans="1:5" x14ac:dyDescent="0.25">
      <c r="A141" t="s">
        <v>254</v>
      </c>
      <c r="B141" t="s">
        <v>2487</v>
      </c>
      <c r="D141">
        <v>92421</v>
      </c>
      <c r="E141" t="str">
        <f t="shared" si="2"/>
        <v>ia.assorted_string like '%92421-07-2024%' or</v>
      </c>
    </row>
    <row r="142" spans="1:5" x14ac:dyDescent="0.25">
      <c r="A142" t="s">
        <v>255</v>
      </c>
      <c r="B142" t="s">
        <v>2487</v>
      </c>
      <c r="D142">
        <v>92422</v>
      </c>
      <c r="E142" t="str">
        <f t="shared" si="2"/>
        <v>ia.assorted_string like '%92422-07-2024%' or</v>
      </c>
    </row>
    <row r="143" spans="1:5" x14ac:dyDescent="0.25">
      <c r="A143" t="s">
        <v>256</v>
      </c>
      <c r="B143" t="s">
        <v>2487</v>
      </c>
      <c r="D143">
        <v>92427</v>
      </c>
      <c r="E143" t="str">
        <f t="shared" si="2"/>
        <v>ia.assorted_string like '%92427-07-2024%' or</v>
      </c>
    </row>
    <row r="144" spans="1:5" x14ac:dyDescent="0.25">
      <c r="A144" t="s">
        <v>257</v>
      </c>
      <c r="B144" t="s">
        <v>2487</v>
      </c>
      <c r="D144">
        <v>92429</v>
      </c>
      <c r="E144" t="str">
        <f t="shared" si="2"/>
        <v>ia.assorted_string like '%92429-07-2024%' or</v>
      </c>
    </row>
    <row r="145" spans="1:5" x14ac:dyDescent="0.25">
      <c r="A145" t="s">
        <v>258</v>
      </c>
      <c r="B145" t="s">
        <v>2487</v>
      </c>
      <c r="D145">
        <v>92430</v>
      </c>
      <c r="E145" t="str">
        <f t="shared" si="2"/>
        <v>ia.assorted_string like '%92430-07-2024%' or</v>
      </c>
    </row>
    <row r="146" spans="1:5" x14ac:dyDescent="0.25">
      <c r="A146" t="s">
        <v>259</v>
      </c>
      <c r="B146" t="s">
        <v>2487</v>
      </c>
      <c r="D146">
        <v>92432</v>
      </c>
      <c r="E146" t="str">
        <f t="shared" si="2"/>
        <v>ia.assorted_string like '%92432-07-2024%' or</v>
      </c>
    </row>
    <row r="147" spans="1:5" x14ac:dyDescent="0.25">
      <c r="A147" t="s">
        <v>260</v>
      </c>
      <c r="B147" t="s">
        <v>2487</v>
      </c>
      <c r="D147">
        <v>92433</v>
      </c>
      <c r="E147" t="str">
        <f t="shared" si="2"/>
        <v>ia.assorted_string like '%92433-07-2024%' or</v>
      </c>
    </row>
    <row r="148" spans="1:5" x14ac:dyDescent="0.25">
      <c r="A148" t="s">
        <v>261</v>
      </c>
      <c r="B148" t="s">
        <v>2487</v>
      </c>
      <c r="D148">
        <v>92434</v>
      </c>
      <c r="E148" t="str">
        <f t="shared" si="2"/>
        <v>ia.assorted_string like '%92434-07-2024%' or</v>
      </c>
    </row>
    <row r="149" spans="1:5" x14ac:dyDescent="0.25">
      <c r="A149" t="s">
        <v>262</v>
      </c>
      <c r="B149" t="s">
        <v>2487</v>
      </c>
      <c r="D149">
        <v>92435</v>
      </c>
      <c r="E149" t="str">
        <f t="shared" si="2"/>
        <v>ia.assorted_string like '%92435-07-2024%' or</v>
      </c>
    </row>
    <row r="150" spans="1:5" x14ac:dyDescent="0.25">
      <c r="A150" t="s">
        <v>263</v>
      </c>
      <c r="B150" t="s">
        <v>2487</v>
      </c>
      <c r="D150">
        <v>92436</v>
      </c>
      <c r="E150" t="str">
        <f t="shared" si="2"/>
        <v>ia.assorted_string like '%92436-07-2024%' or</v>
      </c>
    </row>
    <row r="151" spans="1:5" x14ac:dyDescent="0.25">
      <c r="A151" t="s">
        <v>264</v>
      </c>
      <c r="B151" t="s">
        <v>2487</v>
      </c>
      <c r="D151">
        <v>92437</v>
      </c>
      <c r="E151" t="str">
        <f t="shared" si="2"/>
        <v>ia.assorted_string like '%92437-07-2024%' or</v>
      </c>
    </row>
    <row r="152" spans="1:5" x14ac:dyDescent="0.25">
      <c r="A152" t="s">
        <v>265</v>
      </c>
      <c r="B152" t="s">
        <v>2487</v>
      </c>
      <c r="D152">
        <v>92438</v>
      </c>
      <c r="E152" t="str">
        <f t="shared" si="2"/>
        <v>ia.assorted_string like '%92438-07-2024%' or</v>
      </c>
    </row>
    <row r="153" spans="1:5" x14ac:dyDescent="0.25">
      <c r="A153" t="s">
        <v>266</v>
      </c>
      <c r="B153" t="s">
        <v>2487</v>
      </c>
      <c r="D153">
        <v>92439</v>
      </c>
      <c r="E153" t="str">
        <f t="shared" si="2"/>
        <v>ia.assorted_string like '%92439-07-2024%' or</v>
      </c>
    </row>
    <row r="154" spans="1:5" x14ac:dyDescent="0.25">
      <c r="A154" t="s">
        <v>267</v>
      </c>
      <c r="B154" t="s">
        <v>2487</v>
      </c>
      <c r="D154">
        <v>92440</v>
      </c>
      <c r="E154" t="str">
        <f t="shared" si="2"/>
        <v>ia.assorted_string like '%92440-07-2024%' or</v>
      </c>
    </row>
    <row r="155" spans="1:5" x14ac:dyDescent="0.25">
      <c r="A155" t="s">
        <v>268</v>
      </c>
      <c r="B155" t="s">
        <v>2487</v>
      </c>
      <c r="D155">
        <v>92442</v>
      </c>
      <c r="E155" t="str">
        <f t="shared" si="2"/>
        <v>ia.assorted_string like '%92442-07-2024%' or</v>
      </c>
    </row>
    <row r="156" spans="1:5" x14ac:dyDescent="0.25">
      <c r="A156" t="s">
        <v>269</v>
      </c>
      <c r="B156" t="s">
        <v>2487</v>
      </c>
      <c r="D156">
        <v>92443</v>
      </c>
      <c r="E156" t="str">
        <f t="shared" si="2"/>
        <v>ia.assorted_string like '%92443-07-2024%' or</v>
      </c>
    </row>
    <row r="157" spans="1:5" x14ac:dyDescent="0.25">
      <c r="A157" t="s">
        <v>270</v>
      </c>
      <c r="B157" t="s">
        <v>2487</v>
      </c>
      <c r="D157">
        <v>92444</v>
      </c>
      <c r="E157" t="str">
        <f t="shared" si="2"/>
        <v>ia.assorted_string like '%92444-07-2024%' or</v>
      </c>
    </row>
    <row r="158" spans="1:5" x14ac:dyDescent="0.25">
      <c r="A158" t="s">
        <v>271</v>
      </c>
      <c r="B158" t="s">
        <v>2487</v>
      </c>
      <c r="D158">
        <v>92445</v>
      </c>
      <c r="E158" t="str">
        <f t="shared" si="2"/>
        <v>ia.assorted_string like '%92445-07-2024%' or</v>
      </c>
    </row>
    <row r="159" spans="1:5" x14ac:dyDescent="0.25">
      <c r="A159" t="s">
        <v>272</v>
      </c>
      <c r="B159" t="s">
        <v>2487</v>
      </c>
      <c r="D159">
        <v>92446</v>
      </c>
      <c r="E159" t="str">
        <f t="shared" si="2"/>
        <v>ia.assorted_string like '%92446-07-2024%' or</v>
      </c>
    </row>
    <row r="160" spans="1:5" x14ac:dyDescent="0.25">
      <c r="A160" t="s">
        <v>273</v>
      </c>
      <c r="B160" t="s">
        <v>2487</v>
      </c>
      <c r="D160">
        <v>92453</v>
      </c>
      <c r="E160" t="str">
        <f t="shared" si="2"/>
        <v>ia.assorted_string like '%92453-07-2024%' or</v>
      </c>
    </row>
    <row r="161" spans="1:5" x14ac:dyDescent="0.25">
      <c r="A161" t="s">
        <v>274</v>
      </c>
      <c r="B161" t="s">
        <v>2487</v>
      </c>
      <c r="D161">
        <v>92454</v>
      </c>
      <c r="E161" t="str">
        <f t="shared" si="2"/>
        <v>ia.assorted_string like '%92454-07-2024%' or</v>
      </c>
    </row>
    <row r="162" spans="1:5" x14ac:dyDescent="0.25">
      <c r="A162" t="s">
        <v>275</v>
      </c>
      <c r="B162" t="s">
        <v>2487</v>
      </c>
      <c r="D162">
        <v>92455</v>
      </c>
      <c r="E162" t="str">
        <f t="shared" si="2"/>
        <v>ia.assorted_string like '%92455-07-2024%' or</v>
      </c>
    </row>
    <row r="163" spans="1:5" x14ac:dyDescent="0.25">
      <c r="A163" t="s">
        <v>276</v>
      </c>
      <c r="B163" t="s">
        <v>2487</v>
      </c>
      <c r="D163">
        <v>92458</v>
      </c>
      <c r="E163" t="str">
        <f t="shared" si="2"/>
        <v>ia.assorted_string like '%92458-07-2024%' or</v>
      </c>
    </row>
    <row r="164" spans="1:5" x14ac:dyDescent="0.25">
      <c r="A164" t="s">
        <v>277</v>
      </c>
      <c r="B164" t="s">
        <v>2487</v>
      </c>
      <c r="D164">
        <v>92460</v>
      </c>
      <c r="E164" t="str">
        <f t="shared" si="2"/>
        <v>ia.assorted_string like '%92460-07-2024%' or</v>
      </c>
    </row>
    <row r="165" spans="1:5" x14ac:dyDescent="0.25">
      <c r="A165" t="s">
        <v>278</v>
      </c>
      <c r="B165" t="s">
        <v>2487</v>
      </c>
      <c r="D165">
        <v>92461</v>
      </c>
      <c r="E165" t="str">
        <f t="shared" si="2"/>
        <v>ia.assorted_string like '%92461-07-2024%' or</v>
      </c>
    </row>
    <row r="166" spans="1:5" x14ac:dyDescent="0.25">
      <c r="A166" t="s">
        <v>279</v>
      </c>
      <c r="B166" t="s">
        <v>2487</v>
      </c>
      <c r="D166">
        <v>92462</v>
      </c>
      <c r="E166" t="str">
        <f t="shared" si="2"/>
        <v>ia.assorted_string like '%92462-07-2024%' or</v>
      </c>
    </row>
    <row r="167" spans="1:5" x14ac:dyDescent="0.25">
      <c r="A167" t="s">
        <v>280</v>
      </c>
      <c r="B167" t="s">
        <v>2487</v>
      </c>
      <c r="D167">
        <v>92463</v>
      </c>
      <c r="E167" t="str">
        <f t="shared" si="2"/>
        <v>ia.assorted_string like '%92463-07-2024%' or</v>
      </c>
    </row>
    <row r="168" spans="1:5" x14ac:dyDescent="0.25">
      <c r="A168" t="s">
        <v>281</v>
      </c>
      <c r="B168" t="s">
        <v>2487</v>
      </c>
      <c r="D168">
        <v>92464</v>
      </c>
      <c r="E168" t="str">
        <f t="shared" si="2"/>
        <v>ia.assorted_string like '%92464-07-2024%' or</v>
      </c>
    </row>
    <row r="169" spans="1:5" x14ac:dyDescent="0.25">
      <c r="A169" t="s">
        <v>282</v>
      </c>
      <c r="B169" t="s">
        <v>2487</v>
      </c>
      <c r="D169">
        <v>92465</v>
      </c>
      <c r="E169" t="str">
        <f t="shared" si="2"/>
        <v>ia.assorted_string like '%92465-07-2024%' or</v>
      </c>
    </row>
    <row r="170" spans="1:5" x14ac:dyDescent="0.25">
      <c r="A170" t="s">
        <v>283</v>
      </c>
      <c r="B170" t="s">
        <v>2487</v>
      </c>
      <c r="D170">
        <v>92467</v>
      </c>
      <c r="E170" t="str">
        <f t="shared" si="2"/>
        <v>ia.assorted_string like '%92467-07-2024%' or</v>
      </c>
    </row>
    <row r="171" spans="1:5" x14ac:dyDescent="0.25">
      <c r="A171" t="s">
        <v>284</v>
      </c>
      <c r="B171" t="s">
        <v>2487</v>
      </c>
      <c r="D171">
        <v>92468</v>
      </c>
      <c r="E171" t="str">
        <f t="shared" si="2"/>
        <v>ia.assorted_string like '%92468-07-2024%' or</v>
      </c>
    </row>
    <row r="172" spans="1:5" x14ac:dyDescent="0.25">
      <c r="A172" t="s">
        <v>285</v>
      </c>
      <c r="B172" t="s">
        <v>2487</v>
      </c>
      <c r="D172">
        <v>92474</v>
      </c>
      <c r="E172" t="str">
        <f t="shared" si="2"/>
        <v>ia.assorted_string like '%92474-07-2024%' or</v>
      </c>
    </row>
    <row r="173" spans="1:5" x14ac:dyDescent="0.25">
      <c r="A173" t="s">
        <v>286</v>
      </c>
      <c r="B173" t="s">
        <v>2487</v>
      </c>
      <c r="D173">
        <v>92475</v>
      </c>
      <c r="E173" t="str">
        <f t="shared" si="2"/>
        <v>ia.assorted_string like '%92475-07-2024%' or</v>
      </c>
    </row>
    <row r="174" spans="1:5" x14ac:dyDescent="0.25">
      <c r="A174" t="s">
        <v>287</v>
      </c>
      <c r="B174" t="s">
        <v>2487</v>
      </c>
      <c r="D174">
        <v>92476</v>
      </c>
      <c r="E174" t="str">
        <f t="shared" si="2"/>
        <v>ia.assorted_string like '%92476-07-2024%' or</v>
      </c>
    </row>
    <row r="175" spans="1:5" x14ac:dyDescent="0.25">
      <c r="A175" t="s">
        <v>288</v>
      </c>
      <c r="B175" t="s">
        <v>2487</v>
      </c>
      <c r="D175">
        <v>92477</v>
      </c>
      <c r="E175" t="str">
        <f t="shared" si="2"/>
        <v>ia.assorted_string like '%92477-07-2024%' or</v>
      </c>
    </row>
    <row r="176" spans="1:5" x14ac:dyDescent="0.25">
      <c r="A176" t="s">
        <v>289</v>
      </c>
      <c r="B176" t="s">
        <v>2487</v>
      </c>
      <c r="D176">
        <v>92478</v>
      </c>
      <c r="E176" t="str">
        <f t="shared" si="2"/>
        <v>ia.assorted_string like '%92478-07-2024%' or</v>
      </c>
    </row>
    <row r="177" spans="1:5" x14ac:dyDescent="0.25">
      <c r="A177" t="s">
        <v>290</v>
      </c>
      <c r="B177" t="s">
        <v>2487</v>
      </c>
      <c r="D177">
        <v>92479</v>
      </c>
      <c r="E177" t="str">
        <f t="shared" si="2"/>
        <v>ia.assorted_string like '%92479-07-2024%' or</v>
      </c>
    </row>
    <row r="178" spans="1:5" x14ac:dyDescent="0.25">
      <c r="A178" t="s">
        <v>291</v>
      </c>
      <c r="B178" t="s">
        <v>2487</v>
      </c>
      <c r="D178">
        <v>92480</v>
      </c>
      <c r="E178" t="str">
        <f t="shared" si="2"/>
        <v>ia.assorted_string like '%92480-07-2024%' or</v>
      </c>
    </row>
    <row r="179" spans="1:5" x14ac:dyDescent="0.25">
      <c r="A179" t="s">
        <v>292</v>
      </c>
      <c r="B179" t="s">
        <v>2487</v>
      </c>
      <c r="D179">
        <v>92481</v>
      </c>
      <c r="E179" t="str">
        <f t="shared" si="2"/>
        <v>ia.assorted_string like '%92481-07-2024%' or</v>
      </c>
    </row>
    <row r="180" spans="1:5" x14ac:dyDescent="0.25">
      <c r="A180" t="s">
        <v>293</v>
      </c>
      <c r="B180" t="s">
        <v>2487</v>
      </c>
      <c r="D180">
        <v>92482</v>
      </c>
      <c r="E180" t="str">
        <f t="shared" si="2"/>
        <v>ia.assorted_string like '%92482-07-2024%' or</v>
      </c>
    </row>
    <row r="181" spans="1:5" x14ac:dyDescent="0.25">
      <c r="A181" t="s">
        <v>294</v>
      </c>
      <c r="B181" t="s">
        <v>2487</v>
      </c>
      <c r="D181">
        <v>92483</v>
      </c>
      <c r="E181" t="str">
        <f t="shared" si="2"/>
        <v>ia.assorted_string like '%92483-07-2024%' or</v>
      </c>
    </row>
    <row r="182" spans="1:5" x14ac:dyDescent="0.25">
      <c r="A182" t="s">
        <v>295</v>
      </c>
      <c r="B182" t="s">
        <v>2487</v>
      </c>
      <c r="D182">
        <v>92484</v>
      </c>
      <c r="E182" t="str">
        <f t="shared" si="2"/>
        <v>ia.assorted_string like '%92484-07-2024%' or</v>
      </c>
    </row>
    <row r="183" spans="1:5" x14ac:dyDescent="0.25">
      <c r="A183" t="s">
        <v>296</v>
      </c>
      <c r="B183" t="s">
        <v>2487</v>
      </c>
      <c r="D183">
        <v>92485</v>
      </c>
      <c r="E183" t="str">
        <f t="shared" si="2"/>
        <v>ia.assorted_string like '%92485-07-2024%' or</v>
      </c>
    </row>
    <row r="184" spans="1:5" x14ac:dyDescent="0.25">
      <c r="A184" t="s">
        <v>297</v>
      </c>
      <c r="B184" t="s">
        <v>2487</v>
      </c>
      <c r="D184">
        <v>92486</v>
      </c>
      <c r="E184" t="str">
        <f t="shared" si="2"/>
        <v>ia.assorted_string like '%92486-07-2024%' or</v>
      </c>
    </row>
    <row r="185" spans="1:5" x14ac:dyDescent="0.25">
      <c r="A185" t="s">
        <v>298</v>
      </c>
      <c r="B185" t="s">
        <v>2487</v>
      </c>
      <c r="D185">
        <v>92487</v>
      </c>
      <c r="E185" t="str">
        <f t="shared" si="2"/>
        <v>ia.assorted_string like '%92487-07-2024%' or</v>
      </c>
    </row>
    <row r="186" spans="1:5" x14ac:dyDescent="0.25">
      <c r="A186" t="s">
        <v>299</v>
      </c>
      <c r="B186" t="s">
        <v>2487</v>
      </c>
      <c r="D186">
        <v>92488</v>
      </c>
      <c r="E186" t="str">
        <f t="shared" si="2"/>
        <v>ia.assorted_string like '%92488-07-2024%' or</v>
      </c>
    </row>
    <row r="187" spans="1:5" x14ac:dyDescent="0.25">
      <c r="A187" t="s">
        <v>300</v>
      </c>
      <c r="B187" t="s">
        <v>2487</v>
      </c>
      <c r="D187">
        <v>92489</v>
      </c>
      <c r="E187" t="str">
        <f t="shared" si="2"/>
        <v>ia.assorted_string like '%92489-07-2024%' or</v>
      </c>
    </row>
    <row r="188" spans="1:5" x14ac:dyDescent="0.25">
      <c r="A188" t="s">
        <v>301</v>
      </c>
      <c r="B188" t="s">
        <v>2487</v>
      </c>
      <c r="D188">
        <v>92504</v>
      </c>
      <c r="E188" t="str">
        <f t="shared" si="2"/>
        <v>ia.assorted_string like '%92504-07-2024%' or</v>
      </c>
    </row>
    <row r="189" spans="1:5" x14ac:dyDescent="0.25">
      <c r="A189" t="s">
        <v>302</v>
      </c>
      <c r="B189" t="s">
        <v>2487</v>
      </c>
      <c r="D189">
        <v>92505</v>
      </c>
      <c r="E189" t="str">
        <f t="shared" si="2"/>
        <v>ia.assorted_string like '%92505-07-2024%' or</v>
      </c>
    </row>
    <row r="190" spans="1:5" x14ac:dyDescent="0.25">
      <c r="A190" t="s">
        <v>303</v>
      </c>
      <c r="B190" t="s">
        <v>2487</v>
      </c>
      <c r="D190">
        <v>92508</v>
      </c>
      <c r="E190" t="str">
        <f t="shared" si="2"/>
        <v>ia.assorted_string like '%92508-07-2024%' or</v>
      </c>
    </row>
    <row r="191" spans="1:5" x14ac:dyDescent="0.25">
      <c r="A191" t="s">
        <v>304</v>
      </c>
      <c r="B191" t="s">
        <v>2487</v>
      </c>
      <c r="D191">
        <v>92510</v>
      </c>
      <c r="E191" t="str">
        <f t="shared" si="2"/>
        <v>ia.assorted_string like '%92510-07-2024%' or</v>
      </c>
    </row>
    <row r="192" spans="1:5" x14ac:dyDescent="0.25">
      <c r="A192" t="s">
        <v>305</v>
      </c>
      <c r="B192" t="s">
        <v>2487</v>
      </c>
      <c r="D192">
        <v>92511</v>
      </c>
      <c r="E192" t="str">
        <f t="shared" si="2"/>
        <v>ia.assorted_string like '%92511-07-2024%' or</v>
      </c>
    </row>
    <row r="193" spans="1:5" x14ac:dyDescent="0.25">
      <c r="A193" t="s">
        <v>306</v>
      </c>
      <c r="B193" t="s">
        <v>2487</v>
      </c>
      <c r="D193">
        <v>92512</v>
      </c>
      <c r="E193" t="str">
        <f t="shared" si="2"/>
        <v>ia.assorted_string like '%92512-07-2024%' or</v>
      </c>
    </row>
    <row r="194" spans="1:5" x14ac:dyDescent="0.25">
      <c r="A194" t="s">
        <v>307</v>
      </c>
      <c r="B194" t="s">
        <v>2487</v>
      </c>
      <c r="D194">
        <v>92513</v>
      </c>
      <c r="E194" t="str">
        <f t="shared" ref="E194:E257" si="3">"ia.assorted_string like '%"&amp;D194&amp;B194&amp;"%' or"</f>
        <v>ia.assorted_string like '%92513-07-2024%' or</v>
      </c>
    </row>
    <row r="195" spans="1:5" x14ac:dyDescent="0.25">
      <c r="A195" t="s">
        <v>308</v>
      </c>
      <c r="B195" t="s">
        <v>2487</v>
      </c>
      <c r="D195">
        <v>92516</v>
      </c>
      <c r="E195" t="str">
        <f t="shared" si="3"/>
        <v>ia.assorted_string like '%92516-07-2024%' or</v>
      </c>
    </row>
    <row r="196" spans="1:5" x14ac:dyDescent="0.25">
      <c r="A196" t="s">
        <v>309</v>
      </c>
      <c r="B196" t="s">
        <v>2487</v>
      </c>
      <c r="D196">
        <v>92517</v>
      </c>
      <c r="E196" t="str">
        <f t="shared" si="3"/>
        <v>ia.assorted_string like '%92517-07-2024%' or</v>
      </c>
    </row>
    <row r="197" spans="1:5" x14ac:dyDescent="0.25">
      <c r="A197" t="s">
        <v>310</v>
      </c>
      <c r="B197" t="s">
        <v>2487</v>
      </c>
      <c r="D197">
        <v>92518</v>
      </c>
      <c r="E197" t="str">
        <f t="shared" si="3"/>
        <v>ia.assorted_string like '%92518-07-2024%' or</v>
      </c>
    </row>
    <row r="198" spans="1:5" x14ac:dyDescent="0.25">
      <c r="A198" t="s">
        <v>311</v>
      </c>
      <c r="B198" t="s">
        <v>2487</v>
      </c>
      <c r="D198">
        <v>92519</v>
      </c>
      <c r="E198" t="str">
        <f t="shared" si="3"/>
        <v>ia.assorted_string like '%92519-07-2024%' or</v>
      </c>
    </row>
    <row r="199" spans="1:5" x14ac:dyDescent="0.25">
      <c r="A199" t="s">
        <v>312</v>
      </c>
      <c r="B199" t="s">
        <v>2487</v>
      </c>
      <c r="D199">
        <v>92520</v>
      </c>
      <c r="E199" t="str">
        <f t="shared" si="3"/>
        <v>ia.assorted_string like '%92520-07-2024%' or</v>
      </c>
    </row>
    <row r="200" spans="1:5" x14ac:dyDescent="0.25">
      <c r="A200" t="s">
        <v>313</v>
      </c>
      <c r="B200" t="s">
        <v>2487</v>
      </c>
      <c r="D200">
        <v>92522</v>
      </c>
      <c r="E200" t="str">
        <f t="shared" si="3"/>
        <v>ia.assorted_string like '%92522-07-2024%' or</v>
      </c>
    </row>
    <row r="201" spans="1:5" x14ac:dyDescent="0.25">
      <c r="A201" t="s">
        <v>314</v>
      </c>
      <c r="B201" t="s">
        <v>2487</v>
      </c>
      <c r="D201">
        <v>92523</v>
      </c>
      <c r="E201" t="str">
        <f t="shared" si="3"/>
        <v>ia.assorted_string like '%92523-07-2024%' or</v>
      </c>
    </row>
    <row r="202" spans="1:5" x14ac:dyDescent="0.25">
      <c r="A202" t="s">
        <v>315</v>
      </c>
      <c r="B202" t="s">
        <v>2487</v>
      </c>
      <c r="D202">
        <v>92524</v>
      </c>
      <c r="E202" t="str">
        <f t="shared" si="3"/>
        <v>ia.assorted_string like '%92524-07-2024%' or</v>
      </c>
    </row>
    <row r="203" spans="1:5" x14ac:dyDescent="0.25">
      <c r="A203" t="s">
        <v>316</v>
      </c>
      <c r="B203" t="s">
        <v>2487</v>
      </c>
      <c r="D203">
        <v>92525</v>
      </c>
      <c r="E203" t="str">
        <f t="shared" si="3"/>
        <v>ia.assorted_string like '%92525-07-2024%' or</v>
      </c>
    </row>
    <row r="204" spans="1:5" x14ac:dyDescent="0.25">
      <c r="A204" t="s">
        <v>317</v>
      </c>
      <c r="B204" t="s">
        <v>2487</v>
      </c>
      <c r="D204">
        <v>92535</v>
      </c>
      <c r="E204" t="str">
        <f t="shared" si="3"/>
        <v>ia.assorted_string like '%92535-07-2024%' or</v>
      </c>
    </row>
    <row r="205" spans="1:5" x14ac:dyDescent="0.25">
      <c r="A205" t="s">
        <v>318</v>
      </c>
      <c r="B205" t="s">
        <v>2487</v>
      </c>
      <c r="D205">
        <v>92536</v>
      </c>
      <c r="E205" t="str">
        <f t="shared" si="3"/>
        <v>ia.assorted_string like '%92536-07-2024%' or</v>
      </c>
    </row>
    <row r="206" spans="1:5" x14ac:dyDescent="0.25">
      <c r="A206" t="s">
        <v>319</v>
      </c>
      <c r="B206" t="s">
        <v>2487</v>
      </c>
      <c r="D206">
        <v>92546</v>
      </c>
      <c r="E206" t="str">
        <f t="shared" si="3"/>
        <v>ia.assorted_string like '%92546-07-2024%' or</v>
      </c>
    </row>
    <row r="207" spans="1:5" x14ac:dyDescent="0.25">
      <c r="A207" t="s">
        <v>320</v>
      </c>
      <c r="B207" t="s">
        <v>2487</v>
      </c>
      <c r="D207">
        <v>92559</v>
      </c>
      <c r="E207" t="str">
        <f t="shared" si="3"/>
        <v>ia.assorted_string like '%92559-07-2024%' or</v>
      </c>
    </row>
    <row r="208" spans="1:5" x14ac:dyDescent="0.25">
      <c r="A208" t="s">
        <v>321</v>
      </c>
      <c r="B208" t="s">
        <v>2487</v>
      </c>
      <c r="D208">
        <v>92564</v>
      </c>
      <c r="E208" t="str">
        <f t="shared" si="3"/>
        <v>ia.assorted_string like '%92564-07-2024%' or</v>
      </c>
    </row>
    <row r="209" spans="1:5" x14ac:dyDescent="0.25">
      <c r="A209" t="s">
        <v>322</v>
      </c>
      <c r="B209" t="s">
        <v>2487</v>
      </c>
      <c r="D209">
        <v>92571</v>
      </c>
      <c r="E209" t="str">
        <f t="shared" si="3"/>
        <v>ia.assorted_string like '%92571-07-2024%' or</v>
      </c>
    </row>
    <row r="210" spans="1:5" x14ac:dyDescent="0.25">
      <c r="A210" t="s">
        <v>323</v>
      </c>
      <c r="B210" t="s">
        <v>2487</v>
      </c>
      <c r="D210">
        <v>92572</v>
      </c>
      <c r="E210" t="str">
        <f t="shared" si="3"/>
        <v>ia.assorted_string like '%92572-07-2024%' or</v>
      </c>
    </row>
    <row r="211" spans="1:5" x14ac:dyDescent="0.25">
      <c r="A211" t="s">
        <v>324</v>
      </c>
      <c r="B211" t="s">
        <v>2487</v>
      </c>
      <c r="D211">
        <v>92598</v>
      </c>
      <c r="E211" t="str">
        <f t="shared" si="3"/>
        <v>ia.assorted_string like '%92598-07-2024%' or</v>
      </c>
    </row>
    <row r="212" spans="1:5" x14ac:dyDescent="0.25">
      <c r="A212" t="s">
        <v>325</v>
      </c>
      <c r="B212" t="s">
        <v>2487</v>
      </c>
      <c r="D212">
        <v>92600</v>
      </c>
      <c r="E212" t="str">
        <f t="shared" si="3"/>
        <v>ia.assorted_string like '%92600-07-2024%' or</v>
      </c>
    </row>
    <row r="213" spans="1:5" x14ac:dyDescent="0.25">
      <c r="A213" t="s">
        <v>326</v>
      </c>
      <c r="B213" t="s">
        <v>2487</v>
      </c>
      <c r="D213">
        <v>92601</v>
      </c>
      <c r="E213" t="str">
        <f t="shared" si="3"/>
        <v>ia.assorted_string like '%92601-07-2024%' or</v>
      </c>
    </row>
    <row r="214" spans="1:5" x14ac:dyDescent="0.25">
      <c r="A214" t="s">
        <v>327</v>
      </c>
      <c r="B214" t="s">
        <v>2487</v>
      </c>
      <c r="D214">
        <v>92602</v>
      </c>
      <c r="E214" t="str">
        <f t="shared" si="3"/>
        <v>ia.assorted_string like '%92602-07-2024%' or</v>
      </c>
    </row>
    <row r="215" spans="1:5" x14ac:dyDescent="0.25">
      <c r="A215" t="s">
        <v>328</v>
      </c>
      <c r="B215" t="s">
        <v>2487</v>
      </c>
      <c r="D215">
        <v>92603</v>
      </c>
      <c r="E215" t="str">
        <f t="shared" si="3"/>
        <v>ia.assorted_string like '%92603-07-2024%' or</v>
      </c>
    </row>
    <row r="216" spans="1:5" x14ac:dyDescent="0.25">
      <c r="A216" t="s">
        <v>329</v>
      </c>
      <c r="B216" t="s">
        <v>2487</v>
      </c>
      <c r="D216">
        <v>92606</v>
      </c>
      <c r="E216" t="str">
        <f t="shared" si="3"/>
        <v>ia.assorted_string like '%92606-07-2024%' or</v>
      </c>
    </row>
    <row r="217" spans="1:5" x14ac:dyDescent="0.25">
      <c r="A217" t="s">
        <v>330</v>
      </c>
      <c r="B217" t="s">
        <v>2487</v>
      </c>
      <c r="D217">
        <v>92607</v>
      </c>
      <c r="E217" t="str">
        <f t="shared" si="3"/>
        <v>ia.assorted_string like '%92607-07-2024%' or</v>
      </c>
    </row>
    <row r="218" spans="1:5" x14ac:dyDescent="0.25">
      <c r="A218" t="s">
        <v>331</v>
      </c>
      <c r="B218" t="s">
        <v>2487</v>
      </c>
      <c r="D218">
        <v>92619</v>
      </c>
      <c r="E218" t="str">
        <f t="shared" si="3"/>
        <v>ia.assorted_string like '%92619-07-2024%' or</v>
      </c>
    </row>
    <row r="219" spans="1:5" x14ac:dyDescent="0.25">
      <c r="A219" t="s">
        <v>332</v>
      </c>
      <c r="B219" t="s">
        <v>2487</v>
      </c>
      <c r="D219">
        <v>92621</v>
      </c>
      <c r="E219" t="str">
        <f t="shared" si="3"/>
        <v>ia.assorted_string like '%92621-07-2024%' or</v>
      </c>
    </row>
    <row r="220" spans="1:5" x14ac:dyDescent="0.25">
      <c r="A220" t="s">
        <v>333</v>
      </c>
      <c r="B220" t="s">
        <v>2487</v>
      </c>
      <c r="D220">
        <v>92626</v>
      </c>
      <c r="E220" t="str">
        <f t="shared" si="3"/>
        <v>ia.assorted_string like '%92626-07-2024%' or</v>
      </c>
    </row>
    <row r="221" spans="1:5" x14ac:dyDescent="0.25">
      <c r="A221" t="s">
        <v>334</v>
      </c>
      <c r="B221" t="s">
        <v>2487</v>
      </c>
      <c r="D221">
        <v>92628</v>
      </c>
      <c r="E221" t="str">
        <f t="shared" si="3"/>
        <v>ia.assorted_string like '%92628-07-2024%' or</v>
      </c>
    </row>
    <row r="222" spans="1:5" x14ac:dyDescent="0.25">
      <c r="A222" t="s">
        <v>335</v>
      </c>
      <c r="B222" t="s">
        <v>2487</v>
      </c>
      <c r="D222">
        <v>92630</v>
      </c>
      <c r="E222" t="str">
        <f t="shared" si="3"/>
        <v>ia.assorted_string like '%92630-07-2024%' or</v>
      </c>
    </row>
    <row r="223" spans="1:5" x14ac:dyDescent="0.25">
      <c r="A223" t="s">
        <v>336</v>
      </c>
      <c r="B223" t="s">
        <v>2487</v>
      </c>
      <c r="D223">
        <v>92631</v>
      </c>
      <c r="E223" t="str">
        <f t="shared" si="3"/>
        <v>ia.assorted_string like '%92631-07-2024%' or</v>
      </c>
    </row>
    <row r="224" spans="1:5" x14ac:dyDescent="0.25">
      <c r="A224" t="s">
        <v>337</v>
      </c>
      <c r="B224" t="s">
        <v>2487</v>
      </c>
      <c r="D224">
        <v>92633</v>
      </c>
      <c r="E224" t="str">
        <f t="shared" si="3"/>
        <v>ia.assorted_string like '%92633-07-2024%' or</v>
      </c>
    </row>
    <row r="225" spans="1:5" x14ac:dyDescent="0.25">
      <c r="A225" t="s">
        <v>338</v>
      </c>
      <c r="B225" t="s">
        <v>2487</v>
      </c>
      <c r="D225">
        <v>92635</v>
      </c>
      <c r="E225" t="str">
        <f t="shared" si="3"/>
        <v>ia.assorted_string like '%92635-07-2024%' or</v>
      </c>
    </row>
    <row r="226" spans="1:5" x14ac:dyDescent="0.25">
      <c r="A226" t="s">
        <v>339</v>
      </c>
      <c r="B226" t="s">
        <v>2487</v>
      </c>
      <c r="D226">
        <v>92639</v>
      </c>
      <c r="E226" t="str">
        <f t="shared" si="3"/>
        <v>ia.assorted_string like '%92639-07-2024%' or</v>
      </c>
    </row>
    <row r="227" spans="1:5" x14ac:dyDescent="0.25">
      <c r="A227" t="s">
        <v>340</v>
      </c>
      <c r="B227" t="s">
        <v>2487</v>
      </c>
      <c r="D227">
        <v>92641</v>
      </c>
      <c r="E227" t="str">
        <f t="shared" si="3"/>
        <v>ia.assorted_string like '%92641-07-2024%' or</v>
      </c>
    </row>
    <row r="228" spans="1:5" x14ac:dyDescent="0.25">
      <c r="A228" t="s">
        <v>341</v>
      </c>
      <c r="B228" t="s">
        <v>2487</v>
      </c>
      <c r="D228">
        <v>92644</v>
      </c>
      <c r="E228" t="str">
        <f t="shared" si="3"/>
        <v>ia.assorted_string like '%92644-07-2024%' or</v>
      </c>
    </row>
    <row r="229" spans="1:5" x14ac:dyDescent="0.25">
      <c r="A229" t="s">
        <v>342</v>
      </c>
      <c r="B229" t="s">
        <v>2487</v>
      </c>
      <c r="D229">
        <v>92655</v>
      </c>
      <c r="E229" t="str">
        <f t="shared" si="3"/>
        <v>ia.assorted_string like '%92655-07-2024%' or</v>
      </c>
    </row>
    <row r="230" spans="1:5" x14ac:dyDescent="0.25">
      <c r="A230" t="s">
        <v>343</v>
      </c>
      <c r="B230" t="s">
        <v>2487</v>
      </c>
      <c r="D230">
        <v>92656</v>
      </c>
      <c r="E230" t="str">
        <f t="shared" si="3"/>
        <v>ia.assorted_string like '%92656-07-2024%' or</v>
      </c>
    </row>
    <row r="231" spans="1:5" x14ac:dyDescent="0.25">
      <c r="A231" t="s">
        <v>344</v>
      </c>
      <c r="B231" t="s">
        <v>2487</v>
      </c>
      <c r="D231">
        <v>92657</v>
      </c>
      <c r="E231" t="str">
        <f t="shared" si="3"/>
        <v>ia.assorted_string like '%92657-07-2024%' or</v>
      </c>
    </row>
    <row r="232" spans="1:5" x14ac:dyDescent="0.25">
      <c r="A232" t="s">
        <v>345</v>
      </c>
      <c r="B232" t="s">
        <v>2487</v>
      </c>
      <c r="D232">
        <v>92658</v>
      </c>
      <c r="E232" t="str">
        <f t="shared" si="3"/>
        <v>ia.assorted_string like '%92658-07-2024%' or</v>
      </c>
    </row>
    <row r="233" spans="1:5" x14ac:dyDescent="0.25">
      <c r="A233" t="s">
        <v>346</v>
      </c>
      <c r="B233" t="s">
        <v>2487</v>
      </c>
      <c r="D233">
        <v>92659</v>
      </c>
      <c r="E233" t="str">
        <f t="shared" si="3"/>
        <v>ia.assorted_string like '%92659-07-2024%' or</v>
      </c>
    </row>
    <row r="234" spans="1:5" x14ac:dyDescent="0.25">
      <c r="A234" t="s">
        <v>347</v>
      </c>
      <c r="B234" t="s">
        <v>2487</v>
      </c>
      <c r="D234">
        <v>92660</v>
      </c>
      <c r="E234" t="str">
        <f t="shared" si="3"/>
        <v>ia.assorted_string like '%92660-07-2024%' or</v>
      </c>
    </row>
    <row r="235" spans="1:5" x14ac:dyDescent="0.25">
      <c r="A235" t="s">
        <v>348</v>
      </c>
      <c r="B235" t="s">
        <v>2487</v>
      </c>
      <c r="D235">
        <v>92661</v>
      </c>
      <c r="E235" t="str">
        <f t="shared" si="3"/>
        <v>ia.assorted_string like '%92661-07-2024%' or</v>
      </c>
    </row>
    <row r="236" spans="1:5" x14ac:dyDescent="0.25">
      <c r="A236" t="s">
        <v>349</v>
      </c>
      <c r="B236" t="s">
        <v>2487</v>
      </c>
      <c r="D236">
        <v>92674</v>
      </c>
      <c r="E236" t="str">
        <f t="shared" si="3"/>
        <v>ia.assorted_string like '%92674-07-2024%' or</v>
      </c>
    </row>
    <row r="237" spans="1:5" x14ac:dyDescent="0.25">
      <c r="A237" t="s">
        <v>350</v>
      </c>
      <c r="B237" t="s">
        <v>2487</v>
      </c>
      <c r="D237">
        <v>92676</v>
      </c>
      <c r="E237" t="str">
        <f t="shared" si="3"/>
        <v>ia.assorted_string like '%92676-07-2024%' or</v>
      </c>
    </row>
    <row r="238" spans="1:5" x14ac:dyDescent="0.25">
      <c r="A238" t="s">
        <v>351</v>
      </c>
      <c r="B238" t="s">
        <v>2487</v>
      </c>
      <c r="D238">
        <v>92683</v>
      </c>
      <c r="E238" t="str">
        <f t="shared" si="3"/>
        <v>ia.assorted_string like '%92683-07-2024%' or</v>
      </c>
    </row>
    <row r="239" spans="1:5" x14ac:dyDescent="0.25">
      <c r="A239" t="s">
        <v>352</v>
      </c>
      <c r="B239" t="s">
        <v>2487</v>
      </c>
      <c r="D239">
        <v>92687</v>
      </c>
      <c r="E239" t="str">
        <f t="shared" si="3"/>
        <v>ia.assorted_string like '%92687-07-2024%' or</v>
      </c>
    </row>
    <row r="240" spans="1:5" x14ac:dyDescent="0.25">
      <c r="A240" t="s">
        <v>353</v>
      </c>
      <c r="B240" t="s">
        <v>2487</v>
      </c>
      <c r="D240">
        <v>92692</v>
      </c>
      <c r="E240" t="str">
        <f t="shared" si="3"/>
        <v>ia.assorted_string like '%92692-07-2024%' or</v>
      </c>
    </row>
    <row r="241" spans="1:5" x14ac:dyDescent="0.25">
      <c r="A241" t="s">
        <v>354</v>
      </c>
      <c r="B241" t="s">
        <v>2487</v>
      </c>
      <c r="D241">
        <v>92694</v>
      </c>
      <c r="E241" t="str">
        <f t="shared" si="3"/>
        <v>ia.assorted_string like '%92694-07-2024%' or</v>
      </c>
    </row>
    <row r="242" spans="1:5" x14ac:dyDescent="0.25">
      <c r="A242" t="s">
        <v>355</v>
      </c>
      <c r="B242" t="s">
        <v>2487</v>
      </c>
      <c r="D242">
        <v>92696</v>
      </c>
      <c r="E242" t="str">
        <f t="shared" si="3"/>
        <v>ia.assorted_string like '%92696-07-2024%' or</v>
      </c>
    </row>
    <row r="243" spans="1:5" x14ac:dyDescent="0.25">
      <c r="A243" t="s">
        <v>356</v>
      </c>
      <c r="B243" t="s">
        <v>2487</v>
      </c>
      <c r="D243">
        <v>92700</v>
      </c>
      <c r="E243" t="str">
        <f t="shared" si="3"/>
        <v>ia.assorted_string like '%92700-07-2024%' or</v>
      </c>
    </row>
    <row r="244" spans="1:5" x14ac:dyDescent="0.25">
      <c r="A244" t="s">
        <v>357</v>
      </c>
      <c r="B244" t="s">
        <v>2487</v>
      </c>
      <c r="D244">
        <v>92702</v>
      </c>
      <c r="E244" t="str">
        <f t="shared" si="3"/>
        <v>ia.assorted_string like '%92702-07-2024%' or</v>
      </c>
    </row>
    <row r="245" spans="1:5" x14ac:dyDescent="0.25">
      <c r="A245" t="s">
        <v>358</v>
      </c>
      <c r="B245" t="s">
        <v>2487</v>
      </c>
      <c r="D245">
        <v>92708</v>
      </c>
      <c r="E245" t="str">
        <f t="shared" si="3"/>
        <v>ia.assorted_string like '%92708-07-2024%' or</v>
      </c>
    </row>
    <row r="246" spans="1:5" x14ac:dyDescent="0.25">
      <c r="A246" t="s">
        <v>359</v>
      </c>
      <c r="B246" t="s">
        <v>2487</v>
      </c>
      <c r="D246">
        <v>92714</v>
      </c>
      <c r="E246" t="str">
        <f t="shared" si="3"/>
        <v>ia.assorted_string like '%92714-07-2024%' or</v>
      </c>
    </row>
    <row r="247" spans="1:5" x14ac:dyDescent="0.25">
      <c r="A247" t="s">
        <v>360</v>
      </c>
      <c r="B247" t="s">
        <v>2487</v>
      </c>
      <c r="D247">
        <v>92717</v>
      </c>
      <c r="E247" t="str">
        <f t="shared" si="3"/>
        <v>ia.assorted_string like '%92717-07-2024%' or</v>
      </c>
    </row>
    <row r="248" spans="1:5" x14ac:dyDescent="0.25">
      <c r="A248" t="s">
        <v>361</v>
      </c>
      <c r="B248" t="s">
        <v>2487</v>
      </c>
      <c r="D248">
        <v>92718</v>
      </c>
      <c r="E248" t="str">
        <f t="shared" si="3"/>
        <v>ia.assorted_string like '%92718-07-2024%' or</v>
      </c>
    </row>
    <row r="249" spans="1:5" x14ac:dyDescent="0.25">
      <c r="A249" t="s">
        <v>362</v>
      </c>
      <c r="B249" t="s">
        <v>2487</v>
      </c>
      <c r="D249">
        <v>92726</v>
      </c>
      <c r="E249" t="str">
        <f t="shared" si="3"/>
        <v>ia.assorted_string like '%92726-07-2024%' or</v>
      </c>
    </row>
    <row r="250" spans="1:5" x14ac:dyDescent="0.25">
      <c r="A250" t="s">
        <v>363</v>
      </c>
      <c r="B250" t="s">
        <v>2487</v>
      </c>
      <c r="D250">
        <v>92727</v>
      </c>
      <c r="E250" t="str">
        <f t="shared" si="3"/>
        <v>ia.assorted_string like '%92727-07-2024%' or</v>
      </c>
    </row>
    <row r="251" spans="1:5" x14ac:dyDescent="0.25">
      <c r="A251" t="s">
        <v>364</v>
      </c>
      <c r="B251" t="s">
        <v>2487</v>
      </c>
      <c r="D251">
        <v>92729</v>
      </c>
      <c r="E251" t="str">
        <f t="shared" si="3"/>
        <v>ia.assorted_string like '%92729-07-2024%' or</v>
      </c>
    </row>
    <row r="252" spans="1:5" x14ac:dyDescent="0.25">
      <c r="A252" t="s">
        <v>365</v>
      </c>
      <c r="B252" t="s">
        <v>2487</v>
      </c>
      <c r="D252">
        <v>92733</v>
      </c>
      <c r="E252" t="str">
        <f t="shared" si="3"/>
        <v>ia.assorted_string like '%92733-07-2024%' or</v>
      </c>
    </row>
    <row r="253" spans="1:5" x14ac:dyDescent="0.25">
      <c r="A253" t="s">
        <v>366</v>
      </c>
      <c r="B253" t="s">
        <v>2487</v>
      </c>
      <c r="D253">
        <v>92734</v>
      </c>
      <c r="E253" t="str">
        <f t="shared" si="3"/>
        <v>ia.assorted_string like '%92734-07-2024%' or</v>
      </c>
    </row>
    <row r="254" spans="1:5" x14ac:dyDescent="0.25">
      <c r="A254" t="s">
        <v>367</v>
      </c>
      <c r="B254" t="s">
        <v>2487</v>
      </c>
      <c r="D254">
        <v>92735</v>
      </c>
      <c r="E254" t="str">
        <f t="shared" si="3"/>
        <v>ia.assorted_string like '%92735-07-2024%' or</v>
      </c>
    </row>
    <row r="255" spans="1:5" x14ac:dyDescent="0.25">
      <c r="A255" t="s">
        <v>368</v>
      </c>
      <c r="B255" t="s">
        <v>2487</v>
      </c>
      <c r="D255">
        <v>92738</v>
      </c>
      <c r="E255" t="str">
        <f t="shared" si="3"/>
        <v>ia.assorted_string like '%92738-07-2024%' or</v>
      </c>
    </row>
    <row r="256" spans="1:5" x14ac:dyDescent="0.25">
      <c r="A256" t="s">
        <v>369</v>
      </c>
      <c r="B256" t="s">
        <v>2487</v>
      </c>
      <c r="D256">
        <v>92742</v>
      </c>
      <c r="E256" t="str">
        <f t="shared" si="3"/>
        <v>ia.assorted_string like '%92742-07-2024%' or</v>
      </c>
    </row>
    <row r="257" spans="1:5" x14ac:dyDescent="0.25">
      <c r="A257" t="s">
        <v>370</v>
      </c>
      <c r="B257" t="s">
        <v>2487</v>
      </c>
      <c r="D257">
        <v>92745</v>
      </c>
      <c r="E257" t="str">
        <f t="shared" si="3"/>
        <v>ia.assorted_string like '%92745-07-2024%' or</v>
      </c>
    </row>
    <row r="258" spans="1:5" x14ac:dyDescent="0.25">
      <c r="A258" t="s">
        <v>371</v>
      </c>
      <c r="B258" t="s">
        <v>2487</v>
      </c>
      <c r="D258">
        <v>92762</v>
      </c>
      <c r="E258" t="str">
        <f t="shared" ref="E258:E321" si="4">"ia.assorted_string like '%"&amp;D258&amp;B258&amp;"%' or"</f>
        <v>ia.assorted_string like '%92762-07-2024%' or</v>
      </c>
    </row>
    <row r="259" spans="1:5" x14ac:dyDescent="0.25">
      <c r="A259" t="s">
        <v>372</v>
      </c>
      <c r="B259" t="s">
        <v>2487</v>
      </c>
      <c r="D259">
        <v>92764</v>
      </c>
      <c r="E259" t="str">
        <f t="shared" si="4"/>
        <v>ia.assorted_string like '%92764-07-2024%' or</v>
      </c>
    </row>
    <row r="260" spans="1:5" x14ac:dyDescent="0.25">
      <c r="A260" t="s">
        <v>373</v>
      </c>
      <c r="B260" t="s">
        <v>2487</v>
      </c>
      <c r="D260">
        <v>92770</v>
      </c>
      <c r="E260" t="str">
        <f t="shared" si="4"/>
        <v>ia.assorted_string like '%92770-07-2024%' or</v>
      </c>
    </row>
    <row r="261" spans="1:5" x14ac:dyDescent="0.25">
      <c r="A261" t="s">
        <v>374</v>
      </c>
      <c r="B261" t="s">
        <v>2487</v>
      </c>
      <c r="D261">
        <v>92773</v>
      </c>
      <c r="E261" t="str">
        <f t="shared" si="4"/>
        <v>ia.assorted_string like '%92773-07-2024%' or</v>
      </c>
    </row>
    <row r="262" spans="1:5" x14ac:dyDescent="0.25">
      <c r="A262" t="s">
        <v>375</v>
      </c>
      <c r="B262" t="s">
        <v>2487</v>
      </c>
      <c r="D262">
        <v>92775</v>
      </c>
      <c r="E262" t="str">
        <f t="shared" si="4"/>
        <v>ia.assorted_string like '%92775-07-2024%' or</v>
      </c>
    </row>
    <row r="263" spans="1:5" x14ac:dyDescent="0.25">
      <c r="A263" t="s">
        <v>376</v>
      </c>
      <c r="B263" t="s">
        <v>2487</v>
      </c>
      <c r="D263">
        <v>92780</v>
      </c>
      <c r="E263" t="str">
        <f t="shared" si="4"/>
        <v>ia.assorted_string like '%92780-07-2024%' or</v>
      </c>
    </row>
    <row r="264" spans="1:5" x14ac:dyDescent="0.25">
      <c r="A264" t="s">
        <v>377</v>
      </c>
      <c r="B264" t="s">
        <v>2487</v>
      </c>
      <c r="D264">
        <v>92783</v>
      </c>
      <c r="E264" t="str">
        <f t="shared" si="4"/>
        <v>ia.assorted_string like '%92783-07-2024%' or</v>
      </c>
    </row>
    <row r="265" spans="1:5" x14ac:dyDescent="0.25">
      <c r="A265" t="s">
        <v>378</v>
      </c>
      <c r="B265" t="s">
        <v>2487</v>
      </c>
      <c r="D265">
        <v>92784</v>
      </c>
      <c r="E265" t="str">
        <f t="shared" si="4"/>
        <v>ia.assorted_string like '%92784-07-2024%' or</v>
      </c>
    </row>
    <row r="266" spans="1:5" x14ac:dyDescent="0.25">
      <c r="A266" t="s">
        <v>379</v>
      </c>
      <c r="B266" t="s">
        <v>2487</v>
      </c>
      <c r="D266">
        <v>92785</v>
      </c>
      <c r="E266" t="str">
        <f t="shared" si="4"/>
        <v>ia.assorted_string like '%92785-07-2024%' or</v>
      </c>
    </row>
    <row r="267" spans="1:5" x14ac:dyDescent="0.25">
      <c r="A267" t="s">
        <v>380</v>
      </c>
      <c r="B267" t="s">
        <v>2487</v>
      </c>
      <c r="D267">
        <v>92786</v>
      </c>
      <c r="E267" t="str">
        <f t="shared" si="4"/>
        <v>ia.assorted_string like '%92786-07-2024%' or</v>
      </c>
    </row>
    <row r="268" spans="1:5" x14ac:dyDescent="0.25">
      <c r="A268" t="s">
        <v>381</v>
      </c>
      <c r="B268" t="s">
        <v>2487</v>
      </c>
      <c r="D268">
        <v>92789</v>
      </c>
      <c r="E268" t="str">
        <f t="shared" si="4"/>
        <v>ia.assorted_string like '%92789-07-2024%' or</v>
      </c>
    </row>
    <row r="269" spans="1:5" x14ac:dyDescent="0.25">
      <c r="A269" t="s">
        <v>382</v>
      </c>
      <c r="B269" t="s">
        <v>2487</v>
      </c>
      <c r="D269">
        <v>92790</v>
      </c>
      <c r="E269" t="str">
        <f t="shared" si="4"/>
        <v>ia.assorted_string like '%92790-07-2024%' or</v>
      </c>
    </row>
    <row r="270" spans="1:5" x14ac:dyDescent="0.25">
      <c r="A270" t="s">
        <v>383</v>
      </c>
      <c r="B270" t="s">
        <v>2487</v>
      </c>
      <c r="D270">
        <v>92791</v>
      </c>
      <c r="E270" t="str">
        <f t="shared" si="4"/>
        <v>ia.assorted_string like '%92791-07-2024%' or</v>
      </c>
    </row>
    <row r="271" spans="1:5" x14ac:dyDescent="0.25">
      <c r="A271" t="s">
        <v>384</v>
      </c>
      <c r="B271" t="s">
        <v>2487</v>
      </c>
      <c r="D271">
        <v>92792</v>
      </c>
      <c r="E271" t="str">
        <f t="shared" si="4"/>
        <v>ia.assorted_string like '%92792-07-2024%' or</v>
      </c>
    </row>
    <row r="272" spans="1:5" x14ac:dyDescent="0.25">
      <c r="A272" t="s">
        <v>385</v>
      </c>
      <c r="B272" t="s">
        <v>2487</v>
      </c>
      <c r="D272">
        <v>92793</v>
      </c>
      <c r="E272" t="str">
        <f t="shared" si="4"/>
        <v>ia.assorted_string like '%92793-07-2024%' or</v>
      </c>
    </row>
    <row r="273" spans="1:5" x14ac:dyDescent="0.25">
      <c r="A273" t="s">
        <v>386</v>
      </c>
      <c r="B273" t="s">
        <v>2487</v>
      </c>
      <c r="D273">
        <v>92794</v>
      </c>
      <c r="E273" t="str">
        <f t="shared" si="4"/>
        <v>ia.assorted_string like '%92794-07-2024%' or</v>
      </c>
    </row>
    <row r="274" spans="1:5" x14ac:dyDescent="0.25">
      <c r="A274" t="s">
        <v>387</v>
      </c>
      <c r="B274" t="s">
        <v>2487</v>
      </c>
      <c r="D274">
        <v>92795</v>
      </c>
      <c r="E274" t="str">
        <f t="shared" si="4"/>
        <v>ia.assorted_string like '%92795-07-2024%' or</v>
      </c>
    </row>
    <row r="275" spans="1:5" x14ac:dyDescent="0.25">
      <c r="A275" t="s">
        <v>388</v>
      </c>
      <c r="B275" t="s">
        <v>2487</v>
      </c>
      <c r="D275">
        <v>92796</v>
      </c>
      <c r="E275" t="str">
        <f t="shared" si="4"/>
        <v>ia.assorted_string like '%92796-07-2024%' or</v>
      </c>
    </row>
    <row r="276" spans="1:5" x14ac:dyDescent="0.25">
      <c r="A276" t="s">
        <v>389</v>
      </c>
      <c r="B276" t="s">
        <v>2487</v>
      </c>
      <c r="D276">
        <v>92811</v>
      </c>
      <c r="E276" t="str">
        <f t="shared" si="4"/>
        <v>ia.assorted_string like '%92811-07-2024%' or</v>
      </c>
    </row>
    <row r="277" spans="1:5" x14ac:dyDescent="0.25">
      <c r="A277" t="s">
        <v>390</v>
      </c>
      <c r="B277" t="s">
        <v>2487</v>
      </c>
      <c r="D277">
        <v>92813</v>
      </c>
      <c r="E277" t="str">
        <f t="shared" si="4"/>
        <v>ia.assorted_string like '%92813-07-2024%' or</v>
      </c>
    </row>
    <row r="278" spans="1:5" x14ac:dyDescent="0.25">
      <c r="A278" t="s">
        <v>391</v>
      </c>
      <c r="B278" t="s">
        <v>2487</v>
      </c>
      <c r="D278">
        <v>92814</v>
      </c>
      <c r="E278" t="str">
        <f t="shared" si="4"/>
        <v>ia.assorted_string like '%92814-07-2024%' or</v>
      </c>
    </row>
    <row r="279" spans="1:5" x14ac:dyDescent="0.25">
      <c r="A279" t="s">
        <v>392</v>
      </c>
      <c r="B279" t="s">
        <v>2487</v>
      </c>
      <c r="D279">
        <v>92816</v>
      </c>
      <c r="E279" t="str">
        <f t="shared" si="4"/>
        <v>ia.assorted_string like '%92816-07-2024%' or</v>
      </c>
    </row>
    <row r="280" spans="1:5" x14ac:dyDescent="0.25">
      <c r="A280" t="s">
        <v>393</v>
      </c>
      <c r="B280" t="s">
        <v>2487</v>
      </c>
      <c r="D280">
        <v>92818</v>
      </c>
      <c r="E280" t="str">
        <f t="shared" si="4"/>
        <v>ia.assorted_string like '%92818-07-2024%' or</v>
      </c>
    </row>
    <row r="281" spans="1:5" x14ac:dyDescent="0.25">
      <c r="A281" t="s">
        <v>394</v>
      </c>
      <c r="B281" t="s">
        <v>2487</v>
      </c>
      <c r="D281">
        <v>92821</v>
      </c>
      <c r="E281" t="str">
        <f t="shared" si="4"/>
        <v>ia.assorted_string like '%92821-07-2024%' or</v>
      </c>
    </row>
    <row r="282" spans="1:5" x14ac:dyDescent="0.25">
      <c r="A282" t="s">
        <v>395</v>
      </c>
      <c r="B282" t="s">
        <v>2487</v>
      </c>
      <c r="D282">
        <v>92823</v>
      </c>
      <c r="E282" t="str">
        <f t="shared" si="4"/>
        <v>ia.assorted_string like '%92823-07-2024%' or</v>
      </c>
    </row>
    <row r="283" spans="1:5" x14ac:dyDescent="0.25">
      <c r="A283" t="s">
        <v>396</v>
      </c>
      <c r="B283" t="s">
        <v>2487</v>
      </c>
      <c r="D283">
        <v>92824</v>
      </c>
      <c r="E283" t="str">
        <f t="shared" si="4"/>
        <v>ia.assorted_string like '%92824-07-2024%' or</v>
      </c>
    </row>
    <row r="284" spans="1:5" x14ac:dyDescent="0.25">
      <c r="A284" t="s">
        <v>397</v>
      </c>
      <c r="B284" t="s">
        <v>2487</v>
      </c>
      <c r="D284">
        <v>92826</v>
      </c>
      <c r="E284" t="str">
        <f t="shared" si="4"/>
        <v>ia.assorted_string like '%92826-07-2024%' or</v>
      </c>
    </row>
    <row r="285" spans="1:5" x14ac:dyDescent="0.25">
      <c r="A285" t="s">
        <v>398</v>
      </c>
      <c r="B285" t="s">
        <v>2487</v>
      </c>
      <c r="D285">
        <v>92828</v>
      </c>
      <c r="E285" t="str">
        <f t="shared" si="4"/>
        <v>ia.assorted_string like '%92828-07-2024%' or</v>
      </c>
    </row>
    <row r="286" spans="1:5" x14ac:dyDescent="0.25">
      <c r="A286" t="s">
        <v>399</v>
      </c>
      <c r="B286" t="s">
        <v>2487</v>
      </c>
      <c r="D286">
        <v>92838</v>
      </c>
      <c r="E286" t="str">
        <f t="shared" si="4"/>
        <v>ia.assorted_string like '%92838-07-2024%' or</v>
      </c>
    </row>
    <row r="287" spans="1:5" x14ac:dyDescent="0.25">
      <c r="A287" t="s">
        <v>400</v>
      </c>
      <c r="B287" t="s">
        <v>2487</v>
      </c>
      <c r="D287">
        <v>92841</v>
      </c>
      <c r="E287" t="str">
        <f t="shared" si="4"/>
        <v>ia.assorted_string like '%92841-07-2024%' or</v>
      </c>
    </row>
    <row r="288" spans="1:5" x14ac:dyDescent="0.25">
      <c r="A288" t="s">
        <v>401</v>
      </c>
      <c r="B288" t="s">
        <v>2487</v>
      </c>
      <c r="D288">
        <v>92843</v>
      </c>
      <c r="E288" t="str">
        <f t="shared" si="4"/>
        <v>ia.assorted_string like '%92843-07-2024%' or</v>
      </c>
    </row>
    <row r="289" spans="1:5" x14ac:dyDescent="0.25">
      <c r="A289" t="s">
        <v>402</v>
      </c>
      <c r="B289" t="s">
        <v>2487</v>
      </c>
      <c r="D289">
        <v>92844</v>
      </c>
      <c r="E289" t="str">
        <f t="shared" si="4"/>
        <v>ia.assorted_string like '%92844-07-2024%' or</v>
      </c>
    </row>
    <row r="290" spans="1:5" x14ac:dyDescent="0.25">
      <c r="A290" t="s">
        <v>403</v>
      </c>
      <c r="B290" t="s">
        <v>2487</v>
      </c>
      <c r="D290">
        <v>92845</v>
      </c>
      <c r="E290" t="str">
        <f t="shared" si="4"/>
        <v>ia.assorted_string like '%92845-07-2024%' or</v>
      </c>
    </row>
    <row r="291" spans="1:5" x14ac:dyDescent="0.25">
      <c r="A291" t="s">
        <v>404</v>
      </c>
      <c r="B291" t="s">
        <v>2487</v>
      </c>
      <c r="D291">
        <v>92846</v>
      </c>
      <c r="E291" t="str">
        <f t="shared" si="4"/>
        <v>ia.assorted_string like '%92846-07-2024%' or</v>
      </c>
    </row>
    <row r="292" spans="1:5" x14ac:dyDescent="0.25">
      <c r="A292" t="s">
        <v>405</v>
      </c>
      <c r="B292" t="s">
        <v>2487</v>
      </c>
      <c r="D292">
        <v>92847</v>
      </c>
      <c r="E292" t="str">
        <f t="shared" si="4"/>
        <v>ia.assorted_string like '%92847-07-2024%' or</v>
      </c>
    </row>
    <row r="293" spans="1:5" x14ac:dyDescent="0.25">
      <c r="A293" t="s">
        <v>406</v>
      </c>
      <c r="B293" t="s">
        <v>2487</v>
      </c>
      <c r="D293">
        <v>92850</v>
      </c>
      <c r="E293" t="str">
        <f t="shared" si="4"/>
        <v>ia.assorted_string like '%92850-07-2024%' or</v>
      </c>
    </row>
    <row r="294" spans="1:5" x14ac:dyDescent="0.25">
      <c r="A294" t="s">
        <v>407</v>
      </c>
      <c r="B294" t="s">
        <v>2487</v>
      </c>
      <c r="D294">
        <v>92851</v>
      </c>
      <c r="E294" t="str">
        <f t="shared" si="4"/>
        <v>ia.assorted_string like '%92851-07-2024%' or</v>
      </c>
    </row>
    <row r="295" spans="1:5" x14ac:dyDescent="0.25">
      <c r="A295" t="s">
        <v>408</v>
      </c>
      <c r="B295" t="s">
        <v>2487</v>
      </c>
      <c r="D295">
        <v>92852</v>
      </c>
      <c r="E295" t="str">
        <f t="shared" si="4"/>
        <v>ia.assorted_string like '%92852-07-2024%' or</v>
      </c>
    </row>
    <row r="296" spans="1:5" x14ac:dyDescent="0.25">
      <c r="A296" t="s">
        <v>409</v>
      </c>
      <c r="B296" t="s">
        <v>2487</v>
      </c>
      <c r="D296">
        <v>92857</v>
      </c>
      <c r="E296" t="str">
        <f t="shared" si="4"/>
        <v>ia.assorted_string like '%92857-07-2024%' or</v>
      </c>
    </row>
    <row r="297" spans="1:5" x14ac:dyDescent="0.25">
      <c r="A297" t="s">
        <v>410</v>
      </c>
      <c r="B297" t="s">
        <v>2487</v>
      </c>
      <c r="D297">
        <v>92859</v>
      </c>
      <c r="E297" t="str">
        <f t="shared" si="4"/>
        <v>ia.assorted_string like '%92859-07-2024%' or</v>
      </c>
    </row>
    <row r="298" spans="1:5" x14ac:dyDescent="0.25">
      <c r="A298" t="s">
        <v>411</v>
      </c>
      <c r="B298" t="s">
        <v>2487</v>
      </c>
      <c r="D298">
        <v>92861</v>
      </c>
      <c r="E298" t="str">
        <f t="shared" si="4"/>
        <v>ia.assorted_string like '%92861-07-2024%' or</v>
      </c>
    </row>
    <row r="299" spans="1:5" x14ac:dyDescent="0.25">
      <c r="A299" t="s">
        <v>412</v>
      </c>
      <c r="B299" t="s">
        <v>2487</v>
      </c>
      <c r="D299">
        <v>92865</v>
      </c>
      <c r="E299" t="str">
        <f t="shared" si="4"/>
        <v>ia.assorted_string like '%92865-07-2024%' or</v>
      </c>
    </row>
    <row r="300" spans="1:5" x14ac:dyDescent="0.25">
      <c r="A300" t="s">
        <v>413</v>
      </c>
      <c r="B300" t="s">
        <v>2487</v>
      </c>
      <c r="D300">
        <v>92867</v>
      </c>
      <c r="E300" t="str">
        <f t="shared" si="4"/>
        <v>ia.assorted_string like '%92867-07-2024%' or</v>
      </c>
    </row>
    <row r="301" spans="1:5" x14ac:dyDescent="0.25">
      <c r="A301" t="s">
        <v>414</v>
      </c>
      <c r="B301" t="s">
        <v>2487</v>
      </c>
      <c r="D301">
        <v>92869</v>
      </c>
      <c r="E301" t="str">
        <f t="shared" si="4"/>
        <v>ia.assorted_string like '%92869-07-2024%' or</v>
      </c>
    </row>
    <row r="302" spans="1:5" x14ac:dyDescent="0.25">
      <c r="A302" t="s">
        <v>415</v>
      </c>
      <c r="B302" t="s">
        <v>2487</v>
      </c>
      <c r="D302">
        <v>92877</v>
      </c>
      <c r="E302" t="str">
        <f t="shared" si="4"/>
        <v>ia.assorted_string like '%92877-07-2024%' or</v>
      </c>
    </row>
    <row r="303" spans="1:5" x14ac:dyDescent="0.25">
      <c r="A303" t="s">
        <v>416</v>
      </c>
      <c r="B303" t="s">
        <v>2487</v>
      </c>
      <c r="D303">
        <v>92878</v>
      </c>
      <c r="E303" t="str">
        <f t="shared" si="4"/>
        <v>ia.assorted_string like '%92878-07-2024%' or</v>
      </c>
    </row>
    <row r="304" spans="1:5" x14ac:dyDescent="0.25">
      <c r="A304" t="s">
        <v>417</v>
      </c>
      <c r="B304" t="s">
        <v>2487</v>
      </c>
      <c r="D304">
        <v>92879</v>
      </c>
      <c r="E304" t="str">
        <f t="shared" si="4"/>
        <v>ia.assorted_string like '%92879-07-2024%' or</v>
      </c>
    </row>
    <row r="305" spans="1:5" x14ac:dyDescent="0.25">
      <c r="A305" t="s">
        <v>418</v>
      </c>
      <c r="B305" t="s">
        <v>2487</v>
      </c>
      <c r="D305">
        <v>92880</v>
      </c>
      <c r="E305" t="str">
        <f t="shared" si="4"/>
        <v>ia.assorted_string like '%92880-07-2024%' or</v>
      </c>
    </row>
    <row r="306" spans="1:5" x14ac:dyDescent="0.25">
      <c r="A306" t="s">
        <v>419</v>
      </c>
      <c r="B306" t="s">
        <v>2487</v>
      </c>
      <c r="D306">
        <v>92881</v>
      </c>
      <c r="E306" t="str">
        <f t="shared" si="4"/>
        <v>ia.assorted_string like '%92881-07-2024%' or</v>
      </c>
    </row>
    <row r="307" spans="1:5" x14ac:dyDescent="0.25">
      <c r="A307" t="s">
        <v>420</v>
      </c>
      <c r="B307" t="s">
        <v>2487</v>
      </c>
      <c r="D307">
        <v>92883</v>
      </c>
      <c r="E307" t="str">
        <f t="shared" si="4"/>
        <v>ia.assorted_string like '%92883-07-2024%' or</v>
      </c>
    </row>
    <row r="308" spans="1:5" x14ac:dyDescent="0.25">
      <c r="A308" t="s">
        <v>421</v>
      </c>
      <c r="B308" t="s">
        <v>2487</v>
      </c>
      <c r="D308">
        <v>92884</v>
      </c>
      <c r="E308" t="str">
        <f t="shared" si="4"/>
        <v>ia.assorted_string like '%92884-07-2024%' or</v>
      </c>
    </row>
    <row r="309" spans="1:5" x14ac:dyDescent="0.25">
      <c r="A309" t="s">
        <v>422</v>
      </c>
      <c r="B309" t="s">
        <v>2487</v>
      </c>
      <c r="D309">
        <v>92885</v>
      </c>
      <c r="E309" t="str">
        <f t="shared" si="4"/>
        <v>ia.assorted_string like '%92885-07-2024%' or</v>
      </c>
    </row>
    <row r="310" spans="1:5" x14ac:dyDescent="0.25">
      <c r="A310" t="s">
        <v>423</v>
      </c>
      <c r="B310" t="s">
        <v>2487</v>
      </c>
      <c r="D310">
        <v>92886</v>
      </c>
      <c r="E310" t="str">
        <f t="shared" si="4"/>
        <v>ia.assorted_string like '%92886-07-2024%' or</v>
      </c>
    </row>
    <row r="311" spans="1:5" x14ac:dyDescent="0.25">
      <c r="A311" t="s">
        <v>424</v>
      </c>
      <c r="B311" t="s">
        <v>2487</v>
      </c>
      <c r="D311">
        <v>92887</v>
      </c>
      <c r="E311" t="str">
        <f t="shared" si="4"/>
        <v>ia.assorted_string like '%92887-07-2024%' or</v>
      </c>
    </row>
    <row r="312" spans="1:5" x14ac:dyDescent="0.25">
      <c r="A312" t="s">
        <v>425</v>
      </c>
      <c r="B312" t="s">
        <v>2487</v>
      </c>
      <c r="D312">
        <v>92888</v>
      </c>
      <c r="E312" t="str">
        <f t="shared" si="4"/>
        <v>ia.assorted_string like '%92888-07-2024%' or</v>
      </c>
    </row>
    <row r="313" spans="1:5" x14ac:dyDescent="0.25">
      <c r="A313" t="s">
        <v>426</v>
      </c>
      <c r="B313" t="s">
        <v>2487</v>
      </c>
      <c r="D313">
        <v>92889</v>
      </c>
      <c r="E313" t="str">
        <f t="shared" si="4"/>
        <v>ia.assorted_string like '%92889-07-2024%' or</v>
      </c>
    </row>
    <row r="314" spans="1:5" x14ac:dyDescent="0.25">
      <c r="A314" t="s">
        <v>427</v>
      </c>
      <c r="B314" t="s">
        <v>2487</v>
      </c>
      <c r="D314">
        <v>92890</v>
      </c>
      <c r="E314" t="str">
        <f t="shared" si="4"/>
        <v>ia.assorted_string like '%92890-07-2024%' or</v>
      </c>
    </row>
    <row r="315" spans="1:5" x14ac:dyDescent="0.25">
      <c r="A315" t="s">
        <v>428</v>
      </c>
      <c r="B315" t="s">
        <v>2487</v>
      </c>
      <c r="D315">
        <v>92891</v>
      </c>
      <c r="E315" t="str">
        <f t="shared" si="4"/>
        <v>ia.assorted_string like '%92891-07-2024%' or</v>
      </c>
    </row>
    <row r="316" spans="1:5" x14ac:dyDescent="0.25">
      <c r="A316" t="s">
        <v>429</v>
      </c>
      <c r="B316" t="s">
        <v>2487</v>
      </c>
      <c r="D316">
        <v>92892</v>
      </c>
      <c r="E316" t="str">
        <f t="shared" si="4"/>
        <v>ia.assorted_string like '%92892-07-2024%' or</v>
      </c>
    </row>
    <row r="317" spans="1:5" x14ac:dyDescent="0.25">
      <c r="A317" t="s">
        <v>430</v>
      </c>
      <c r="B317" t="s">
        <v>2487</v>
      </c>
      <c r="D317">
        <v>92893</v>
      </c>
      <c r="E317" t="str">
        <f t="shared" si="4"/>
        <v>ia.assorted_string like '%92893-07-2024%' or</v>
      </c>
    </row>
    <row r="318" spans="1:5" x14ac:dyDescent="0.25">
      <c r="A318" t="s">
        <v>431</v>
      </c>
      <c r="B318" t="s">
        <v>2487</v>
      </c>
      <c r="D318">
        <v>92894</v>
      </c>
      <c r="E318" t="str">
        <f t="shared" si="4"/>
        <v>ia.assorted_string like '%92894-07-2024%' or</v>
      </c>
    </row>
    <row r="319" spans="1:5" x14ac:dyDescent="0.25">
      <c r="A319" t="s">
        <v>432</v>
      </c>
      <c r="B319" t="s">
        <v>2487</v>
      </c>
      <c r="D319">
        <v>92895</v>
      </c>
      <c r="E319" t="str">
        <f t="shared" si="4"/>
        <v>ia.assorted_string like '%92895-07-2024%' or</v>
      </c>
    </row>
    <row r="320" spans="1:5" x14ac:dyDescent="0.25">
      <c r="A320" t="s">
        <v>433</v>
      </c>
      <c r="B320" t="s">
        <v>2487</v>
      </c>
      <c r="D320">
        <v>92896</v>
      </c>
      <c r="E320" t="str">
        <f t="shared" si="4"/>
        <v>ia.assorted_string like '%92896-07-2024%' or</v>
      </c>
    </row>
    <row r="321" spans="1:5" x14ac:dyDescent="0.25">
      <c r="A321" t="s">
        <v>434</v>
      </c>
      <c r="B321" t="s">
        <v>2487</v>
      </c>
      <c r="D321">
        <v>92897</v>
      </c>
      <c r="E321" t="str">
        <f t="shared" si="4"/>
        <v>ia.assorted_string like '%92897-07-2024%' or</v>
      </c>
    </row>
    <row r="322" spans="1:5" x14ac:dyDescent="0.25">
      <c r="A322" t="s">
        <v>435</v>
      </c>
      <c r="B322" t="s">
        <v>2487</v>
      </c>
      <c r="D322">
        <v>92898</v>
      </c>
      <c r="E322" t="str">
        <f t="shared" ref="E322:E385" si="5">"ia.assorted_string like '%"&amp;D322&amp;B322&amp;"%' or"</f>
        <v>ia.assorted_string like '%92898-07-2024%' or</v>
      </c>
    </row>
    <row r="323" spans="1:5" x14ac:dyDescent="0.25">
      <c r="A323" t="s">
        <v>436</v>
      </c>
      <c r="B323" t="s">
        <v>2487</v>
      </c>
      <c r="D323">
        <v>92899</v>
      </c>
      <c r="E323" t="str">
        <f t="shared" si="5"/>
        <v>ia.assorted_string like '%92899-07-2024%' or</v>
      </c>
    </row>
    <row r="324" spans="1:5" x14ac:dyDescent="0.25">
      <c r="A324" t="s">
        <v>437</v>
      </c>
      <c r="B324" t="s">
        <v>2487</v>
      </c>
      <c r="D324">
        <v>92903</v>
      </c>
      <c r="E324" t="str">
        <f t="shared" si="5"/>
        <v>ia.assorted_string like '%92903-07-2024%' or</v>
      </c>
    </row>
    <row r="325" spans="1:5" x14ac:dyDescent="0.25">
      <c r="A325" t="s">
        <v>438</v>
      </c>
      <c r="B325" t="s">
        <v>2487</v>
      </c>
      <c r="D325">
        <v>92905</v>
      </c>
      <c r="E325" t="str">
        <f t="shared" si="5"/>
        <v>ia.assorted_string like '%92905-07-2024%' or</v>
      </c>
    </row>
    <row r="326" spans="1:5" x14ac:dyDescent="0.25">
      <c r="A326" t="s">
        <v>439</v>
      </c>
      <c r="B326" t="s">
        <v>2487</v>
      </c>
      <c r="D326">
        <v>92907</v>
      </c>
      <c r="E326" t="str">
        <f t="shared" si="5"/>
        <v>ia.assorted_string like '%92907-07-2024%' or</v>
      </c>
    </row>
    <row r="327" spans="1:5" x14ac:dyDescent="0.25">
      <c r="A327" t="s">
        <v>440</v>
      </c>
      <c r="B327" t="s">
        <v>2487</v>
      </c>
      <c r="D327">
        <v>92908</v>
      </c>
      <c r="E327" t="str">
        <f t="shared" si="5"/>
        <v>ia.assorted_string like '%92908-07-2024%' or</v>
      </c>
    </row>
    <row r="328" spans="1:5" x14ac:dyDescent="0.25">
      <c r="A328" t="s">
        <v>441</v>
      </c>
      <c r="B328" t="s">
        <v>2487</v>
      </c>
      <c r="D328">
        <v>92911</v>
      </c>
      <c r="E328" t="str">
        <f t="shared" si="5"/>
        <v>ia.assorted_string like '%92911-07-2024%' or</v>
      </c>
    </row>
    <row r="329" spans="1:5" x14ac:dyDescent="0.25">
      <c r="A329" t="s">
        <v>442</v>
      </c>
      <c r="B329" t="s">
        <v>2487</v>
      </c>
      <c r="D329">
        <v>92912</v>
      </c>
      <c r="E329" t="str">
        <f t="shared" si="5"/>
        <v>ia.assorted_string like '%92912-07-2024%' or</v>
      </c>
    </row>
    <row r="330" spans="1:5" x14ac:dyDescent="0.25">
      <c r="A330" t="s">
        <v>443</v>
      </c>
      <c r="B330" t="s">
        <v>2487</v>
      </c>
      <c r="D330">
        <v>92916</v>
      </c>
      <c r="E330" t="str">
        <f t="shared" si="5"/>
        <v>ia.assorted_string like '%92916-07-2024%' or</v>
      </c>
    </row>
    <row r="331" spans="1:5" x14ac:dyDescent="0.25">
      <c r="A331" t="s">
        <v>444</v>
      </c>
      <c r="B331" t="s">
        <v>2487</v>
      </c>
      <c r="D331">
        <v>92917</v>
      </c>
      <c r="E331" t="str">
        <f t="shared" si="5"/>
        <v>ia.assorted_string like '%92917-07-2024%' or</v>
      </c>
    </row>
    <row r="332" spans="1:5" x14ac:dyDescent="0.25">
      <c r="A332" t="s">
        <v>445</v>
      </c>
      <c r="B332" t="s">
        <v>2487</v>
      </c>
      <c r="D332">
        <v>92918</v>
      </c>
      <c r="E332" t="str">
        <f t="shared" si="5"/>
        <v>ia.assorted_string like '%92918-07-2024%' or</v>
      </c>
    </row>
    <row r="333" spans="1:5" x14ac:dyDescent="0.25">
      <c r="A333" t="s">
        <v>446</v>
      </c>
      <c r="B333" t="s">
        <v>2487</v>
      </c>
      <c r="D333">
        <v>92919</v>
      </c>
      <c r="E333" t="str">
        <f t="shared" si="5"/>
        <v>ia.assorted_string like '%92919-07-2024%' or</v>
      </c>
    </row>
    <row r="334" spans="1:5" x14ac:dyDescent="0.25">
      <c r="A334" t="s">
        <v>447</v>
      </c>
      <c r="B334" t="s">
        <v>2487</v>
      </c>
      <c r="D334">
        <v>92920</v>
      </c>
      <c r="E334" t="str">
        <f t="shared" si="5"/>
        <v>ia.assorted_string like '%92920-07-2024%' or</v>
      </c>
    </row>
    <row r="335" spans="1:5" x14ac:dyDescent="0.25">
      <c r="A335" t="s">
        <v>448</v>
      </c>
      <c r="B335" t="s">
        <v>2487</v>
      </c>
      <c r="D335">
        <v>92921</v>
      </c>
      <c r="E335" t="str">
        <f t="shared" si="5"/>
        <v>ia.assorted_string like '%92921-07-2024%' or</v>
      </c>
    </row>
    <row r="336" spans="1:5" x14ac:dyDescent="0.25">
      <c r="A336" t="s">
        <v>449</v>
      </c>
      <c r="B336" t="s">
        <v>2487</v>
      </c>
      <c r="D336">
        <v>92923</v>
      </c>
      <c r="E336" t="str">
        <f t="shared" si="5"/>
        <v>ia.assorted_string like '%92923-07-2024%' or</v>
      </c>
    </row>
    <row r="337" spans="1:5" x14ac:dyDescent="0.25">
      <c r="A337" t="s">
        <v>450</v>
      </c>
      <c r="B337" t="s">
        <v>2487</v>
      </c>
      <c r="D337">
        <v>92925</v>
      </c>
      <c r="E337" t="str">
        <f t="shared" si="5"/>
        <v>ia.assorted_string like '%92925-07-2024%' or</v>
      </c>
    </row>
    <row r="338" spans="1:5" x14ac:dyDescent="0.25">
      <c r="A338" t="s">
        <v>451</v>
      </c>
      <c r="B338" t="s">
        <v>2487</v>
      </c>
      <c r="D338">
        <v>92926</v>
      </c>
      <c r="E338" t="str">
        <f t="shared" si="5"/>
        <v>ia.assorted_string like '%92926-07-2024%' or</v>
      </c>
    </row>
    <row r="339" spans="1:5" x14ac:dyDescent="0.25">
      <c r="A339" t="s">
        <v>452</v>
      </c>
      <c r="B339" t="s">
        <v>2487</v>
      </c>
      <c r="D339">
        <v>92929</v>
      </c>
      <c r="E339" t="str">
        <f t="shared" si="5"/>
        <v>ia.assorted_string like '%92929-07-2024%' or</v>
      </c>
    </row>
    <row r="340" spans="1:5" x14ac:dyDescent="0.25">
      <c r="A340" t="s">
        <v>453</v>
      </c>
      <c r="B340" t="s">
        <v>2487</v>
      </c>
      <c r="D340">
        <v>92930</v>
      </c>
      <c r="E340" t="str">
        <f t="shared" si="5"/>
        <v>ia.assorted_string like '%92930-07-2024%' or</v>
      </c>
    </row>
    <row r="341" spans="1:5" x14ac:dyDescent="0.25">
      <c r="A341" t="s">
        <v>454</v>
      </c>
      <c r="B341" t="s">
        <v>2487</v>
      </c>
      <c r="D341">
        <v>92931</v>
      </c>
      <c r="E341" t="str">
        <f t="shared" si="5"/>
        <v>ia.assorted_string like '%92931-07-2024%' or</v>
      </c>
    </row>
    <row r="342" spans="1:5" x14ac:dyDescent="0.25">
      <c r="A342" t="s">
        <v>455</v>
      </c>
      <c r="B342" t="s">
        <v>2487</v>
      </c>
      <c r="D342">
        <v>92932</v>
      </c>
      <c r="E342" t="str">
        <f t="shared" si="5"/>
        <v>ia.assorted_string like '%92932-07-2024%' or</v>
      </c>
    </row>
    <row r="343" spans="1:5" x14ac:dyDescent="0.25">
      <c r="A343" t="s">
        <v>456</v>
      </c>
      <c r="B343" t="s">
        <v>2487</v>
      </c>
      <c r="D343">
        <v>92933</v>
      </c>
      <c r="E343" t="str">
        <f t="shared" si="5"/>
        <v>ia.assorted_string like '%92933-07-2024%' or</v>
      </c>
    </row>
    <row r="344" spans="1:5" x14ac:dyDescent="0.25">
      <c r="A344" t="s">
        <v>457</v>
      </c>
      <c r="B344" t="s">
        <v>2487</v>
      </c>
      <c r="D344">
        <v>92934</v>
      </c>
      <c r="E344" t="str">
        <f t="shared" si="5"/>
        <v>ia.assorted_string like '%92934-07-2024%' or</v>
      </c>
    </row>
    <row r="345" spans="1:5" x14ac:dyDescent="0.25">
      <c r="A345" t="s">
        <v>458</v>
      </c>
      <c r="B345" t="s">
        <v>2487</v>
      </c>
      <c r="D345">
        <v>92935</v>
      </c>
      <c r="E345" t="str">
        <f t="shared" si="5"/>
        <v>ia.assorted_string like '%92935-07-2024%' or</v>
      </c>
    </row>
    <row r="346" spans="1:5" x14ac:dyDescent="0.25">
      <c r="A346" t="s">
        <v>459</v>
      </c>
      <c r="B346" t="s">
        <v>2487</v>
      </c>
      <c r="D346">
        <v>92936</v>
      </c>
      <c r="E346" t="str">
        <f t="shared" si="5"/>
        <v>ia.assorted_string like '%92936-07-2024%' or</v>
      </c>
    </row>
    <row r="347" spans="1:5" x14ac:dyDescent="0.25">
      <c r="A347" t="s">
        <v>460</v>
      </c>
      <c r="B347" t="s">
        <v>2487</v>
      </c>
      <c r="D347">
        <v>92937</v>
      </c>
      <c r="E347" t="str">
        <f t="shared" si="5"/>
        <v>ia.assorted_string like '%92937-07-2024%' or</v>
      </c>
    </row>
    <row r="348" spans="1:5" x14ac:dyDescent="0.25">
      <c r="A348" t="s">
        <v>461</v>
      </c>
      <c r="B348" t="s">
        <v>2487</v>
      </c>
      <c r="D348">
        <v>92938</v>
      </c>
      <c r="E348" t="str">
        <f t="shared" si="5"/>
        <v>ia.assorted_string like '%92938-07-2024%' or</v>
      </c>
    </row>
    <row r="349" spans="1:5" x14ac:dyDescent="0.25">
      <c r="A349" t="s">
        <v>462</v>
      </c>
      <c r="B349" t="s">
        <v>2487</v>
      </c>
      <c r="D349">
        <v>92939</v>
      </c>
      <c r="E349" t="str">
        <f t="shared" si="5"/>
        <v>ia.assorted_string like '%92939-07-2024%' or</v>
      </c>
    </row>
    <row r="350" spans="1:5" x14ac:dyDescent="0.25">
      <c r="A350" t="s">
        <v>463</v>
      </c>
      <c r="B350" t="s">
        <v>2487</v>
      </c>
      <c r="D350">
        <v>92940</v>
      </c>
      <c r="E350" t="str">
        <f t="shared" si="5"/>
        <v>ia.assorted_string like '%92940-07-2024%' or</v>
      </c>
    </row>
    <row r="351" spans="1:5" x14ac:dyDescent="0.25">
      <c r="A351" t="s">
        <v>464</v>
      </c>
      <c r="B351" t="s">
        <v>2487</v>
      </c>
      <c r="D351">
        <v>92941</v>
      </c>
      <c r="E351" t="str">
        <f t="shared" si="5"/>
        <v>ia.assorted_string like '%92941-07-2024%' or</v>
      </c>
    </row>
    <row r="352" spans="1:5" x14ac:dyDescent="0.25">
      <c r="A352" t="s">
        <v>465</v>
      </c>
      <c r="B352" t="s">
        <v>2487</v>
      </c>
      <c r="D352">
        <v>92942</v>
      </c>
      <c r="E352" t="str">
        <f t="shared" si="5"/>
        <v>ia.assorted_string like '%92942-07-2024%' or</v>
      </c>
    </row>
    <row r="353" spans="1:5" x14ac:dyDescent="0.25">
      <c r="A353" t="s">
        <v>466</v>
      </c>
      <c r="B353" t="s">
        <v>2487</v>
      </c>
      <c r="D353">
        <v>92943</v>
      </c>
      <c r="E353" t="str">
        <f t="shared" si="5"/>
        <v>ia.assorted_string like '%92943-07-2024%' or</v>
      </c>
    </row>
    <row r="354" spans="1:5" x14ac:dyDescent="0.25">
      <c r="A354" t="s">
        <v>467</v>
      </c>
      <c r="B354" t="s">
        <v>2487</v>
      </c>
      <c r="D354">
        <v>92944</v>
      </c>
      <c r="E354" t="str">
        <f t="shared" si="5"/>
        <v>ia.assorted_string like '%92944-07-2024%' or</v>
      </c>
    </row>
    <row r="355" spans="1:5" x14ac:dyDescent="0.25">
      <c r="A355" t="s">
        <v>468</v>
      </c>
      <c r="B355" t="s">
        <v>2487</v>
      </c>
      <c r="D355">
        <v>92946</v>
      </c>
      <c r="E355" t="str">
        <f t="shared" si="5"/>
        <v>ia.assorted_string like '%92946-07-2024%' or</v>
      </c>
    </row>
    <row r="356" spans="1:5" x14ac:dyDescent="0.25">
      <c r="A356" t="s">
        <v>469</v>
      </c>
      <c r="B356" t="s">
        <v>2487</v>
      </c>
      <c r="D356">
        <v>92949</v>
      </c>
      <c r="E356" t="str">
        <f t="shared" si="5"/>
        <v>ia.assorted_string like '%92949-07-2024%' or</v>
      </c>
    </row>
    <row r="357" spans="1:5" x14ac:dyDescent="0.25">
      <c r="A357" t="s">
        <v>470</v>
      </c>
      <c r="B357" t="s">
        <v>2487</v>
      </c>
      <c r="D357">
        <v>92950</v>
      </c>
      <c r="E357" t="str">
        <f t="shared" si="5"/>
        <v>ia.assorted_string like '%92950-07-2024%' or</v>
      </c>
    </row>
    <row r="358" spans="1:5" x14ac:dyDescent="0.25">
      <c r="A358" t="s">
        <v>471</v>
      </c>
      <c r="B358" t="s">
        <v>2487</v>
      </c>
      <c r="D358">
        <v>92953</v>
      </c>
      <c r="E358" t="str">
        <f t="shared" si="5"/>
        <v>ia.assorted_string like '%92953-07-2024%' or</v>
      </c>
    </row>
    <row r="359" spans="1:5" x14ac:dyDescent="0.25">
      <c r="A359" t="s">
        <v>472</v>
      </c>
      <c r="B359" t="s">
        <v>2487</v>
      </c>
      <c r="D359">
        <v>92954</v>
      </c>
      <c r="E359" t="str">
        <f t="shared" si="5"/>
        <v>ia.assorted_string like '%92954-07-2024%' or</v>
      </c>
    </row>
    <row r="360" spans="1:5" x14ac:dyDescent="0.25">
      <c r="A360" t="s">
        <v>473</v>
      </c>
      <c r="B360" t="s">
        <v>2487</v>
      </c>
      <c r="D360">
        <v>92957</v>
      </c>
      <c r="E360" t="str">
        <f t="shared" si="5"/>
        <v>ia.assorted_string like '%92957-07-2024%' or</v>
      </c>
    </row>
    <row r="361" spans="1:5" x14ac:dyDescent="0.25">
      <c r="A361" t="s">
        <v>474</v>
      </c>
      <c r="B361" t="s">
        <v>2487</v>
      </c>
      <c r="D361">
        <v>92958</v>
      </c>
      <c r="E361" t="str">
        <f t="shared" si="5"/>
        <v>ia.assorted_string like '%92958-07-2024%' or</v>
      </c>
    </row>
    <row r="362" spans="1:5" x14ac:dyDescent="0.25">
      <c r="A362" t="s">
        <v>475</v>
      </c>
      <c r="B362" t="s">
        <v>2487</v>
      </c>
      <c r="D362">
        <v>92961</v>
      </c>
      <c r="E362" t="str">
        <f t="shared" si="5"/>
        <v>ia.assorted_string like '%92961-07-2024%' or</v>
      </c>
    </row>
    <row r="363" spans="1:5" x14ac:dyDescent="0.25">
      <c r="A363" t="s">
        <v>476</v>
      </c>
      <c r="B363" t="s">
        <v>2487</v>
      </c>
      <c r="D363">
        <v>92962</v>
      </c>
      <c r="E363" t="str">
        <f t="shared" si="5"/>
        <v>ia.assorted_string like '%92962-07-2024%' or</v>
      </c>
    </row>
    <row r="364" spans="1:5" x14ac:dyDescent="0.25">
      <c r="A364" t="s">
        <v>477</v>
      </c>
      <c r="B364" t="s">
        <v>2487</v>
      </c>
      <c r="D364">
        <v>92964</v>
      </c>
      <c r="E364" t="str">
        <f t="shared" si="5"/>
        <v>ia.assorted_string like '%92964-07-2024%' or</v>
      </c>
    </row>
    <row r="365" spans="1:5" x14ac:dyDescent="0.25">
      <c r="A365" t="s">
        <v>478</v>
      </c>
      <c r="B365" t="s">
        <v>2487</v>
      </c>
      <c r="D365">
        <v>92968</v>
      </c>
      <c r="E365" t="str">
        <f t="shared" si="5"/>
        <v>ia.assorted_string like '%92968-07-2024%' or</v>
      </c>
    </row>
    <row r="366" spans="1:5" x14ac:dyDescent="0.25">
      <c r="A366" t="s">
        <v>479</v>
      </c>
      <c r="B366" t="s">
        <v>2487</v>
      </c>
      <c r="D366">
        <v>92970</v>
      </c>
      <c r="E366" t="str">
        <f t="shared" si="5"/>
        <v>ia.assorted_string like '%92970-07-2024%' or</v>
      </c>
    </row>
    <row r="367" spans="1:5" x14ac:dyDescent="0.25">
      <c r="A367" t="s">
        <v>480</v>
      </c>
      <c r="B367" t="s">
        <v>2487</v>
      </c>
      <c r="D367">
        <v>92971</v>
      </c>
      <c r="E367" t="str">
        <f t="shared" si="5"/>
        <v>ia.assorted_string like '%92971-07-2024%' or</v>
      </c>
    </row>
    <row r="368" spans="1:5" x14ac:dyDescent="0.25">
      <c r="A368" t="s">
        <v>481</v>
      </c>
      <c r="B368" t="s">
        <v>2487</v>
      </c>
      <c r="D368">
        <v>92972</v>
      </c>
      <c r="E368" t="str">
        <f t="shared" si="5"/>
        <v>ia.assorted_string like '%92972-07-2024%' or</v>
      </c>
    </row>
    <row r="369" spans="1:5" x14ac:dyDescent="0.25">
      <c r="A369" t="s">
        <v>482</v>
      </c>
      <c r="B369" t="s">
        <v>2487</v>
      </c>
      <c r="D369">
        <v>92973</v>
      </c>
      <c r="E369" t="str">
        <f t="shared" si="5"/>
        <v>ia.assorted_string like '%92973-07-2024%' or</v>
      </c>
    </row>
    <row r="370" spans="1:5" x14ac:dyDescent="0.25">
      <c r="A370" t="s">
        <v>483</v>
      </c>
      <c r="B370" t="s">
        <v>2487</v>
      </c>
      <c r="D370">
        <v>92975</v>
      </c>
      <c r="E370" t="str">
        <f t="shared" si="5"/>
        <v>ia.assorted_string like '%92975-07-2024%' or</v>
      </c>
    </row>
    <row r="371" spans="1:5" x14ac:dyDescent="0.25">
      <c r="A371" t="s">
        <v>484</v>
      </c>
      <c r="B371" t="s">
        <v>2487</v>
      </c>
      <c r="D371">
        <v>92976</v>
      </c>
      <c r="E371" t="str">
        <f t="shared" si="5"/>
        <v>ia.assorted_string like '%92976-07-2024%' or</v>
      </c>
    </row>
    <row r="372" spans="1:5" x14ac:dyDescent="0.25">
      <c r="A372" t="s">
        <v>485</v>
      </c>
      <c r="B372" t="s">
        <v>2487</v>
      </c>
      <c r="D372">
        <v>92977</v>
      </c>
      <c r="E372" t="str">
        <f t="shared" si="5"/>
        <v>ia.assorted_string like '%92977-07-2024%' or</v>
      </c>
    </row>
    <row r="373" spans="1:5" x14ac:dyDescent="0.25">
      <c r="A373" t="s">
        <v>486</v>
      </c>
      <c r="B373" t="s">
        <v>2487</v>
      </c>
      <c r="D373">
        <v>92981</v>
      </c>
      <c r="E373" t="str">
        <f t="shared" si="5"/>
        <v>ia.assorted_string like '%92981-07-2024%' or</v>
      </c>
    </row>
    <row r="374" spans="1:5" x14ac:dyDescent="0.25">
      <c r="A374" t="s">
        <v>487</v>
      </c>
      <c r="B374" t="s">
        <v>2487</v>
      </c>
      <c r="D374">
        <v>92982</v>
      </c>
      <c r="E374" t="str">
        <f t="shared" si="5"/>
        <v>ia.assorted_string like '%92982-07-2024%' or</v>
      </c>
    </row>
    <row r="375" spans="1:5" x14ac:dyDescent="0.25">
      <c r="A375" t="s">
        <v>488</v>
      </c>
      <c r="B375" t="s">
        <v>2487</v>
      </c>
      <c r="D375">
        <v>92984</v>
      </c>
      <c r="E375" t="str">
        <f t="shared" si="5"/>
        <v>ia.assorted_string like '%92984-07-2024%' or</v>
      </c>
    </row>
    <row r="376" spans="1:5" x14ac:dyDescent="0.25">
      <c r="A376" t="s">
        <v>489</v>
      </c>
      <c r="B376" t="s">
        <v>2487</v>
      </c>
      <c r="D376">
        <v>92986</v>
      </c>
      <c r="E376" t="str">
        <f t="shared" si="5"/>
        <v>ia.assorted_string like '%92986-07-2024%' or</v>
      </c>
    </row>
    <row r="377" spans="1:5" x14ac:dyDescent="0.25">
      <c r="A377" t="s">
        <v>490</v>
      </c>
      <c r="B377" t="s">
        <v>2487</v>
      </c>
      <c r="D377">
        <v>92987</v>
      </c>
      <c r="E377" t="str">
        <f t="shared" si="5"/>
        <v>ia.assorted_string like '%92987-07-2024%' or</v>
      </c>
    </row>
    <row r="378" spans="1:5" x14ac:dyDescent="0.25">
      <c r="A378" t="s">
        <v>491</v>
      </c>
      <c r="B378" t="s">
        <v>2487</v>
      </c>
      <c r="D378">
        <v>92988</v>
      </c>
      <c r="E378" t="str">
        <f t="shared" si="5"/>
        <v>ia.assorted_string like '%92988-07-2024%' or</v>
      </c>
    </row>
    <row r="379" spans="1:5" x14ac:dyDescent="0.25">
      <c r="A379" t="s">
        <v>492</v>
      </c>
      <c r="B379" t="s">
        <v>2487</v>
      </c>
      <c r="D379">
        <v>92989</v>
      </c>
      <c r="E379" t="str">
        <f t="shared" si="5"/>
        <v>ia.assorted_string like '%92989-07-2024%' or</v>
      </c>
    </row>
    <row r="380" spans="1:5" x14ac:dyDescent="0.25">
      <c r="A380" t="s">
        <v>493</v>
      </c>
      <c r="B380" t="s">
        <v>2487</v>
      </c>
      <c r="D380">
        <v>92990</v>
      </c>
      <c r="E380" t="str">
        <f t="shared" si="5"/>
        <v>ia.assorted_string like '%92990-07-2024%' or</v>
      </c>
    </row>
    <row r="381" spans="1:5" x14ac:dyDescent="0.25">
      <c r="A381" t="s">
        <v>494</v>
      </c>
      <c r="B381" t="s">
        <v>2487</v>
      </c>
      <c r="D381">
        <v>92991</v>
      </c>
      <c r="E381" t="str">
        <f t="shared" si="5"/>
        <v>ia.assorted_string like '%92991-07-2024%' or</v>
      </c>
    </row>
    <row r="382" spans="1:5" x14ac:dyDescent="0.25">
      <c r="A382" t="s">
        <v>495</v>
      </c>
      <c r="B382" t="s">
        <v>2487</v>
      </c>
      <c r="D382">
        <v>92993</v>
      </c>
      <c r="E382" t="str">
        <f t="shared" si="5"/>
        <v>ia.assorted_string like '%92993-07-2024%' or</v>
      </c>
    </row>
    <row r="383" spans="1:5" x14ac:dyDescent="0.25">
      <c r="A383" t="s">
        <v>496</v>
      </c>
      <c r="B383" t="s">
        <v>2487</v>
      </c>
      <c r="D383">
        <v>92994</v>
      </c>
      <c r="E383" t="str">
        <f t="shared" si="5"/>
        <v>ia.assorted_string like '%92994-07-2024%' or</v>
      </c>
    </row>
    <row r="384" spans="1:5" x14ac:dyDescent="0.25">
      <c r="A384" t="s">
        <v>497</v>
      </c>
      <c r="B384" t="s">
        <v>2487</v>
      </c>
      <c r="D384">
        <v>92995</v>
      </c>
      <c r="E384" t="str">
        <f t="shared" si="5"/>
        <v>ia.assorted_string like '%92995-07-2024%' or</v>
      </c>
    </row>
    <row r="385" spans="1:5" x14ac:dyDescent="0.25">
      <c r="A385" t="s">
        <v>498</v>
      </c>
      <c r="B385" t="s">
        <v>2487</v>
      </c>
      <c r="D385">
        <v>92996</v>
      </c>
      <c r="E385" t="str">
        <f t="shared" si="5"/>
        <v>ia.assorted_string like '%92996-07-2024%' or</v>
      </c>
    </row>
    <row r="386" spans="1:5" x14ac:dyDescent="0.25">
      <c r="A386" t="s">
        <v>499</v>
      </c>
      <c r="B386" t="s">
        <v>2487</v>
      </c>
      <c r="D386">
        <v>92997</v>
      </c>
      <c r="E386" t="str">
        <f t="shared" ref="E386:E449" si="6">"ia.assorted_string like '%"&amp;D386&amp;B386&amp;"%' or"</f>
        <v>ia.assorted_string like '%92997-07-2024%' or</v>
      </c>
    </row>
    <row r="387" spans="1:5" x14ac:dyDescent="0.25">
      <c r="A387" t="s">
        <v>500</v>
      </c>
      <c r="B387" t="s">
        <v>2487</v>
      </c>
      <c r="D387">
        <v>92998</v>
      </c>
      <c r="E387" t="str">
        <f t="shared" si="6"/>
        <v>ia.assorted_string like '%92998-07-2024%' or</v>
      </c>
    </row>
    <row r="388" spans="1:5" x14ac:dyDescent="0.25">
      <c r="A388" t="s">
        <v>501</v>
      </c>
      <c r="B388" t="s">
        <v>2487</v>
      </c>
      <c r="D388">
        <v>93000</v>
      </c>
      <c r="E388" t="str">
        <f t="shared" si="6"/>
        <v>ia.assorted_string like '%93000-07-2024%' or</v>
      </c>
    </row>
    <row r="389" spans="1:5" x14ac:dyDescent="0.25">
      <c r="A389" t="s">
        <v>502</v>
      </c>
      <c r="B389" t="s">
        <v>2487</v>
      </c>
      <c r="D389">
        <v>93001</v>
      </c>
      <c r="E389" t="str">
        <f t="shared" si="6"/>
        <v>ia.assorted_string like '%93001-07-2024%' or</v>
      </c>
    </row>
    <row r="390" spans="1:5" x14ac:dyDescent="0.25">
      <c r="A390" t="s">
        <v>503</v>
      </c>
      <c r="B390" t="s">
        <v>2487</v>
      </c>
      <c r="D390">
        <v>93004</v>
      </c>
      <c r="E390" t="str">
        <f t="shared" si="6"/>
        <v>ia.assorted_string like '%93004-07-2024%' or</v>
      </c>
    </row>
    <row r="391" spans="1:5" x14ac:dyDescent="0.25">
      <c r="A391" t="s">
        <v>504</v>
      </c>
      <c r="B391" t="s">
        <v>2487</v>
      </c>
      <c r="D391">
        <v>93005</v>
      </c>
      <c r="E391" t="str">
        <f t="shared" si="6"/>
        <v>ia.assorted_string like '%93005-07-2024%' or</v>
      </c>
    </row>
    <row r="392" spans="1:5" x14ac:dyDescent="0.25">
      <c r="A392" t="s">
        <v>505</v>
      </c>
      <c r="B392" t="s">
        <v>2487</v>
      </c>
      <c r="D392">
        <v>93006</v>
      </c>
      <c r="E392" t="str">
        <f t="shared" si="6"/>
        <v>ia.assorted_string like '%93006-07-2024%' or</v>
      </c>
    </row>
    <row r="393" spans="1:5" x14ac:dyDescent="0.25">
      <c r="A393" t="s">
        <v>506</v>
      </c>
      <c r="B393" t="s">
        <v>2487</v>
      </c>
      <c r="D393">
        <v>93007</v>
      </c>
      <c r="E393" t="str">
        <f t="shared" si="6"/>
        <v>ia.assorted_string like '%93007-07-2024%' or</v>
      </c>
    </row>
    <row r="394" spans="1:5" x14ac:dyDescent="0.25">
      <c r="A394" t="s">
        <v>507</v>
      </c>
      <c r="B394" t="s">
        <v>2487</v>
      </c>
      <c r="D394">
        <v>93008</v>
      </c>
      <c r="E394" t="str">
        <f t="shared" si="6"/>
        <v>ia.assorted_string like '%93008-07-2024%' or</v>
      </c>
    </row>
    <row r="395" spans="1:5" x14ac:dyDescent="0.25">
      <c r="A395" t="s">
        <v>508</v>
      </c>
      <c r="B395" t="s">
        <v>2487</v>
      </c>
      <c r="D395">
        <v>93009</v>
      </c>
      <c r="E395" t="str">
        <f t="shared" si="6"/>
        <v>ia.assorted_string like '%93009-07-2024%' or</v>
      </c>
    </row>
    <row r="396" spans="1:5" x14ac:dyDescent="0.25">
      <c r="A396" t="s">
        <v>509</v>
      </c>
      <c r="B396" t="s">
        <v>2487</v>
      </c>
      <c r="D396">
        <v>93010</v>
      </c>
      <c r="E396" t="str">
        <f t="shared" si="6"/>
        <v>ia.assorted_string like '%93010-07-2024%' or</v>
      </c>
    </row>
    <row r="397" spans="1:5" x14ac:dyDescent="0.25">
      <c r="A397" t="s">
        <v>510</v>
      </c>
      <c r="B397" t="s">
        <v>2487</v>
      </c>
      <c r="D397">
        <v>93011</v>
      </c>
      <c r="E397" t="str">
        <f t="shared" si="6"/>
        <v>ia.assorted_string like '%93011-07-2024%' or</v>
      </c>
    </row>
    <row r="398" spans="1:5" x14ac:dyDescent="0.25">
      <c r="A398" t="s">
        <v>511</v>
      </c>
      <c r="B398" t="s">
        <v>2487</v>
      </c>
      <c r="D398">
        <v>93013</v>
      </c>
      <c r="E398" t="str">
        <f t="shared" si="6"/>
        <v>ia.assorted_string like '%93013-07-2024%' or</v>
      </c>
    </row>
    <row r="399" spans="1:5" x14ac:dyDescent="0.25">
      <c r="A399" t="s">
        <v>512</v>
      </c>
      <c r="B399" t="s">
        <v>2487</v>
      </c>
      <c r="D399">
        <v>93014</v>
      </c>
      <c r="E399" t="str">
        <f t="shared" si="6"/>
        <v>ia.assorted_string like '%93014-07-2024%' or</v>
      </c>
    </row>
    <row r="400" spans="1:5" x14ac:dyDescent="0.25">
      <c r="A400" t="s">
        <v>513</v>
      </c>
      <c r="B400" t="s">
        <v>2487</v>
      </c>
      <c r="D400">
        <v>93019</v>
      </c>
      <c r="E400" t="str">
        <f t="shared" si="6"/>
        <v>ia.assorted_string like '%93019-07-2024%' or</v>
      </c>
    </row>
    <row r="401" spans="1:5" x14ac:dyDescent="0.25">
      <c r="A401" t="s">
        <v>514</v>
      </c>
      <c r="B401" t="s">
        <v>2487</v>
      </c>
      <c r="D401">
        <v>93020</v>
      </c>
      <c r="E401" t="str">
        <f t="shared" si="6"/>
        <v>ia.assorted_string like '%93020-07-2024%' or</v>
      </c>
    </row>
    <row r="402" spans="1:5" x14ac:dyDescent="0.25">
      <c r="A402" t="s">
        <v>515</v>
      </c>
      <c r="B402" t="s">
        <v>2487</v>
      </c>
      <c r="D402">
        <v>93021</v>
      </c>
      <c r="E402" t="str">
        <f t="shared" si="6"/>
        <v>ia.assorted_string like '%93021-07-2024%' or</v>
      </c>
    </row>
    <row r="403" spans="1:5" x14ac:dyDescent="0.25">
      <c r="A403" t="s">
        <v>516</v>
      </c>
      <c r="B403" t="s">
        <v>2487</v>
      </c>
      <c r="D403">
        <v>93022</v>
      </c>
      <c r="E403" t="str">
        <f t="shared" si="6"/>
        <v>ia.assorted_string like '%93022-07-2024%' or</v>
      </c>
    </row>
    <row r="404" spans="1:5" x14ac:dyDescent="0.25">
      <c r="A404" t="s">
        <v>517</v>
      </c>
      <c r="B404" t="s">
        <v>2487</v>
      </c>
      <c r="D404">
        <v>93023</v>
      </c>
      <c r="E404" t="str">
        <f t="shared" si="6"/>
        <v>ia.assorted_string like '%93023-07-2024%' or</v>
      </c>
    </row>
    <row r="405" spans="1:5" x14ac:dyDescent="0.25">
      <c r="A405" t="s">
        <v>518</v>
      </c>
      <c r="B405" t="s">
        <v>2487</v>
      </c>
      <c r="D405">
        <v>93024</v>
      </c>
      <c r="E405" t="str">
        <f t="shared" si="6"/>
        <v>ia.assorted_string like '%93024-07-2024%' or</v>
      </c>
    </row>
    <row r="406" spans="1:5" x14ac:dyDescent="0.25">
      <c r="A406" t="s">
        <v>519</v>
      </c>
      <c r="B406" t="s">
        <v>2487</v>
      </c>
      <c r="D406">
        <v>93025</v>
      </c>
      <c r="E406" t="str">
        <f t="shared" si="6"/>
        <v>ia.assorted_string like '%93025-07-2024%' or</v>
      </c>
    </row>
    <row r="407" spans="1:5" x14ac:dyDescent="0.25">
      <c r="A407" t="s">
        <v>520</v>
      </c>
      <c r="B407" t="s">
        <v>2487</v>
      </c>
      <c r="D407">
        <v>93026</v>
      </c>
      <c r="E407" t="str">
        <f t="shared" si="6"/>
        <v>ia.assorted_string like '%93026-07-2024%' or</v>
      </c>
    </row>
    <row r="408" spans="1:5" x14ac:dyDescent="0.25">
      <c r="A408" t="s">
        <v>521</v>
      </c>
      <c r="B408" t="s">
        <v>2487</v>
      </c>
      <c r="D408">
        <v>93027</v>
      </c>
      <c r="E408" t="str">
        <f t="shared" si="6"/>
        <v>ia.assorted_string like '%93027-07-2024%' or</v>
      </c>
    </row>
    <row r="409" spans="1:5" x14ac:dyDescent="0.25">
      <c r="A409" t="s">
        <v>522</v>
      </c>
      <c r="B409" t="s">
        <v>2487</v>
      </c>
      <c r="D409">
        <v>93028</v>
      </c>
      <c r="E409" t="str">
        <f t="shared" si="6"/>
        <v>ia.assorted_string like '%93028-07-2024%' or</v>
      </c>
    </row>
    <row r="410" spans="1:5" x14ac:dyDescent="0.25">
      <c r="A410" t="s">
        <v>523</v>
      </c>
      <c r="B410" t="s">
        <v>2487</v>
      </c>
      <c r="D410">
        <v>93029</v>
      </c>
      <c r="E410" t="str">
        <f t="shared" si="6"/>
        <v>ia.assorted_string like '%93029-07-2024%' or</v>
      </c>
    </row>
    <row r="411" spans="1:5" x14ac:dyDescent="0.25">
      <c r="A411" t="s">
        <v>524</v>
      </c>
      <c r="B411" t="s">
        <v>2487</v>
      </c>
      <c r="D411">
        <v>93031</v>
      </c>
      <c r="E411" t="str">
        <f t="shared" si="6"/>
        <v>ia.assorted_string like '%93031-07-2024%' or</v>
      </c>
    </row>
    <row r="412" spans="1:5" x14ac:dyDescent="0.25">
      <c r="A412" t="s">
        <v>525</v>
      </c>
      <c r="B412" t="s">
        <v>2487</v>
      </c>
      <c r="D412">
        <v>93032</v>
      </c>
      <c r="E412" t="str">
        <f t="shared" si="6"/>
        <v>ia.assorted_string like '%93032-07-2024%' or</v>
      </c>
    </row>
    <row r="413" spans="1:5" x14ac:dyDescent="0.25">
      <c r="A413" t="s">
        <v>526</v>
      </c>
      <c r="B413" t="s">
        <v>2487</v>
      </c>
      <c r="D413">
        <v>93033</v>
      </c>
      <c r="E413" t="str">
        <f t="shared" si="6"/>
        <v>ia.assorted_string like '%93033-07-2024%' or</v>
      </c>
    </row>
    <row r="414" spans="1:5" x14ac:dyDescent="0.25">
      <c r="A414" t="s">
        <v>527</v>
      </c>
      <c r="B414" t="s">
        <v>2487</v>
      </c>
      <c r="D414">
        <v>93034</v>
      </c>
      <c r="E414" t="str">
        <f t="shared" si="6"/>
        <v>ia.assorted_string like '%93034-07-2024%' or</v>
      </c>
    </row>
    <row r="415" spans="1:5" x14ac:dyDescent="0.25">
      <c r="A415" t="s">
        <v>528</v>
      </c>
      <c r="B415" t="s">
        <v>2487</v>
      </c>
      <c r="D415">
        <v>93038</v>
      </c>
      <c r="E415" t="str">
        <f t="shared" si="6"/>
        <v>ia.assorted_string like '%93038-07-2024%' or</v>
      </c>
    </row>
    <row r="416" spans="1:5" x14ac:dyDescent="0.25">
      <c r="A416" t="s">
        <v>529</v>
      </c>
      <c r="B416" t="s">
        <v>2487</v>
      </c>
      <c r="D416">
        <v>93039</v>
      </c>
      <c r="E416" t="str">
        <f t="shared" si="6"/>
        <v>ia.assorted_string like '%93039-07-2024%' or</v>
      </c>
    </row>
    <row r="417" spans="1:5" x14ac:dyDescent="0.25">
      <c r="A417" t="s">
        <v>530</v>
      </c>
      <c r="B417" t="s">
        <v>2487</v>
      </c>
      <c r="D417">
        <v>93041</v>
      </c>
      <c r="E417" t="str">
        <f t="shared" si="6"/>
        <v>ia.assorted_string like '%93041-07-2024%' or</v>
      </c>
    </row>
    <row r="418" spans="1:5" x14ac:dyDescent="0.25">
      <c r="A418" t="s">
        <v>531</v>
      </c>
      <c r="B418" t="s">
        <v>2487</v>
      </c>
      <c r="D418">
        <v>93043</v>
      </c>
      <c r="E418" t="str">
        <f t="shared" si="6"/>
        <v>ia.assorted_string like '%93043-07-2024%' or</v>
      </c>
    </row>
    <row r="419" spans="1:5" x14ac:dyDescent="0.25">
      <c r="A419" t="s">
        <v>532</v>
      </c>
      <c r="B419" t="s">
        <v>2487</v>
      </c>
      <c r="D419">
        <v>93044</v>
      </c>
      <c r="E419" t="str">
        <f t="shared" si="6"/>
        <v>ia.assorted_string like '%93044-07-2024%' or</v>
      </c>
    </row>
    <row r="420" spans="1:5" x14ac:dyDescent="0.25">
      <c r="A420" t="s">
        <v>533</v>
      </c>
      <c r="B420" t="s">
        <v>2487</v>
      </c>
      <c r="D420">
        <v>93045</v>
      </c>
      <c r="E420" t="str">
        <f t="shared" si="6"/>
        <v>ia.assorted_string like '%93045-07-2024%' or</v>
      </c>
    </row>
    <row r="421" spans="1:5" x14ac:dyDescent="0.25">
      <c r="A421" t="s">
        <v>534</v>
      </c>
      <c r="B421" t="s">
        <v>2487</v>
      </c>
      <c r="D421">
        <v>93046</v>
      </c>
      <c r="E421" t="str">
        <f t="shared" si="6"/>
        <v>ia.assorted_string like '%93046-07-2024%' or</v>
      </c>
    </row>
    <row r="422" spans="1:5" x14ac:dyDescent="0.25">
      <c r="A422" t="s">
        <v>535</v>
      </c>
      <c r="B422" t="s">
        <v>2487</v>
      </c>
      <c r="D422">
        <v>93050</v>
      </c>
      <c r="E422" t="str">
        <f t="shared" si="6"/>
        <v>ia.assorted_string like '%93050-07-2024%' or</v>
      </c>
    </row>
    <row r="423" spans="1:5" x14ac:dyDescent="0.25">
      <c r="A423" t="s">
        <v>536</v>
      </c>
      <c r="B423" t="s">
        <v>2487</v>
      </c>
      <c r="D423">
        <v>93051</v>
      </c>
      <c r="E423" t="str">
        <f t="shared" si="6"/>
        <v>ia.assorted_string like '%93051-07-2024%' or</v>
      </c>
    </row>
    <row r="424" spans="1:5" x14ac:dyDescent="0.25">
      <c r="A424" t="s">
        <v>537</v>
      </c>
      <c r="B424" t="s">
        <v>2487</v>
      </c>
      <c r="D424">
        <v>93053</v>
      </c>
      <c r="E424" t="str">
        <f t="shared" si="6"/>
        <v>ia.assorted_string like '%93053-07-2024%' or</v>
      </c>
    </row>
    <row r="425" spans="1:5" x14ac:dyDescent="0.25">
      <c r="A425" t="s">
        <v>538</v>
      </c>
      <c r="B425" t="s">
        <v>2487</v>
      </c>
      <c r="D425">
        <v>93054</v>
      </c>
      <c r="E425" t="str">
        <f t="shared" si="6"/>
        <v>ia.assorted_string like '%93054-07-2024%' or</v>
      </c>
    </row>
    <row r="426" spans="1:5" x14ac:dyDescent="0.25">
      <c r="A426" t="s">
        <v>539</v>
      </c>
      <c r="B426" t="s">
        <v>2487</v>
      </c>
      <c r="D426">
        <v>93055</v>
      </c>
      <c r="E426" t="str">
        <f t="shared" si="6"/>
        <v>ia.assorted_string like '%93055-07-2024%' or</v>
      </c>
    </row>
    <row r="427" spans="1:5" x14ac:dyDescent="0.25">
      <c r="A427" t="s">
        <v>540</v>
      </c>
      <c r="B427" t="s">
        <v>2487</v>
      </c>
      <c r="D427">
        <v>93056</v>
      </c>
      <c r="E427" t="str">
        <f t="shared" si="6"/>
        <v>ia.assorted_string like '%93056-07-2024%' or</v>
      </c>
    </row>
    <row r="428" spans="1:5" x14ac:dyDescent="0.25">
      <c r="A428" t="s">
        <v>541</v>
      </c>
      <c r="B428" t="s">
        <v>2487</v>
      </c>
      <c r="D428">
        <v>93057</v>
      </c>
      <c r="E428" t="str">
        <f t="shared" si="6"/>
        <v>ia.assorted_string like '%93057-07-2024%' or</v>
      </c>
    </row>
    <row r="429" spans="1:5" x14ac:dyDescent="0.25">
      <c r="A429" t="s">
        <v>542</v>
      </c>
      <c r="B429" t="s">
        <v>2487</v>
      </c>
      <c r="D429">
        <v>93058</v>
      </c>
      <c r="E429" t="str">
        <f t="shared" si="6"/>
        <v>ia.assorted_string like '%93058-07-2024%' or</v>
      </c>
    </row>
    <row r="430" spans="1:5" x14ac:dyDescent="0.25">
      <c r="A430" t="s">
        <v>543</v>
      </c>
      <c r="B430" t="s">
        <v>2487</v>
      </c>
      <c r="D430">
        <v>93059</v>
      </c>
      <c r="E430" t="str">
        <f t="shared" si="6"/>
        <v>ia.assorted_string like '%93059-07-2024%' or</v>
      </c>
    </row>
    <row r="431" spans="1:5" x14ac:dyDescent="0.25">
      <c r="A431" t="s">
        <v>544</v>
      </c>
      <c r="B431" t="s">
        <v>2487</v>
      </c>
      <c r="D431">
        <v>93060</v>
      </c>
      <c r="E431" t="str">
        <f t="shared" si="6"/>
        <v>ia.assorted_string like '%93060-07-2024%' or</v>
      </c>
    </row>
    <row r="432" spans="1:5" x14ac:dyDescent="0.25">
      <c r="A432" t="s">
        <v>545</v>
      </c>
      <c r="B432" t="s">
        <v>2487</v>
      </c>
      <c r="D432">
        <v>93061</v>
      </c>
      <c r="E432" t="str">
        <f t="shared" si="6"/>
        <v>ia.assorted_string like '%93061-07-2024%' or</v>
      </c>
    </row>
    <row r="433" spans="1:5" x14ac:dyDescent="0.25">
      <c r="A433" t="s">
        <v>546</v>
      </c>
      <c r="B433" t="s">
        <v>2487</v>
      </c>
      <c r="D433">
        <v>93062</v>
      </c>
      <c r="E433" t="str">
        <f t="shared" si="6"/>
        <v>ia.assorted_string like '%93062-07-2024%' or</v>
      </c>
    </row>
    <row r="434" spans="1:5" x14ac:dyDescent="0.25">
      <c r="A434" t="s">
        <v>547</v>
      </c>
      <c r="B434" t="s">
        <v>2487</v>
      </c>
      <c r="D434">
        <v>93064</v>
      </c>
      <c r="E434" t="str">
        <f t="shared" si="6"/>
        <v>ia.assorted_string like '%93064-07-2024%' or</v>
      </c>
    </row>
    <row r="435" spans="1:5" x14ac:dyDescent="0.25">
      <c r="A435" t="s">
        <v>548</v>
      </c>
      <c r="B435" t="s">
        <v>2487</v>
      </c>
      <c r="D435">
        <v>93065</v>
      </c>
      <c r="E435" t="str">
        <f t="shared" si="6"/>
        <v>ia.assorted_string like '%93065-07-2024%' or</v>
      </c>
    </row>
    <row r="436" spans="1:5" x14ac:dyDescent="0.25">
      <c r="A436" t="s">
        <v>549</v>
      </c>
      <c r="B436" t="s">
        <v>2487</v>
      </c>
      <c r="D436">
        <v>93066</v>
      </c>
      <c r="E436" t="str">
        <f t="shared" si="6"/>
        <v>ia.assorted_string like '%93066-07-2024%' or</v>
      </c>
    </row>
    <row r="437" spans="1:5" x14ac:dyDescent="0.25">
      <c r="A437" t="s">
        <v>550</v>
      </c>
      <c r="B437" t="s">
        <v>2487</v>
      </c>
      <c r="D437">
        <v>93067</v>
      </c>
      <c r="E437" t="str">
        <f t="shared" si="6"/>
        <v>ia.assorted_string like '%93067-07-2024%' or</v>
      </c>
    </row>
    <row r="438" spans="1:5" x14ac:dyDescent="0.25">
      <c r="A438" t="s">
        <v>551</v>
      </c>
      <c r="B438" t="s">
        <v>2487</v>
      </c>
      <c r="D438">
        <v>93069</v>
      </c>
      <c r="E438" t="str">
        <f t="shared" si="6"/>
        <v>ia.assorted_string like '%93069-07-2024%' or</v>
      </c>
    </row>
    <row r="439" spans="1:5" x14ac:dyDescent="0.25">
      <c r="A439" t="s">
        <v>552</v>
      </c>
      <c r="B439" t="s">
        <v>2487</v>
      </c>
      <c r="D439">
        <v>93070</v>
      </c>
      <c r="E439" t="str">
        <f t="shared" si="6"/>
        <v>ia.assorted_string like '%93070-07-2024%' or</v>
      </c>
    </row>
    <row r="440" spans="1:5" x14ac:dyDescent="0.25">
      <c r="A440" t="s">
        <v>553</v>
      </c>
      <c r="B440" t="s">
        <v>2487</v>
      </c>
      <c r="D440">
        <v>93071</v>
      </c>
      <c r="E440" t="str">
        <f t="shared" si="6"/>
        <v>ia.assorted_string like '%93071-07-2024%' or</v>
      </c>
    </row>
    <row r="441" spans="1:5" x14ac:dyDescent="0.25">
      <c r="A441" t="s">
        <v>554</v>
      </c>
      <c r="B441" t="s">
        <v>2487</v>
      </c>
      <c r="D441">
        <v>93072</v>
      </c>
      <c r="E441" t="str">
        <f t="shared" si="6"/>
        <v>ia.assorted_string like '%93072-07-2024%' or</v>
      </c>
    </row>
    <row r="442" spans="1:5" x14ac:dyDescent="0.25">
      <c r="A442" t="s">
        <v>555</v>
      </c>
      <c r="B442" t="s">
        <v>2487</v>
      </c>
      <c r="D442">
        <v>93073</v>
      </c>
      <c r="E442" t="str">
        <f t="shared" si="6"/>
        <v>ia.assorted_string like '%93073-07-2024%' or</v>
      </c>
    </row>
    <row r="443" spans="1:5" x14ac:dyDescent="0.25">
      <c r="A443" t="s">
        <v>556</v>
      </c>
      <c r="B443" t="s">
        <v>2487</v>
      </c>
      <c r="D443">
        <v>93074</v>
      </c>
      <c r="E443" t="str">
        <f t="shared" si="6"/>
        <v>ia.assorted_string like '%93074-07-2024%' or</v>
      </c>
    </row>
    <row r="444" spans="1:5" x14ac:dyDescent="0.25">
      <c r="A444" t="s">
        <v>557</v>
      </c>
      <c r="B444" t="s">
        <v>2487</v>
      </c>
      <c r="D444">
        <v>93075</v>
      </c>
      <c r="E444" t="str">
        <f t="shared" si="6"/>
        <v>ia.assorted_string like '%93075-07-2024%' or</v>
      </c>
    </row>
    <row r="445" spans="1:5" x14ac:dyDescent="0.25">
      <c r="A445" t="s">
        <v>558</v>
      </c>
      <c r="B445" t="s">
        <v>2487</v>
      </c>
      <c r="D445">
        <v>93076</v>
      </c>
      <c r="E445" t="str">
        <f t="shared" si="6"/>
        <v>ia.assorted_string like '%93076-07-2024%' or</v>
      </c>
    </row>
    <row r="446" spans="1:5" x14ac:dyDescent="0.25">
      <c r="A446" t="s">
        <v>559</v>
      </c>
      <c r="B446" t="s">
        <v>2487</v>
      </c>
      <c r="D446">
        <v>93077</v>
      </c>
      <c r="E446" t="str">
        <f t="shared" si="6"/>
        <v>ia.assorted_string like '%93077-07-2024%' or</v>
      </c>
    </row>
    <row r="447" spans="1:5" x14ac:dyDescent="0.25">
      <c r="A447" t="s">
        <v>560</v>
      </c>
      <c r="B447" t="s">
        <v>2487</v>
      </c>
      <c r="D447">
        <v>93078</v>
      </c>
      <c r="E447" t="str">
        <f t="shared" si="6"/>
        <v>ia.assorted_string like '%93078-07-2024%' or</v>
      </c>
    </row>
    <row r="448" spans="1:5" x14ac:dyDescent="0.25">
      <c r="A448" t="s">
        <v>561</v>
      </c>
      <c r="B448" t="s">
        <v>2487</v>
      </c>
      <c r="D448">
        <v>93079</v>
      </c>
      <c r="E448" t="str">
        <f t="shared" si="6"/>
        <v>ia.assorted_string like '%93079-07-2024%' or</v>
      </c>
    </row>
    <row r="449" spans="1:5" x14ac:dyDescent="0.25">
      <c r="A449" t="s">
        <v>562</v>
      </c>
      <c r="B449" t="s">
        <v>2487</v>
      </c>
      <c r="D449">
        <v>93080</v>
      </c>
      <c r="E449" t="str">
        <f t="shared" si="6"/>
        <v>ia.assorted_string like '%93080-07-2024%' or</v>
      </c>
    </row>
    <row r="450" spans="1:5" x14ac:dyDescent="0.25">
      <c r="A450" t="s">
        <v>563</v>
      </c>
      <c r="B450" t="s">
        <v>2487</v>
      </c>
      <c r="D450">
        <v>93081</v>
      </c>
      <c r="E450" t="str">
        <f t="shared" ref="E450:E513" si="7">"ia.assorted_string like '%"&amp;D450&amp;B450&amp;"%' or"</f>
        <v>ia.assorted_string like '%93081-07-2024%' or</v>
      </c>
    </row>
    <row r="451" spans="1:5" x14ac:dyDescent="0.25">
      <c r="A451" t="s">
        <v>564</v>
      </c>
      <c r="B451" t="s">
        <v>2487</v>
      </c>
      <c r="D451">
        <v>93082</v>
      </c>
      <c r="E451" t="str">
        <f t="shared" si="7"/>
        <v>ia.assorted_string like '%93082-07-2024%' or</v>
      </c>
    </row>
    <row r="452" spans="1:5" x14ac:dyDescent="0.25">
      <c r="A452" t="s">
        <v>565</v>
      </c>
      <c r="B452" t="s">
        <v>2487</v>
      </c>
      <c r="D452">
        <v>93083</v>
      </c>
      <c r="E452" t="str">
        <f t="shared" si="7"/>
        <v>ia.assorted_string like '%93083-07-2024%' or</v>
      </c>
    </row>
    <row r="453" spans="1:5" x14ac:dyDescent="0.25">
      <c r="A453" t="s">
        <v>566</v>
      </c>
      <c r="B453" t="s">
        <v>2487</v>
      </c>
      <c r="D453">
        <v>93084</v>
      </c>
      <c r="E453" t="str">
        <f t="shared" si="7"/>
        <v>ia.assorted_string like '%93084-07-2024%' or</v>
      </c>
    </row>
    <row r="454" spans="1:5" x14ac:dyDescent="0.25">
      <c r="A454" t="s">
        <v>567</v>
      </c>
      <c r="B454" t="s">
        <v>2487</v>
      </c>
      <c r="D454">
        <v>93085</v>
      </c>
      <c r="E454" t="str">
        <f t="shared" si="7"/>
        <v>ia.assorted_string like '%93085-07-2024%' or</v>
      </c>
    </row>
    <row r="455" spans="1:5" x14ac:dyDescent="0.25">
      <c r="A455" t="s">
        <v>568</v>
      </c>
      <c r="B455" t="s">
        <v>2487</v>
      </c>
      <c r="D455">
        <v>93086</v>
      </c>
      <c r="E455" t="str">
        <f t="shared" si="7"/>
        <v>ia.assorted_string like '%93086-07-2024%' or</v>
      </c>
    </row>
    <row r="456" spans="1:5" x14ac:dyDescent="0.25">
      <c r="A456" t="s">
        <v>569</v>
      </c>
      <c r="B456" t="s">
        <v>2487</v>
      </c>
      <c r="D456">
        <v>93087</v>
      </c>
      <c r="E456" t="str">
        <f t="shared" si="7"/>
        <v>ia.assorted_string like '%93087-07-2024%' or</v>
      </c>
    </row>
    <row r="457" spans="1:5" x14ac:dyDescent="0.25">
      <c r="A457" t="s">
        <v>570</v>
      </c>
      <c r="B457" t="s">
        <v>2487</v>
      </c>
      <c r="D457">
        <v>93088</v>
      </c>
      <c r="E457" t="str">
        <f t="shared" si="7"/>
        <v>ia.assorted_string like '%93088-07-2024%' or</v>
      </c>
    </row>
    <row r="458" spans="1:5" x14ac:dyDescent="0.25">
      <c r="A458" t="s">
        <v>571</v>
      </c>
      <c r="B458" t="s">
        <v>2487</v>
      </c>
      <c r="D458">
        <v>93089</v>
      </c>
      <c r="E458" t="str">
        <f t="shared" si="7"/>
        <v>ia.assorted_string like '%93089-07-2024%' or</v>
      </c>
    </row>
    <row r="459" spans="1:5" x14ac:dyDescent="0.25">
      <c r="A459" t="s">
        <v>572</v>
      </c>
      <c r="B459" t="s">
        <v>2487</v>
      </c>
      <c r="D459">
        <v>93090</v>
      </c>
      <c r="E459" t="str">
        <f t="shared" si="7"/>
        <v>ia.assorted_string like '%93090-07-2024%' or</v>
      </c>
    </row>
    <row r="460" spans="1:5" x14ac:dyDescent="0.25">
      <c r="A460" t="s">
        <v>573</v>
      </c>
      <c r="B460" t="s">
        <v>2487</v>
      </c>
      <c r="D460">
        <v>93091</v>
      </c>
      <c r="E460" t="str">
        <f t="shared" si="7"/>
        <v>ia.assorted_string like '%93091-07-2024%' or</v>
      </c>
    </row>
    <row r="461" spans="1:5" x14ac:dyDescent="0.25">
      <c r="A461" t="s">
        <v>574</v>
      </c>
      <c r="B461" t="s">
        <v>2487</v>
      </c>
      <c r="D461">
        <v>93092</v>
      </c>
      <c r="E461" t="str">
        <f t="shared" si="7"/>
        <v>ia.assorted_string like '%93092-07-2024%' or</v>
      </c>
    </row>
    <row r="462" spans="1:5" x14ac:dyDescent="0.25">
      <c r="A462" t="s">
        <v>575</v>
      </c>
      <c r="B462" t="s">
        <v>2487</v>
      </c>
      <c r="D462">
        <v>93093</v>
      </c>
      <c r="E462" t="str">
        <f t="shared" si="7"/>
        <v>ia.assorted_string like '%93093-07-2024%' or</v>
      </c>
    </row>
    <row r="463" spans="1:5" x14ac:dyDescent="0.25">
      <c r="A463" t="s">
        <v>576</v>
      </c>
      <c r="B463" t="s">
        <v>2487</v>
      </c>
      <c r="D463">
        <v>93094</v>
      </c>
      <c r="E463" t="str">
        <f t="shared" si="7"/>
        <v>ia.assorted_string like '%93094-07-2024%' or</v>
      </c>
    </row>
    <row r="464" spans="1:5" x14ac:dyDescent="0.25">
      <c r="A464" t="s">
        <v>577</v>
      </c>
      <c r="B464" t="s">
        <v>2487</v>
      </c>
      <c r="D464">
        <v>93096</v>
      </c>
      <c r="E464" t="str">
        <f t="shared" si="7"/>
        <v>ia.assorted_string like '%93096-07-2024%' or</v>
      </c>
    </row>
    <row r="465" spans="1:5" x14ac:dyDescent="0.25">
      <c r="A465" t="s">
        <v>578</v>
      </c>
      <c r="B465" t="s">
        <v>2487</v>
      </c>
      <c r="D465">
        <v>93097</v>
      </c>
      <c r="E465" t="str">
        <f t="shared" si="7"/>
        <v>ia.assorted_string like '%93097-07-2024%' or</v>
      </c>
    </row>
    <row r="466" spans="1:5" x14ac:dyDescent="0.25">
      <c r="A466" t="s">
        <v>579</v>
      </c>
      <c r="B466" t="s">
        <v>2487</v>
      </c>
      <c r="D466">
        <v>93098</v>
      </c>
      <c r="E466" t="str">
        <f t="shared" si="7"/>
        <v>ia.assorted_string like '%93098-07-2024%' or</v>
      </c>
    </row>
    <row r="467" spans="1:5" x14ac:dyDescent="0.25">
      <c r="A467" t="s">
        <v>580</v>
      </c>
      <c r="B467" t="s">
        <v>2487</v>
      </c>
      <c r="D467">
        <v>93099</v>
      </c>
      <c r="E467" t="str">
        <f t="shared" si="7"/>
        <v>ia.assorted_string like '%93099-07-2024%' or</v>
      </c>
    </row>
    <row r="468" spans="1:5" x14ac:dyDescent="0.25">
      <c r="A468" t="s">
        <v>581</v>
      </c>
      <c r="B468" t="s">
        <v>2487</v>
      </c>
      <c r="D468">
        <v>93100</v>
      </c>
      <c r="E468" t="str">
        <f t="shared" si="7"/>
        <v>ia.assorted_string like '%93100-07-2024%' or</v>
      </c>
    </row>
    <row r="469" spans="1:5" x14ac:dyDescent="0.25">
      <c r="A469" t="s">
        <v>582</v>
      </c>
      <c r="B469" t="s">
        <v>2487</v>
      </c>
      <c r="D469">
        <v>93101</v>
      </c>
      <c r="E469" t="str">
        <f t="shared" si="7"/>
        <v>ia.assorted_string like '%93101-07-2024%' or</v>
      </c>
    </row>
    <row r="470" spans="1:5" x14ac:dyDescent="0.25">
      <c r="A470" t="s">
        <v>583</v>
      </c>
      <c r="B470" t="s">
        <v>2487</v>
      </c>
      <c r="D470">
        <v>93102</v>
      </c>
      <c r="E470" t="str">
        <f t="shared" si="7"/>
        <v>ia.assorted_string like '%93102-07-2024%' or</v>
      </c>
    </row>
    <row r="471" spans="1:5" x14ac:dyDescent="0.25">
      <c r="A471" t="s">
        <v>584</v>
      </c>
      <c r="B471" t="s">
        <v>2487</v>
      </c>
      <c r="D471">
        <v>93103</v>
      </c>
      <c r="E471" t="str">
        <f t="shared" si="7"/>
        <v>ia.assorted_string like '%93103-07-2024%' or</v>
      </c>
    </row>
    <row r="472" spans="1:5" x14ac:dyDescent="0.25">
      <c r="A472" t="s">
        <v>585</v>
      </c>
      <c r="B472" t="s">
        <v>2487</v>
      </c>
      <c r="D472">
        <v>93104</v>
      </c>
      <c r="E472" t="str">
        <f t="shared" si="7"/>
        <v>ia.assorted_string like '%93104-07-2024%' or</v>
      </c>
    </row>
    <row r="473" spans="1:5" x14ac:dyDescent="0.25">
      <c r="A473" t="s">
        <v>586</v>
      </c>
      <c r="B473" t="s">
        <v>2487</v>
      </c>
      <c r="D473">
        <v>93105</v>
      </c>
      <c r="E473" t="str">
        <f t="shared" si="7"/>
        <v>ia.assorted_string like '%93105-07-2024%' or</v>
      </c>
    </row>
    <row r="474" spans="1:5" x14ac:dyDescent="0.25">
      <c r="A474" t="s">
        <v>587</v>
      </c>
      <c r="B474" t="s">
        <v>2487</v>
      </c>
      <c r="D474">
        <v>93118</v>
      </c>
      <c r="E474" t="str">
        <f t="shared" si="7"/>
        <v>ia.assorted_string like '%93118-07-2024%' or</v>
      </c>
    </row>
    <row r="475" spans="1:5" x14ac:dyDescent="0.25">
      <c r="A475" t="s">
        <v>588</v>
      </c>
      <c r="B475" t="s">
        <v>2487</v>
      </c>
      <c r="D475">
        <v>93124</v>
      </c>
      <c r="E475" t="str">
        <f t="shared" si="7"/>
        <v>ia.assorted_string like '%93124-07-2024%' or</v>
      </c>
    </row>
    <row r="476" spans="1:5" x14ac:dyDescent="0.25">
      <c r="A476" t="s">
        <v>589</v>
      </c>
      <c r="B476" t="s">
        <v>2487</v>
      </c>
      <c r="D476">
        <v>93125</v>
      </c>
      <c r="E476" t="str">
        <f t="shared" si="7"/>
        <v>ia.assorted_string like '%93125-07-2024%' or</v>
      </c>
    </row>
    <row r="477" spans="1:5" x14ac:dyDescent="0.25">
      <c r="A477" t="s">
        <v>590</v>
      </c>
      <c r="B477" t="s">
        <v>2487</v>
      </c>
      <c r="D477">
        <v>93132</v>
      </c>
      <c r="E477" t="str">
        <f t="shared" si="7"/>
        <v>ia.assorted_string like '%93132-07-2024%' or</v>
      </c>
    </row>
    <row r="478" spans="1:5" x14ac:dyDescent="0.25">
      <c r="A478" t="s">
        <v>591</v>
      </c>
      <c r="B478" t="s">
        <v>2487</v>
      </c>
      <c r="D478">
        <v>93134</v>
      </c>
      <c r="E478" t="str">
        <f t="shared" si="7"/>
        <v>ia.assorted_string like '%93134-07-2024%' or</v>
      </c>
    </row>
    <row r="479" spans="1:5" x14ac:dyDescent="0.25">
      <c r="A479" t="s">
        <v>592</v>
      </c>
      <c r="B479" t="s">
        <v>2487</v>
      </c>
      <c r="D479">
        <v>93136</v>
      </c>
      <c r="E479" t="str">
        <f t="shared" si="7"/>
        <v>ia.assorted_string like '%93136-07-2024%' or</v>
      </c>
    </row>
    <row r="480" spans="1:5" x14ac:dyDescent="0.25">
      <c r="A480" t="s">
        <v>593</v>
      </c>
      <c r="B480" t="s">
        <v>2487</v>
      </c>
      <c r="D480">
        <v>93140</v>
      </c>
      <c r="E480" t="str">
        <f t="shared" si="7"/>
        <v>ia.assorted_string like '%93140-07-2024%' or</v>
      </c>
    </row>
    <row r="481" spans="1:5" x14ac:dyDescent="0.25">
      <c r="A481" t="s">
        <v>594</v>
      </c>
      <c r="B481" t="s">
        <v>2487</v>
      </c>
      <c r="D481">
        <v>93142</v>
      </c>
      <c r="E481" t="str">
        <f t="shared" si="7"/>
        <v>ia.assorted_string like '%93142-07-2024%' or</v>
      </c>
    </row>
    <row r="482" spans="1:5" x14ac:dyDescent="0.25">
      <c r="A482" t="s">
        <v>595</v>
      </c>
      <c r="B482" t="s">
        <v>2487</v>
      </c>
      <c r="D482">
        <v>93146</v>
      </c>
      <c r="E482" t="str">
        <f t="shared" si="7"/>
        <v>ia.assorted_string like '%93146-07-2024%' or</v>
      </c>
    </row>
    <row r="483" spans="1:5" x14ac:dyDescent="0.25">
      <c r="A483" t="s">
        <v>596</v>
      </c>
      <c r="B483" t="s">
        <v>2487</v>
      </c>
      <c r="D483">
        <v>93147</v>
      </c>
      <c r="E483" t="str">
        <f t="shared" si="7"/>
        <v>ia.assorted_string like '%93147-07-2024%' or</v>
      </c>
    </row>
    <row r="484" spans="1:5" x14ac:dyDescent="0.25">
      <c r="A484" t="s">
        <v>597</v>
      </c>
      <c r="B484" t="s">
        <v>2487</v>
      </c>
      <c r="D484">
        <v>93148</v>
      </c>
      <c r="E484" t="str">
        <f t="shared" si="7"/>
        <v>ia.assorted_string like '%93148-07-2024%' or</v>
      </c>
    </row>
    <row r="485" spans="1:5" x14ac:dyDescent="0.25">
      <c r="A485" t="s">
        <v>598</v>
      </c>
      <c r="B485" t="s">
        <v>2487</v>
      </c>
      <c r="D485">
        <v>93149</v>
      </c>
      <c r="E485" t="str">
        <f t="shared" si="7"/>
        <v>ia.assorted_string like '%93149-07-2024%' or</v>
      </c>
    </row>
    <row r="486" spans="1:5" x14ac:dyDescent="0.25">
      <c r="A486" t="s">
        <v>599</v>
      </c>
      <c r="B486" t="s">
        <v>2487</v>
      </c>
      <c r="D486">
        <v>93151</v>
      </c>
      <c r="E486" t="str">
        <f t="shared" si="7"/>
        <v>ia.assorted_string like '%93151-07-2024%' or</v>
      </c>
    </row>
    <row r="487" spans="1:5" x14ac:dyDescent="0.25">
      <c r="A487" t="s">
        <v>600</v>
      </c>
      <c r="B487" t="s">
        <v>2487</v>
      </c>
      <c r="D487">
        <v>93152</v>
      </c>
      <c r="E487" t="str">
        <f t="shared" si="7"/>
        <v>ia.assorted_string like '%93152-07-2024%' or</v>
      </c>
    </row>
    <row r="488" spans="1:5" x14ac:dyDescent="0.25">
      <c r="A488" t="s">
        <v>601</v>
      </c>
      <c r="B488" t="s">
        <v>2487</v>
      </c>
      <c r="D488">
        <v>93156</v>
      </c>
      <c r="E488" t="str">
        <f t="shared" si="7"/>
        <v>ia.assorted_string like '%93156-07-2024%' or</v>
      </c>
    </row>
    <row r="489" spans="1:5" x14ac:dyDescent="0.25">
      <c r="A489" t="s">
        <v>602</v>
      </c>
      <c r="B489" t="s">
        <v>2487</v>
      </c>
      <c r="D489">
        <v>93160</v>
      </c>
      <c r="E489" t="str">
        <f t="shared" si="7"/>
        <v>ia.assorted_string like '%93160-07-2024%' or</v>
      </c>
    </row>
    <row r="490" spans="1:5" x14ac:dyDescent="0.25">
      <c r="A490" t="s">
        <v>603</v>
      </c>
      <c r="B490" t="s">
        <v>2487</v>
      </c>
      <c r="D490">
        <v>93161</v>
      </c>
      <c r="E490" t="str">
        <f t="shared" si="7"/>
        <v>ia.assorted_string like '%93161-07-2024%' or</v>
      </c>
    </row>
    <row r="491" spans="1:5" x14ac:dyDescent="0.25">
      <c r="A491" t="s">
        <v>604</v>
      </c>
      <c r="B491" t="s">
        <v>2487</v>
      </c>
      <c r="D491">
        <v>93163</v>
      </c>
      <c r="E491" t="str">
        <f t="shared" si="7"/>
        <v>ia.assorted_string like '%93163-07-2024%' or</v>
      </c>
    </row>
    <row r="492" spans="1:5" x14ac:dyDescent="0.25">
      <c r="A492" t="s">
        <v>605</v>
      </c>
      <c r="B492" t="s">
        <v>2487</v>
      </c>
      <c r="D492">
        <v>93164</v>
      </c>
      <c r="E492" t="str">
        <f t="shared" si="7"/>
        <v>ia.assorted_string like '%93164-07-2024%' or</v>
      </c>
    </row>
    <row r="493" spans="1:5" x14ac:dyDescent="0.25">
      <c r="A493" t="s">
        <v>606</v>
      </c>
      <c r="B493" t="s">
        <v>2487</v>
      </c>
      <c r="D493">
        <v>93166</v>
      </c>
      <c r="E493" t="str">
        <f t="shared" si="7"/>
        <v>ia.assorted_string like '%93166-07-2024%' or</v>
      </c>
    </row>
    <row r="494" spans="1:5" x14ac:dyDescent="0.25">
      <c r="A494" t="s">
        <v>607</v>
      </c>
      <c r="B494" t="s">
        <v>2487</v>
      </c>
      <c r="D494">
        <v>93168</v>
      </c>
      <c r="E494" t="str">
        <f t="shared" si="7"/>
        <v>ia.assorted_string like '%93168-07-2024%' or</v>
      </c>
    </row>
    <row r="495" spans="1:5" x14ac:dyDescent="0.25">
      <c r="A495" t="s">
        <v>608</v>
      </c>
      <c r="B495" t="s">
        <v>2487</v>
      </c>
      <c r="D495">
        <v>93170</v>
      </c>
      <c r="E495" t="str">
        <f t="shared" si="7"/>
        <v>ia.assorted_string like '%93170-07-2024%' or</v>
      </c>
    </row>
    <row r="496" spans="1:5" x14ac:dyDescent="0.25">
      <c r="A496" t="s">
        <v>609</v>
      </c>
      <c r="B496" t="s">
        <v>2487</v>
      </c>
      <c r="D496">
        <v>93171</v>
      </c>
      <c r="E496" t="str">
        <f t="shared" si="7"/>
        <v>ia.assorted_string like '%93171-07-2024%' or</v>
      </c>
    </row>
    <row r="497" spans="1:5" x14ac:dyDescent="0.25">
      <c r="A497" t="s">
        <v>610</v>
      </c>
      <c r="B497" t="s">
        <v>2487</v>
      </c>
      <c r="D497">
        <v>93172</v>
      </c>
      <c r="E497" t="str">
        <f t="shared" si="7"/>
        <v>ia.assorted_string like '%93172-07-2024%' or</v>
      </c>
    </row>
    <row r="498" spans="1:5" x14ac:dyDescent="0.25">
      <c r="A498" t="s">
        <v>611</v>
      </c>
      <c r="B498" t="s">
        <v>2487</v>
      </c>
      <c r="D498">
        <v>93173</v>
      </c>
      <c r="E498" t="str">
        <f t="shared" si="7"/>
        <v>ia.assorted_string like '%93173-07-2024%' or</v>
      </c>
    </row>
    <row r="499" spans="1:5" x14ac:dyDescent="0.25">
      <c r="A499" t="s">
        <v>612</v>
      </c>
      <c r="B499" t="s">
        <v>2487</v>
      </c>
      <c r="D499">
        <v>93174</v>
      </c>
      <c r="E499" t="str">
        <f t="shared" si="7"/>
        <v>ia.assorted_string like '%93174-07-2024%' or</v>
      </c>
    </row>
    <row r="500" spans="1:5" x14ac:dyDescent="0.25">
      <c r="A500" t="s">
        <v>613</v>
      </c>
      <c r="B500" t="s">
        <v>2487</v>
      </c>
      <c r="D500">
        <v>93175</v>
      </c>
      <c r="E500" t="str">
        <f t="shared" si="7"/>
        <v>ia.assorted_string like '%93175-07-2024%' or</v>
      </c>
    </row>
    <row r="501" spans="1:5" x14ac:dyDescent="0.25">
      <c r="A501" t="s">
        <v>614</v>
      </c>
      <c r="B501" t="s">
        <v>2487</v>
      </c>
      <c r="D501">
        <v>93177</v>
      </c>
      <c r="E501" t="str">
        <f t="shared" si="7"/>
        <v>ia.assorted_string like '%93177-07-2024%' or</v>
      </c>
    </row>
    <row r="502" spans="1:5" x14ac:dyDescent="0.25">
      <c r="A502" t="s">
        <v>615</v>
      </c>
      <c r="B502" t="s">
        <v>2487</v>
      </c>
      <c r="D502">
        <v>93178</v>
      </c>
      <c r="E502" t="str">
        <f t="shared" si="7"/>
        <v>ia.assorted_string like '%93178-07-2024%' or</v>
      </c>
    </row>
    <row r="503" spans="1:5" x14ac:dyDescent="0.25">
      <c r="A503" t="s">
        <v>616</v>
      </c>
      <c r="B503" t="s">
        <v>2487</v>
      </c>
      <c r="D503">
        <v>93181</v>
      </c>
      <c r="E503" t="str">
        <f t="shared" si="7"/>
        <v>ia.assorted_string like '%93181-07-2024%' or</v>
      </c>
    </row>
    <row r="504" spans="1:5" x14ac:dyDescent="0.25">
      <c r="A504" t="s">
        <v>617</v>
      </c>
      <c r="B504" t="s">
        <v>2487</v>
      </c>
      <c r="D504">
        <v>93183</v>
      </c>
      <c r="E504" t="str">
        <f t="shared" si="7"/>
        <v>ia.assorted_string like '%93183-07-2024%' or</v>
      </c>
    </row>
    <row r="505" spans="1:5" x14ac:dyDescent="0.25">
      <c r="A505" t="s">
        <v>618</v>
      </c>
      <c r="B505" t="s">
        <v>2487</v>
      </c>
      <c r="D505">
        <v>93184</v>
      </c>
      <c r="E505" t="str">
        <f t="shared" si="7"/>
        <v>ia.assorted_string like '%93184-07-2024%' or</v>
      </c>
    </row>
    <row r="506" spans="1:5" x14ac:dyDescent="0.25">
      <c r="A506" t="s">
        <v>619</v>
      </c>
      <c r="B506" t="s">
        <v>2487</v>
      </c>
      <c r="D506">
        <v>93185</v>
      </c>
      <c r="E506" t="str">
        <f t="shared" si="7"/>
        <v>ia.assorted_string like '%93185-07-2024%' or</v>
      </c>
    </row>
    <row r="507" spans="1:5" x14ac:dyDescent="0.25">
      <c r="A507" t="s">
        <v>620</v>
      </c>
      <c r="B507" t="s">
        <v>2487</v>
      </c>
      <c r="D507">
        <v>93186</v>
      </c>
      <c r="E507" t="str">
        <f t="shared" si="7"/>
        <v>ia.assorted_string like '%93186-07-2024%' or</v>
      </c>
    </row>
    <row r="508" spans="1:5" x14ac:dyDescent="0.25">
      <c r="A508" t="s">
        <v>621</v>
      </c>
      <c r="B508" t="s">
        <v>2487</v>
      </c>
      <c r="D508">
        <v>93188</v>
      </c>
      <c r="E508" t="str">
        <f t="shared" si="7"/>
        <v>ia.assorted_string like '%93188-07-2024%' or</v>
      </c>
    </row>
    <row r="509" spans="1:5" x14ac:dyDescent="0.25">
      <c r="A509" t="s">
        <v>622</v>
      </c>
      <c r="B509" t="s">
        <v>2487</v>
      </c>
      <c r="D509">
        <v>93191</v>
      </c>
      <c r="E509" t="str">
        <f t="shared" si="7"/>
        <v>ia.assorted_string like '%93191-07-2024%' or</v>
      </c>
    </row>
    <row r="510" spans="1:5" x14ac:dyDescent="0.25">
      <c r="A510" t="s">
        <v>623</v>
      </c>
      <c r="B510" t="s">
        <v>2487</v>
      </c>
      <c r="D510">
        <v>93192</v>
      </c>
      <c r="E510" t="str">
        <f t="shared" si="7"/>
        <v>ia.assorted_string like '%93192-07-2024%' or</v>
      </c>
    </row>
    <row r="511" spans="1:5" x14ac:dyDescent="0.25">
      <c r="A511" t="s">
        <v>624</v>
      </c>
      <c r="B511" t="s">
        <v>2487</v>
      </c>
      <c r="D511">
        <v>93193</v>
      </c>
      <c r="E511" t="str">
        <f t="shared" si="7"/>
        <v>ia.assorted_string like '%93193-07-2024%' or</v>
      </c>
    </row>
    <row r="512" spans="1:5" x14ac:dyDescent="0.25">
      <c r="A512" t="s">
        <v>625</v>
      </c>
      <c r="B512" t="s">
        <v>2487</v>
      </c>
      <c r="D512">
        <v>93195</v>
      </c>
      <c r="E512" t="str">
        <f t="shared" si="7"/>
        <v>ia.assorted_string like '%93195-07-2024%' or</v>
      </c>
    </row>
    <row r="513" spans="1:5" x14ac:dyDescent="0.25">
      <c r="A513" t="s">
        <v>626</v>
      </c>
      <c r="B513" t="s">
        <v>2487</v>
      </c>
      <c r="D513">
        <v>93196</v>
      </c>
      <c r="E513" t="str">
        <f t="shared" si="7"/>
        <v>ia.assorted_string like '%93196-07-2024%' or</v>
      </c>
    </row>
    <row r="514" spans="1:5" x14ac:dyDescent="0.25">
      <c r="A514" t="s">
        <v>627</v>
      </c>
      <c r="B514" t="s">
        <v>2487</v>
      </c>
      <c r="D514">
        <v>93197</v>
      </c>
      <c r="E514" t="str">
        <f t="shared" ref="E514:E577" si="8">"ia.assorted_string like '%"&amp;D514&amp;B514&amp;"%' or"</f>
        <v>ia.assorted_string like '%93197-07-2024%' or</v>
      </c>
    </row>
    <row r="515" spans="1:5" x14ac:dyDescent="0.25">
      <c r="A515" t="s">
        <v>628</v>
      </c>
      <c r="B515" t="s">
        <v>2487</v>
      </c>
      <c r="D515">
        <v>93198</v>
      </c>
      <c r="E515" t="str">
        <f t="shared" si="8"/>
        <v>ia.assorted_string like '%93198-07-2024%' or</v>
      </c>
    </row>
    <row r="516" spans="1:5" x14ac:dyDescent="0.25">
      <c r="A516" t="s">
        <v>629</v>
      </c>
      <c r="B516" t="s">
        <v>2487</v>
      </c>
      <c r="D516">
        <v>93202</v>
      </c>
      <c r="E516" t="str">
        <f t="shared" si="8"/>
        <v>ia.assorted_string like '%93202-07-2024%' or</v>
      </c>
    </row>
    <row r="517" spans="1:5" x14ac:dyDescent="0.25">
      <c r="A517" t="s">
        <v>630</v>
      </c>
      <c r="B517" t="s">
        <v>2487</v>
      </c>
      <c r="D517">
        <v>93204</v>
      </c>
      <c r="E517" t="str">
        <f t="shared" si="8"/>
        <v>ia.assorted_string like '%93204-07-2024%' or</v>
      </c>
    </row>
    <row r="518" spans="1:5" x14ac:dyDescent="0.25">
      <c r="A518" t="s">
        <v>631</v>
      </c>
      <c r="B518" t="s">
        <v>2487</v>
      </c>
      <c r="D518">
        <v>93205</v>
      </c>
      <c r="E518" t="str">
        <f t="shared" si="8"/>
        <v>ia.assorted_string like '%93205-07-2024%' or</v>
      </c>
    </row>
    <row r="519" spans="1:5" x14ac:dyDescent="0.25">
      <c r="A519" t="s">
        <v>632</v>
      </c>
      <c r="B519" t="s">
        <v>2487</v>
      </c>
      <c r="D519">
        <v>93206</v>
      </c>
      <c r="E519" t="str">
        <f t="shared" si="8"/>
        <v>ia.assorted_string like '%93206-07-2024%' or</v>
      </c>
    </row>
    <row r="520" spans="1:5" x14ac:dyDescent="0.25">
      <c r="A520" t="s">
        <v>633</v>
      </c>
      <c r="B520" t="s">
        <v>2487</v>
      </c>
      <c r="D520">
        <v>93207</v>
      </c>
      <c r="E520" t="str">
        <f t="shared" si="8"/>
        <v>ia.assorted_string like '%93207-07-2024%' or</v>
      </c>
    </row>
    <row r="521" spans="1:5" x14ac:dyDescent="0.25">
      <c r="A521" t="s">
        <v>634</v>
      </c>
      <c r="B521" t="s">
        <v>2487</v>
      </c>
      <c r="D521">
        <v>93208</v>
      </c>
      <c r="E521" t="str">
        <f t="shared" si="8"/>
        <v>ia.assorted_string like '%93208-07-2024%' or</v>
      </c>
    </row>
    <row r="522" spans="1:5" x14ac:dyDescent="0.25">
      <c r="A522" t="s">
        <v>635</v>
      </c>
      <c r="B522" t="s">
        <v>2487</v>
      </c>
      <c r="D522">
        <v>93209</v>
      </c>
      <c r="E522" t="str">
        <f t="shared" si="8"/>
        <v>ia.assorted_string like '%93209-07-2024%' or</v>
      </c>
    </row>
    <row r="523" spans="1:5" x14ac:dyDescent="0.25">
      <c r="A523" t="s">
        <v>636</v>
      </c>
      <c r="B523" t="s">
        <v>2487</v>
      </c>
      <c r="D523">
        <v>93210</v>
      </c>
      <c r="E523" t="str">
        <f t="shared" si="8"/>
        <v>ia.assorted_string like '%93210-07-2024%' or</v>
      </c>
    </row>
    <row r="524" spans="1:5" x14ac:dyDescent="0.25">
      <c r="A524" t="s">
        <v>637</v>
      </c>
      <c r="B524" t="s">
        <v>2487</v>
      </c>
      <c r="D524">
        <v>93211</v>
      </c>
      <c r="E524" t="str">
        <f t="shared" si="8"/>
        <v>ia.assorted_string like '%93211-07-2024%' or</v>
      </c>
    </row>
    <row r="525" spans="1:5" x14ac:dyDescent="0.25">
      <c r="A525" t="s">
        <v>638</v>
      </c>
      <c r="B525" t="s">
        <v>2487</v>
      </c>
      <c r="D525">
        <v>93212</v>
      </c>
      <c r="E525" t="str">
        <f t="shared" si="8"/>
        <v>ia.assorted_string like '%93212-07-2024%' or</v>
      </c>
    </row>
    <row r="526" spans="1:5" x14ac:dyDescent="0.25">
      <c r="A526" t="s">
        <v>639</v>
      </c>
      <c r="B526" t="s">
        <v>2487</v>
      </c>
      <c r="D526">
        <v>93213</v>
      </c>
      <c r="E526" t="str">
        <f t="shared" si="8"/>
        <v>ia.assorted_string like '%93213-07-2024%' or</v>
      </c>
    </row>
    <row r="527" spans="1:5" x14ac:dyDescent="0.25">
      <c r="A527" t="s">
        <v>640</v>
      </c>
      <c r="B527" t="s">
        <v>2487</v>
      </c>
      <c r="D527">
        <v>93214</v>
      </c>
      <c r="E527" t="str">
        <f t="shared" si="8"/>
        <v>ia.assorted_string like '%93214-07-2024%' or</v>
      </c>
    </row>
    <row r="528" spans="1:5" x14ac:dyDescent="0.25">
      <c r="A528" t="s">
        <v>641</v>
      </c>
      <c r="B528" t="s">
        <v>2487</v>
      </c>
      <c r="D528">
        <v>93215</v>
      </c>
      <c r="E528" t="str">
        <f t="shared" si="8"/>
        <v>ia.assorted_string like '%93215-07-2024%' or</v>
      </c>
    </row>
    <row r="529" spans="1:5" x14ac:dyDescent="0.25">
      <c r="A529" t="s">
        <v>642</v>
      </c>
      <c r="B529" t="s">
        <v>2487</v>
      </c>
      <c r="D529">
        <v>93216</v>
      </c>
      <c r="E529" t="str">
        <f t="shared" si="8"/>
        <v>ia.assorted_string like '%93216-07-2024%' or</v>
      </c>
    </row>
    <row r="530" spans="1:5" x14ac:dyDescent="0.25">
      <c r="A530" t="s">
        <v>643</v>
      </c>
      <c r="B530" t="s">
        <v>2487</v>
      </c>
      <c r="D530">
        <v>93240</v>
      </c>
      <c r="E530" t="str">
        <f t="shared" si="8"/>
        <v>ia.assorted_string like '%93240-07-2024%' or</v>
      </c>
    </row>
    <row r="531" spans="1:5" x14ac:dyDescent="0.25">
      <c r="A531" t="s">
        <v>644</v>
      </c>
      <c r="B531" t="s">
        <v>2487</v>
      </c>
      <c r="D531">
        <v>93241</v>
      </c>
      <c r="E531" t="str">
        <f t="shared" si="8"/>
        <v>ia.assorted_string like '%93241-07-2024%' or</v>
      </c>
    </row>
    <row r="532" spans="1:5" x14ac:dyDescent="0.25">
      <c r="A532" t="s">
        <v>645</v>
      </c>
      <c r="B532" t="s">
        <v>2487</v>
      </c>
      <c r="D532">
        <v>93245</v>
      </c>
      <c r="E532" t="str">
        <f t="shared" si="8"/>
        <v>ia.assorted_string like '%93245-07-2024%' or</v>
      </c>
    </row>
    <row r="533" spans="1:5" x14ac:dyDescent="0.25">
      <c r="A533" t="s">
        <v>646</v>
      </c>
      <c r="B533" t="s">
        <v>2487</v>
      </c>
      <c r="D533">
        <v>93246</v>
      </c>
      <c r="E533" t="str">
        <f t="shared" si="8"/>
        <v>ia.assorted_string like '%93246-07-2024%' or</v>
      </c>
    </row>
    <row r="534" spans="1:5" x14ac:dyDescent="0.25">
      <c r="A534" t="s">
        <v>647</v>
      </c>
      <c r="B534" t="s">
        <v>2487</v>
      </c>
      <c r="D534">
        <v>93247</v>
      </c>
      <c r="E534" t="str">
        <f t="shared" si="8"/>
        <v>ia.assorted_string like '%93247-07-2024%' or</v>
      </c>
    </row>
    <row r="535" spans="1:5" x14ac:dyDescent="0.25">
      <c r="A535" t="s">
        <v>648</v>
      </c>
      <c r="B535" t="s">
        <v>2487</v>
      </c>
      <c r="D535">
        <v>93249</v>
      </c>
      <c r="E535" t="str">
        <f t="shared" si="8"/>
        <v>ia.assorted_string like '%93249-07-2024%' or</v>
      </c>
    </row>
    <row r="536" spans="1:5" x14ac:dyDescent="0.25">
      <c r="A536" t="s">
        <v>649</v>
      </c>
      <c r="B536" t="s">
        <v>2487</v>
      </c>
      <c r="D536">
        <v>93254</v>
      </c>
      <c r="E536" t="str">
        <f t="shared" si="8"/>
        <v>ia.assorted_string like '%93254-07-2024%' or</v>
      </c>
    </row>
    <row r="537" spans="1:5" x14ac:dyDescent="0.25">
      <c r="A537" t="s">
        <v>650</v>
      </c>
      <c r="B537" t="s">
        <v>2487</v>
      </c>
      <c r="D537">
        <v>93255</v>
      </c>
      <c r="E537" t="str">
        <f t="shared" si="8"/>
        <v>ia.assorted_string like '%93255-07-2024%' or</v>
      </c>
    </row>
    <row r="538" spans="1:5" x14ac:dyDescent="0.25">
      <c r="A538" t="s">
        <v>651</v>
      </c>
      <c r="B538" t="s">
        <v>2487</v>
      </c>
      <c r="D538">
        <v>93258</v>
      </c>
      <c r="E538" t="str">
        <f t="shared" si="8"/>
        <v>ia.assorted_string like '%93258-07-2024%' or</v>
      </c>
    </row>
    <row r="539" spans="1:5" x14ac:dyDescent="0.25">
      <c r="A539" t="s">
        <v>652</v>
      </c>
      <c r="B539" t="s">
        <v>2487</v>
      </c>
      <c r="D539">
        <v>93259</v>
      </c>
      <c r="E539" t="str">
        <f t="shared" si="8"/>
        <v>ia.assorted_string like '%93259-07-2024%' or</v>
      </c>
    </row>
    <row r="540" spans="1:5" x14ac:dyDescent="0.25">
      <c r="A540" t="s">
        <v>653</v>
      </c>
      <c r="B540" t="s">
        <v>2487</v>
      </c>
      <c r="D540">
        <v>93260</v>
      </c>
      <c r="E540" t="str">
        <f t="shared" si="8"/>
        <v>ia.assorted_string like '%93260-07-2024%' or</v>
      </c>
    </row>
    <row r="541" spans="1:5" x14ac:dyDescent="0.25">
      <c r="A541" t="s">
        <v>654</v>
      </c>
      <c r="B541" t="s">
        <v>2487</v>
      </c>
      <c r="D541">
        <v>93262</v>
      </c>
      <c r="E541" t="str">
        <f t="shared" si="8"/>
        <v>ia.assorted_string like '%93262-07-2024%' or</v>
      </c>
    </row>
    <row r="542" spans="1:5" x14ac:dyDescent="0.25">
      <c r="A542" t="s">
        <v>655</v>
      </c>
      <c r="B542" t="s">
        <v>2487</v>
      </c>
      <c r="D542">
        <v>93263</v>
      </c>
      <c r="E542" t="str">
        <f t="shared" si="8"/>
        <v>ia.assorted_string like '%93263-07-2024%' or</v>
      </c>
    </row>
    <row r="543" spans="1:5" x14ac:dyDescent="0.25">
      <c r="A543" t="s">
        <v>656</v>
      </c>
      <c r="B543" t="s">
        <v>2487</v>
      </c>
      <c r="D543">
        <v>93266</v>
      </c>
      <c r="E543" t="str">
        <f t="shared" si="8"/>
        <v>ia.assorted_string like '%93266-07-2024%' or</v>
      </c>
    </row>
    <row r="544" spans="1:5" x14ac:dyDescent="0.25">
      <c r="A544" t="s">
        <v>657</v>
      </c>
      <c r="B544" t="s">
        <v>2487</v>
      </c>
      <c r="D544">
        <v>93270</v>
      </c>
      <c r="E544" t="str">
        <f t="shared" si="8"/>
        <v>ia.assorted_string like '%93270-07-2024%' or</v>
      </c>
    </row>
    <row r="545" spans="1:5" x14ac:dyDescent="0.25">
      <c r="A545" t="s">
        <v>658</v>
      </c>
      <c r="B545" t="s">
        <v>2487</v>
      </c>
      <c r="D545">
        <v>93274</v>
      </c>
      <c r="E545" t="str">
        <f t="shared" si="8"/>
        <v>ia.assorted_string like '%93274-07-2024%' or</v>
      </c>
    </row>
    <row r="546" spans="1:5" x14ac:dyDescent="0.25">
      <c r="A546" t="s">
        <v>659</v>
      </c>
      <c r="B546" t="s">
        <v>2487</v>
      </c>
      <c r="D546">
        <v>93277</v>
      </c>
      <c r="E546" t="str">
        <f t="shared" si="8"/>
        <v>ia.assorted_string like '%93277-07-2024%' or</v>
      </c>
    </row>
    <row r="547" spans="1:5" x14ac:dyDescent="0.25">
      <c r="A547" t="s">
        <v>660</v>
      </c>
      <c r="B547" t="s">
        <v>2487</v>
      </c>
      <c r="D547">
        <v>93284</v>
      </c>
      <c r="E547" t="str">
        <f t="shared" si="8"/>
        <v>ia.assorted_string like '%93284-07-2024%' or</v>
      </c>
    </row>
    <row r="548" spans="1:5" x14ac:dyDescent="0.25">
      <c r="A548" t="s">
        <v>661</v>
      </c>
      <c r="B548" t="s">
        <v>2487</v>
      </c>
      <c r="D548">
        <v>93285</v>
      </c>
      <c r="E548" t="str">
        <f t="shared" si="8"/>
        <v>ia.assorted_string like '%93285-07-2024%' or</v>
      </c>
    </row>
    <row r="549" spans="1:5" x14ac:dyDescent="0.25">
      <c r="A549" t="s">
        <v>662</v>
      </c>
      <c r="B549" t="s">
        <v>2487</v>
      </c>
      <c r="D549">
        <v>93287</v>
      </c>
      <c r="E549" t="str">
        <f t="shared" si="8"/>
        <v>ia.assorted_string like '%93287-07-2024%' or</v>
      </c>
    </row>
    <row r="550" spans="1:5" x14ac:dyDescent="0.25">
      <c r="A550" t="s">
        <v>663</v>
      </c>
      <c r="B550" t="s">
        <v>2487</v>
      </c>
      <c r="D550">
        <v>93288</v>
      </c>
      <c r="E550" t="str">
        <f t="shared" si="8"/>
        <v>ia.assorted_string like '%93288-07-2024%' or</v>
      </c>
    </row>
    <row r="551" spans="1:5" x14ac:dyDescent="0.25">
      <c r="A551" t="s">
        <v>664</v>
      </c>
      <c r="B551" t="s">
        <v>2487</v>
      </c>
      <c r="D551">
        <v>93291</v>
      </c>
      <c r="E551" t="str">
        <f t="shared" si="8"/>
        <v>ia.assorted_string like '%93291-07-2024%' or</v>
      </c>
    </row>
    <row r="552" spans="1:5" x14ac:dyDescent="0.25">
      <c r="A552" t="s">
        <v>665</v>
      </c>
      <c r="B552" t="s">
        <v>2487</v>
      </c>
      <c r="D552">
        <v>93292</v>
      </c>
      <c r="E552" t="str">
        <f t="shared" si="8"/>
        <v>ia.assorted_string like '%93292-07-2024%' or</v>
      </c>
    </row>
    <row r="553" spans="1:5" x14ac:dyDescent="0.25">
      <c r="A553" t="s">
        <v>666</v>
      </c>
      <c r="B553" t="s">
        <v>2487</v>
      </c>
      <c r="D553">
        <v>93293</v>
      </c>
      <c r="E553" t="str">
        <f t="shared" si="8"/>
        <v>ia.assorted_string like '%93293-07-2024%' or</v>
      </c>
    </row>
    <row r="554" spans="1:5" x14ac:dyDescent="0.25">
      <c r="A554" t="s">
        <v>667</v>
      </c>
      <c r="B554" t="s">
        <v>2487</v>
      </c>
      <c r="D554">
        <v>93294</v>
      </c>
      <c r="E554" t="str">
        <f t="shared" si="8"/>
        <v>ia.assorted_string like '%93294-07-2024%' or</v>
      </c>
    </row>
    <row r="555" spans="1:5" x14ac:dyDescent="0.25">
      <c r="A555" t="s">
        <v>668</v>
      </c>
      <c r="B555" t="s">
        <v>2487</v>
      </c>
      <c r="D555">
        <v>93295</v>
      </c>
      <c r="E555" t="str">
        <f t="shared" si="8"/>
        <v>ia.assorted_string like '%93295-07-2024%' or</v>
      </c>
    </row>
    <row r="556" spans="1:5" x14ac:dyDescent="0.25">
      <c r="A556" t="s">
        <v>669</v>
      </c>
      <c r="B556" t="s">
        <v>2487</v>
      </c>
      <c r="D556">
        <v>93296</v>
      </c>
      <c r="E556" t="str">
        <f t="shared" si="8"/>
        <v>ia.assorted_string like '%93296-07-2024%' or</v>
      </c>
    </row>
    <row r="557" spans="1:5" x14ac:dyDescent="0.25">
      <c r="A557" t="s">
        <v>670</v>
      </c>
      <c r="B557" t="s">
        <v>2487</v>
      </c>
      <c r="D557">
        <v>93298</v>
      </c>
      <c r="E557" t="str">
        <f t="shared" si="8"/>
        <v>ia.assorted_string like '%93298-07-2024%' or</v>
      </c>
    </row>
    <row r="558" spans="1:5" x14ac:dyDescent="0.25">
      <c r="A558" t="s">
        <v>671</v>
      </c>
      <c r="B558" t="s">
        <v>2487</v>
      </c>
      <c r="D558">
        <v>93299</v>
      </c>
      <c r="E558" t="str">
        <f t="shared" si="8"/>
        <v>ia.assorted_string like '%93299-07-2024%' or</v>
      </c>
    </row>
    <row r="559" spans="1:5" x14ac:dyDescent="0.25">
      <c r="A559" t="s">
        <v>672</v>
      </c>
      <c r="B559" t="s">
        <v>2487</v>
      </c>
      <c r="D559">
        <v>93300</v>
      </c>
      <c r="E559" t="str">
        <f t="shared" si="8"/>
        <v>ia.assorted_string like '%93300-07-2024%' or</v>
      </c>
    </row>
    <row r="560" spans="1:5" x14ac:dyDescent="0.25">
      <c r="A560" t="s">
        <v>673</v>
      </c>
      <c r="B560" t="s">
        <v>2487</v>
      </c>
      <c r="D560">
        <v>93302</v>
      </c>
      <c r="E560" t="str">
        <f t="shared" si="8"/>
        <v>ia.assorted_string like '%93302-07-2024%' or</v>
      </c>
    </row>
    <row r="561" spans="1:5" x14ac:dyDescent="0.25">
      <c r="A561" t="s">
        <v>674</v>
      </c>
      <c r="B561" t="s">
        <v>2487</v>
      </c>
      <c r="D561">
        <v>93303</v>
      </c>
      <c r="E561" t="str">
        <f t="shared" si="8"/>
        <v>ia.assorted_string like '%93303-07-2024%' or</v>
      </c>
    </row>
    <row r="562" spans="1:5" x14ac:dyDescent="0.25">
      <c r="A562" t="s">
        <v>675</v>
      </c>
      <c r="B562" t="s">
        <v>2487</v>
      </c>
      <c r="D562">
        <v>93307</v>
      </c>
      <c r="E562" t="str">
        <f t="shared" si="8"/>
        <v>ia.assorted_string like '%93307-07-2024%' or</v>
      </c>
    </row>
    <row r="563" spans="1:5" x14ac:dyDescent="0.25">
      <c r="A563" t="s">
        <v>676</v>
      </c>
      <c r="B563" t="s">
        <v>2487</v>
      </c>
      <c r="D563">
        <v>93309</v>
      </c>
      <c r="E563" t="str">
        <f t="shared" si="8"/>
        <v>ia.assorted_string like '%93309-07-2024%' or</v>
      </c>
    </row>
    <row r="564" spans="1:5" x14ac:dyDescent="0.25">
      <c r="A564" t="s">
        <v>677</v>
      </c>
      <c r="B564" t="s">
        <v>2487</v>
      </c>
      <c r="D564">
        <v>93311</v>
      </c>
      <c r="E564" t="str">
        <f t="shared" si="8"/>
        <v>ia.assorted_string like '%93311-07-2024%' or</v>
      </c>
    </row>
    <row r="565" spans="1:5" x14ac:dyDescent="0.25">
      <c r="A565" t="s">
        <v>678</v>
      </c>
      <c r="B565" t="s">
        <v>2487</v>
      </c>
      <c r="D565">
        <v>93315</v>
      </c>
      <c r="E565" t="str">
        <f t="shared" si="8"/>
        <v>ia.assorted_string like '%93315-07-2024%' or</v>
      </c>
    </row>
    <row r="566" spans="1:5" x14ac:dyDescent="0.25">
      <c r="A566" t="s">
        <v>679</v>
      </c>
      <c r="B566" t="s">
        <v>2487</v>
      </c>
      <c r="D566">
        <v>93321</v>
      </c>
      <c r="E566" t="str">
        <f t="shared" si="8"/>
        <v>ia.assorted_string like '%93321-07-2024%' or</v>
      </c>
    </row>
    <row r="567" spans="1:5" x14ac:dyDescent="0.25">
      <c r="A567" t="s">
        <v>680</v>
      </c>
      <c r="B567" t="s">
        <v>2487</v>
      </c>
      <c r="D567">
        <v>93322</v>
      </c>
      <c r="E567" t="str">
        <f t="shared" si="8"/>
        <v>ia.assorted_string like '%93322-07-2024%' or</v>
      </c>
    </row>
    <row r="568" spans="1:5" x14ac:dyDescent="0.25">
      <c r="A568" t="s">
        <v>681</v>
      </c>
      <c r="B568" t="s">
        <v>2487</v>
      </c>
      <c r="D568">
        <v>93325</v>
      </c>
      <c r="E568" t="str">
        <f t="shared" si="8"/>
        <v>ia.assorted_string like '%93325-07-2024%' or</v>
      </c>
    </row>
    <row r="569" spans="1:5" x14ac:dyDescent="0.25">
      <c r="A569" t="s">
        <v>682</v>
      </c>
      <c r="B569" t="s">
        <v>2487</v>
      </c>
      <c r="D569">
        <v>93326</v>
      </c>
      <c r="E569" t="str">
        <f t="shared" si="8"/>
        <v>ia.assorted_string like '%93326-07-2024%' or</v>
      </c>
    </row>
    <row r="570" spans="1:5" x14ac:dyDescent="0.25">
      <c r="A570" t="s">
        <v>683</v>
      </c>
      <c r="B570" t="s">
        <v>2487</v>
      </c>
      <c r="D570">
        <v>93329</v>
      </c>
      <c r="E570" t="str">
        <f t="shared" si="8"/>
        <v>ia.assorted_string like '%93329-07-2024%' or</v>
      </c>
    </row>
    <row r="571" spans="1:5" x14ac:dyDescent="0.25">
      <c r="A571" t="s">
        <v>683</v>
      </c>
      <c r="B571" t="s">
        <v>2487</v>
      </c>
      <c r="D571">
        <v>93329</v>
      </c>
      <c r="E571" t="str">
        <f t="shared" si="8"/>
        <v>ia.assorted_string like '%93329-07-2024%' or</v>
      </c>
    </row>
    <row r="572" spans="1:5" x14ac:dyDescent="0.25">
      <c r="A572" t="s">
        <v>684</v>
      </c>
      <c r="B572" t="s">
        <v>2487</v>
      </c>
      <c r="D572">
        <v>93330</v>
      </c>
      <c r="E572" t="str">
        <f t="shared" si="8"/>
        <v>ia.assorted_string like '%93330-07-2024%' or</v>
      </c>
    </row>
    <row r="573" spans="1:5" x14ac:dyDescent="0.25">
      <c r="A573" t="s">
        <v>684</v>
      </c>
      <c r="B573" t="s">
        <v>2487</v>
      </c>
      <c r="D573">
        <v>93330</v>
      </c>
      <c r="E573" t="str">
        <f t="shared" si="8"/>
        <v>ia.assorted_string like '%93330-07-2024%' or</v>
      </c>
    </row>
    <row r="574" spans="1:5" x14ac:dyDescent="0.25">
      <c r="A574" t="s">
        <v>685</v>
      </c>
      <c r="B574" t="s">
        <v>2487</v>
      </c>
      <c r="D574">
        <v>93331</v>
      </c>
      <c r="E574" t="str">
        <f t="shared" si="8"/>
        <v>ia.assorted_string like '%93331-07-2024%' or</v>
      </c>
    </row>
    <row r="575" spans="1:5" x14ac:dyDescent="0.25">
      <c r="A575" t="s">
        <v>686</v>
      </c>
      <c r="B575" t="s">
        <v>2487</v>
      </c>
      <c r="D575">
        <v>93332</v>
      </c>
      <c r="E575" t="str">
        <f t="shared" si="8"/>
        <v>ia.assorted_string like '%93332-07-2024%' or</v>
      </c>
    </row>
    <row r="576" spans="1:5" x14ac:dyDescent="0.25">
      <c r="A576" t="s">
        <v>687</v>
      </c>
      <c r="B576" t="s">
        <v>2487</v>
      </c>
      <c r="D576">
        <v>93333</v>
      </c>
      <c r="E576" t="str">
        <f t="shared" si="8"/>
        <v>ia.assorted_string like '%93333-07-2024%' or</v>
      </c>
    </row>
    <row r="577" spans="1:5" x14ac:dyDescent="0.25">
      <c r="A577" t="s">
        <v>688</v>
      </c>
      <c r="B577" t="s">
        <v>2487</v>
      </c>
      <c r="D577">
        <v>93334</v>
      </c>
      <c r="E577" t="str">
        <f t="shared" si="8"/>
        <v>ia.assorted_string like '%93334-07-2024%' or</v>
      </c>
    </row>
    <row r="578" spans="1:5" x14ac:dyDescent="0.25">
      <c r="A578" t="s">
        <v>689</v>
      </c>
      <c r="B578" t="s">
        <v>2487</v>
      </c>
      <c r="D578">
        <v>93335</v>
      </c>
      <c r="E578" t="str">
        <f t="shared" ref="E578:E641" si="9">"ia.assorted_string like '%"&amp;D578&amp;B578&amp;"%' or"</f>
        <v>ia.assorted_string like '%93335-07-2024%' or</v>
      </c>
    </row>
    <row r="579" spans="1:5" x14ac:dyDescent="0.25">
      <c r="A579" t="s">
        <v>690</v>
      </c>
      <c r="B579" t="s">
        <v>2487</v>
      </c>
      <c r="D579">
        <v>93338</v>
      </c>
      <c r="E579" t="str">
        <f t="shared" si="9"/>
        <v>ia.assorted_string like '%93338-07-2024%' or</v>
      </c>
    </row>
    <row r="580" spans="1:5" x14ac:dyDescent="0.25">
      <c r="A580" t="s">
        <v>691</v>
      </c>
      <c r="B580" t="s">
        <v>2487</v>
      </c>
      <c r="D580">
        <v>93339</v>
      </c>
      <c r="E580" t="str">
        <f t="shared" si="9"/>
        <v>ia.assorted_string like '%93339-07-2024%' or</v>
      </c>
    </row>
    <row r="581" spans="1:5" x14ac:dyDescent="0.25">
      <c r="A581" t="s">
        <v>692</v>
      </c>
      <c r="B581" t="s">
        <v>2487</v>
      </c>
      <c r="D581">
        <v>93340</v>
      </c>
      <c r="E581" t="str">
        <f t="shared" si="9"/>
        <v>ia.assorted_string like '%93340-07-2024%' or</v>
      </c>
    </row>
    <row r="582" spans="1:5" x14ac:dyDescent="0.25">
      <c r="A582" t="s">
        <v>693</v>
      </c>
      <c r="B582" t="s">
        <v>2487</v>
      </c>
      <c r="D582">
        <v>93341</v>
      </c>
      <c r="E582" t="str">
        <f t="shared" si="9"/>
        <v>ia.assorted_string like '%93341-07-2024%' or</v>
      </c>
    </row>
    <row r="583" spans="1:5" x14ac:dyDescent="0.25">
      <c r="A583" t="s">
        <v>694</v>
      </c>
      <c r="B583" t="s">
        <v>2487</v>
      </c>
      <c r="D583">
        <v>93342</v>
      </c>
      <c r="E583" t="str">
        <f t="shared" si="9"/>
        <v>ia.assorted_string like '%93342-07-2024%' or</v>
      </c>
    </row>
    <row r="584" spans="1:5" x14ac:dyDescent="0.25">
      <c r="A584" t="s">
        <v>695</v>
      </c>
      <c r="B584" t="s">
        <v>2487</v>
      </c>
      <c r="D584">
        <v>93345</v>
      </c>
      <c r="E584" t="str">
        <f t="shared" si="9"/>
        <v>ia.assorted_string like '%93345-07-2024%' or</v>
      </c>
    </row>
    <row r="585" spans="1:5" x14ac:dyDescent="0.25">
      <c r="A585" t="s">
        <v>696</v>
      </c>
      <c r="B585" t="s">
        <v>2487</v>
      </c>
      <c r="D585">
        <v>93348</v>
      </c>
      <c r="E585" t="str">
        <f t="shared" si="9"/>
        <v>ia.assorted_string like '%93348-07-2024%' or</v>
      </c>
    </row>
    <row r="586" spans="1:5" x14ac:dyDescent="0.25">
      <c r="A586" t="s">
        <v>697</v>
      </c>
      <c r="B586" t="s">
        <v>2487</v>
      </c>
      <c r="D586">
        <v>93350</v>
      </c>
      <c r="E586" t="str">
        <f t="shared" si="9"/>
        <v>ia.assorted_string like '%93350-07-2024%' or</v>
      </c>
    </row>
    <row r="587" spans="1:5" x14ac:dyDescent="0.25">
      <c r="A587" t="s">
        <v>698</v>
      </c>
      <c r="B587" t="s">
        <v>2487</v>
      </c>
      <c r="D587">
        <v>93351</v>
      </c>
      <c r="E587" t="str">
        <f t="shared" si="9"/>
        <v>ia.assorted_string like '%93351-07-2024%' or</v>
      </c>
    </row>
    <row r="588" spans="1:5" x14ac:dyDescent="0.25">
      <c r="A588" t="s">
        <v>699</v>
      </c>
      <c r="B588" t="s">
        <v>2487</v>
      </c>
      <c r="D588">
        <v>93353</v>
      </c>
      <c r="E588" t="str">
        <f t="shared" si="9"/>
        <v>ia.assorted_string like '%93353-07-2024%' or</v>
      </c>
    </row>
    <row r="589" spans="1:5" x14ac:dyDescent="0.25">
      <c r="A589" t="s">
        <v>700</v>
      </c>
      <c r="B589" t="s">
        <v>2487</v>
      </c>
      <c r="D589">
        <v>93355</v>
      </c>
      <c r="E589" t="str">
        <f t="shared" si="9"/>
        <v>ia.assorted_string like '%93355-07-2024%' or</v>
      </c>
    </row>
    <row r="590" spans="1:5" x14ac:dyDescent="0.25">
      <c r="A590" t="s">
        <v>701</v>
      </c>
      <c r="B590" t="s">
        <v>2487</v>
      </c>
      <c r="D590">
        <v>93358</v>
      </c>
      <c r="E590" t="str">
        <f t="shared" si="9"/>
        <v>ia.assorted_string like '%93358-07-2024%' or</v>
      </c>
    </row>
    <row r="591" spans="1:5" x14ac:dyDescent="0.25">
      <c r="A591" t="s">
        <v>702</v>
      </c>
      <c r="B591" t="s">
        <v>2487</v>
      </c>
      <c r="D591">
        <v>93359</v>
      </c>
      <c r="E591" t="str">
        <f t="shared" si="9"/>
        <v>ia.assorted_string like '%93359-07-2024%' or</v>
      </c>
    </row>
    <row r="592" spans="1:5" x14ac:dyDescent="0.25">
      <c r="A592" t="s">
        <v>703</v>
      </c>
      <c r="B592" t="s">
        <v>2487</v>
      </c>
      <c r="D592">
        <v>93360</v>
      </c>
      <c r="E592" t="str">
        <f t="shared" si="9"/>
        <v>ia.assorted_string like '%93360-07-2024%' or</v>
      </c>
    </row>
    <row r="593" spans="1:5" x14ac:dyDescent="0.25">
      <c r="A593" t="s">
        <v>704</v>
      </c>
      <c r="B593" t="s">
        <v>2487</v>
      </c>
      <c r="D593">
        <v>93364</v>
      </c>
      <c r="E593" t="str">
        <f t="shared" si="9"/>
        <v>ia.assorted_string like '%93364-07-2024%' or</v>
      </c>
    </row>
    <row r="594" spans="1:5" x14ac:dyDescent="0.25">
      <c r="A594" t="s">
        <v>705</v>
      </c>
      <c r="B594" t="s">
        <v>2487</v>
      </c>
      <c r="D594">
        <v>93366</v>
      </c>
      <c r="E594" t="str">
        <f t="shared" si="9"/>
        <v>ia.assorted_string like '%93366-07-2024%' or</v>
      </c>
    </row>
    <row r="595" spans="1:5" x14ac:dyDescent="0.25">
      <c r="A595" t="s">
        <v>706</v>
      </c>
      <c r="B595" t="s">
        <v>2487</v>
      </c>
      <c r="D595">
        <v>93367</v>
      </c>
      <c r="E595" t="str">
        <f t="shared" si="9"/>
        <v>ia.assorted_string like '%93367-07-2024%' or</v>
      </c>
    </row>
    <row r="596" spans="1:5" x14ac:dyDescent="0.25">
      <c r="A596" t="s">
        <v>707</v>
      </c>
      <c r="B596" t="s">
        <v>2487</v>
      </c>
      <c r="D596">
        <v>93368</v>
      </c>
      <c r="E596" t="str">
        <f t="shared" si="9"/>
        <v>ia.assorted_string like '%93368-07-2024%' or</v>
      </c>
    </row>
    <row r="597" spans="1:5" x14ac:dyDescent="0.25">
      <c r="A597" t="s">
        <v>708</v>
      </c>
      <c r="B597" t="s">
        <v>2487</v>
      </c>
      <c r="D597">
        <v>93370</v>
      </c>
      <c r="E597" t="str">
        <f t="shared" si="9"/>
        <v>ia.assorted_string like '%93370-07-2024%' or</v>
      </c>
    </row>
    <row r="598" spans="1:5" x14ac:dyDescent="0.25">
      <c r="A598" t="s">
        <v>709</v>
      </c>
      <c r="B598" t="s">
        <v>2487</v>
      </c>
      <c r="D598">
        <v>93372</v>
      </c>
      <c r="E598" t="str">
        <f t="shared" si="9"/>
        <v>ia.assorted_string like '%93372-07-2024%' or</v>
      </c>
    </row>
    <row r="599" spans="1:5" x14ac:dyDescent="0.25">
      <c r="A599" t="s">
        <v>710</v>
      </c>
      <c r="B599" t="s">
        <v>2487</v>
      </c>
      <c r="D599">
        <v>93373</v>
      </c>
      <c r="E599" t="str">
        <f t="shared" si="9"/>
        <v>ia.assorted_string like '%93373-07-2024%' or</v>
      </c>
    </row>
    <row r="600" spans="1:5" x14ac:dyDescent="0.25">
      <c r="A600" t="s">
        <v>711</v>
      </c>
      <c r="B600" t="s">
        <v>2487</v>
      </c>
      <c r="D600">
        <v>93375</v>
      </c>
      <c r="E600" t="str">
        <f t="shared" si="9"/>
        <v>ia.assorted_string like '%93375-07-2024%' or</v>
      </c>
    </row>
    <row r="601" spans="1:5" x14ac:dyDescent="0.25">
      <c r="A601" t="s">
        <v>712</v>
      </c>
      <c r="B601" t="s">
        <v>2487</v>
      </c>
      <c r="D601">
        <v>93380</v>
      </c>
      <c r="E601" t="str">
        <f t="shared" si="9"/>
        <v>ia.assorted_string like '%93380-07-2024%' or</v>
      </c>
    </row>
    <row r="602" spans="1:5" x14ac:dyDescent="0.25">
      <c r="A602" t="s">
        <v>713</v>
      </c>
      <c r="B602" t="s">
        <v>2487</v>
      </c>
      <c r="D602">
        <v>93381</v>
      </c>
      <c r="E602" t="str">
        <f t="shared" si="9"/>
        <v>ia.assorted_string like '%93381-07-2024%' or</v>
      </c>
    </row>
    <row r="603" spans="1:5" x14ac:dyDescent="0.25">
      <c r="A603" t="s">
        <v>714</v>
      </c>
      <c r="B603" t="s">
        <v>2487</v>
      </c>
      <c r="D603">
        <v>93382</v>
      </c>
      <c r="E603" t="str">
        <f t="shared" si="9"/>
        <v>ia.assorted_string like '%93382-07-2024%' or</v>
      </c>
    </row>
    <row r="604" spans="1:5" x14ac:dyDescent="0.25">
      <c r="A604" t="s">
        <v>715</v>
      </c>
      <c r="B604" t="s">
        <v>2487</v>
      </c>
      <c r="D604">
        <v>93383</v>
      </c>
      <c r="E604" t="str">
        <f t="shared" si="9"/>
        <v>ia.assorted_string like '%93383-07-2024%' or</v>
      </c>
    </row>
    <row r="605" spans="1:5" x14ac:dyDescent="0.25">
      <c r="A605" t="s">
        <v>716</v>
      </c>
      <c r="B605" t="s">
        <v>2487</v>
      </c>
      <c r="D605">
        <v>93384</v>
      </c>
      <c r="E605" t="str">
        <f t="shared" si="9"/>
        <v>ia.assorted_string like '%93384-07-2024%' or</v>
      </c>
    </row>
    <row r="606" spans="1:5" x14ac:dyDescent="0.25">
      <c r="A606" t="s">
        <v>717</v>
      </c>
      <c r="B606" t="s">
        <v>2487</v>
      </c>
      <c r="D606">
        <v>93385</v>
      </c>
      <c r="E606" t="str">
        <f t="shared" si="9"/>
        <v>ia.assorted_string like '%93385-07-2024%' or</v>
      </c>
    </row>
    <row r="607" spans="1:5" x14ac:dyDescent="0.25">
      <c r="A607" t="s">
        <v>718</v>
      </c>
      <c r="B607" t="s">
        <v>2487</v>
      </c>
      <c r="D607">
        <v>93386</v>
      </c>
      <c r="E607" t="str">
        <f t="shared" si="9"/>
        <v>ia.assorted_string like '%93386-07-2024%' or</v>
      </c>
    </row>
    <row r="608" spans="1:5" x14ac:dyDescent="0.25">
      <c r="A608" t="s">
        <v>719</v>
      </c>
      <c r="B608" t="s">
        <v>2487</v>
      </c>
      <c r="D608">
        <v>93393</v>
      </c>
      <c r="E608" t="str">
        <f t="shared" si="9"/>
        <v>ia.assorted_string like '%93393-07-2024%' or</v>
      </c>
    </row>
    <row r="609" spans="1:5" x14ac:dyDescent="0.25">
      <c r="A609" t="s">
        <v>720</v>
      </c>
      <c r="B609" t="s">
        <v>2487</v>
      </c>
      <c r="D609">
        <v>93394</v>
      </c>
      <c r="E609" t="str">
        <f t="shared" si="9"/>
        <v>ia.assorted_string like '%93394-07-2024%' or</v>
      </c>
    </row>
    <row r="610" spans="1:5" x14ac:dyDescent="0.25">
      <c r="A610" t="s">
        <v>721</v>
      </c>
      <c r="B610" t="s">
        <v>2487</v>
      </c>
      <c r="D610">
        <v>93396</v>
      </c>
      <c r="E610" t="str">
        <f t="shared" si="9"/>
        <v>ia.assorted_string like '%93396-07-2024%' or</v>
      </c>
    </row>
    <row r="611" spans="1:5" x14ac:dyDescent="0.25">
      <c r="A611" t="s">
        <v>722</v>
      </c>
      <c r="B611" t="s">
        <v>2487</v>
      </c>
      <c r="D611">
        <v>93397</v>
      </c>
      <c r="E611" t="str">
        <f t="shared" si="9"/>
        <v>ia.assorted_string like '%93397-07-2024%' or</v>
      </c>
    </row>
    <row r="612" spans="1:5" x14ac:dyDescent="0.25">
      <c r="A612" t="s">
        <v>723</v>
      </c>
      <c r="B612" t="s">
        <v>2487</v>
      </c>
      <c r="D612">
        <v>93399</v>
      </c>
      <c r="E612" t="str">
        <f t="shared" si="9"/>
        <v>ia.assorted_string like '%93399-07-2024%' or</v>
      </c>
    </row>
    <row r="613" spans="1:5" x14ac:dyDescent="0.25">
      <c r="A613" t="s">
        <v>724</v>
      </c>
      <c r="B613" t="s">
        <v>2487</v>
      </c>
      <c r="D613">
        <v>93400</v>
      </c>
      <c r="E613" t="str">
        <f t="shared" si="9"/>
        <v>ia.assorted_string like '%93400-07-2024%' or</v>
      </c>
    </row>
    <row r="614" spans="1:5" x14ac:dyDescent="0.25">
      <c r="A614" t="s">
        <v>725</v>
      </c>
      <c r="B614" t="s">
        <v>2487</v>
      </c>
      <c r="D614">
        <v>93402</v>
      </c>
      <c r="E614" t="str">
        <f t="shared" si="9"/>
        <v>ia.assorted_string like '%93402-07-2024%' or</v>
      </c>
    </row>
    <row r="615" spans="1:5" x14ac:dyDescent="0.25">
      <c r="A615" t="s">
        <v>726</v>
      </c>
      <c r="B615" t="s">
        <v>2487</v>
      </c>
      <c r="D615">
        <v>93403</v>
      </c>
      <c r="E615" t="str">
        <f t="shared" si="9"/>
        <v>ia.assorted_string like '%93403-07-2024%' or</v>
      </c>
    </row>
    <row r="616" spans="1:5" x14ac:dyDescent="0.25">
      <c r="A616" t="s">
        <v>727</v>
      </c>
      <c r="B616" t="s">
        <v>2487</v>
      </c>
      <c r="D616">
        <v>93406</v>
      </c>
      <c r="E616" t="str">
        <f t="shared" si="9"/>
        <v>ia.assorted_string like '%93406-07-2024%' or</v>
      </c>
    </row>
    <row r="617" spans="1:5" x14ac:dyDescent="0.25">
      <c r="A617" t="s">
        <v>728</v>
      </c>
      <c r="B617" t="s">
        <v>2487</v>
      </c>
      <c r="D617">
        <v>93407</v>
      </c>
      <c r="E617" t="str">
        <f t="shared" si="9"/>
        <v>ia.assorted_string like '%93407-07-2024%' or</v>
      </c>
    </row>
    <row r="618" spans="1:5" x14ac:dyDescent="0.25">
      <c r="A618" t="s">
        <v>729</v>
      </c>
      <c r="B618" t="s">
        <v>2487</v>
      </c>
      <c r="D618">
        <v>93408</v>
      </c>
      <c r="E618" t="str">
        <f t="shared" si="9"/>
        <v>ia.assorted_string like '%93408-07-2024%' or</v>
      </c>
    </row>
    <row r="619" spans="1:5" x14ac:dyDescent="0.25">
      <c r="A619" t="s">
        <v>730</v>
      </c>
      <c r="B619" t="s">
        <v>2487</v>
      </c>
      <c r="D619">
        <v>93409</v>
      </c>
      <c r="E619" t="str">
        <f t="shared" si="9"/>
        <v>ia.assorted_string like '%93409-07-2024%' or</v>
      </c>
    </row>
    <row r="620" spans="1:5" x14ac:dyDescent="0.25">
      <c r="A620" t="s">
        <v>731</v>
      </c>
      <c r="B620" t="s">
        <v>2487</v>
      </c>
      <c r="D620">
        <v>93410</v>
      </c>
      <c r="E620" t="str">
        <f t="shared" si="9"/>
        <v>ia.assorted_string like '%93410-07-2024%' or</v>
      </c>
    </row>
    <row r="621" spans="1:5" x14ac:dyDescent="0.25">
      <c r="A621" t="s">
        <v>732</v>
      </c>
      <c r="B621" t="s">
        <v>2487</v>
      </c>
      <c r="D621">
        <v>93413</v>
      </c>
      <c r="E621" t="str">
        <f t="shared" si="9"/>
        <v>ia.assorted_string like '%93413-07-2024%' or</v>
      </c>
    </row>
    <row r="622" spans="1:5" x14ac:dyDescent="0.25">
      <c r="A622" t="s">
        <v>733</v>
      </c>
      <c r="B622" t="s">
        <v>2487</v>
      </c>
      <c r="D622">
        <v>93414</v>
      </c>
      <c r="E622" t="str">
        <f t="shared" si="9"/>
        <v>ia.assorted_string like '%93414-07-2024%' or</v>
      </c>
    </row>
    <row r="623" spans="1:5" x14ac:dyDescent="0.25">
      <c r="A623" t="s">
        <v>734</v>
      </c>
      <c r="B623" t="s">
        <v>2487</v>
      </c>
      <c r="D623">
        <v>93415</v>
      </c>
      <c r="E623" t="str">
        <f t="shared" si="9"/>
        <v>ia.assorted_string like '%93415-07-2024%' or</v>
      </c>
    </row>
    <row r="624" spans="1:5" x14ac:dyDescent="0.25">
      <c r="A624" t="s">
        <v>735</v>
      </c>
      <c r="B624" t="s">
        <v>2487</v>
      </c>
      <c r="D624">
        <v>93416</v>
      </c>
      <c r="E624" t="str">
        <f t="shared" si="9"/>
        <v>ia.assorted_string like '%93416-07-2024%' or</v>
      </c>
    </row>
    <row r="625" spans="1:5" x14ac:dyDescent="0.25">
      <c r="A625" t="s">
        <v>736</v>
      </c>
      <c r="B625" t="s">
        <v>2487</v>
      </c>
      <c r="D625">
        <v>93417</v>
      </c>
      <c r="E625" t="str">
        <f t="shared" si="9"/>
        <v>ia.assorted_string like '%93417-07-2024%' or</v>
      </c>
    </row>
    <row r="626" spans="1:5" x14ac:dyDescent="0.25">
      <c r="A626" t="s">
        <v>737</v>
      </c>
      <c r="B626" t="s">
        <v>2487</v>
      </c>
      <c r="D626">
        <v>93418</v>
      </c>
      <c r="E626" t="str">
        <f t="shared" si="9"/>
        <v>ia.assorted_string like '%93418-07-2024%' or</v>
      </c>
    </row>
    <row r="627" spans="1:5" x14ac:dyDescent="0.25">
      <c r="A627" t="s">
        <v>738</v>
      </c>
      <c r="B627" t="s">
        <v>2487</v>
      </c>
      <c r="D627">
        <v>93421</v>
      </c>
      <c r="E627" t="str">
        <f t="shared" si="9"/>
        <v>ia.assorted_string like '%93421-07-2024%' or</v>
      </c>
    </row>
    <row r="628" spans="1:5" x14ac:dyDescent="0.25">
      <c r="A628" t="s">
        <v>739</v>
      </c>
      <c r="B628" t="s">
        <v>2487</v>
      </c>
      <c r="D628">
        <v>93422</v>
      </c>
      <c r="E628" t="str">
        <f t="shared" si="9"/>
        <v>ia.assorted_string like '%93422-07-2024%' or</v>
      </c>
    </row>
    <row r="629" spans="1:5" x14ac:dyDescent="0.25">
      <c r="A629" t="s">
        <v>740</v>
      </c>
      <c r="B629" t="s">
        <v>2487</v>
      </c>
      <c r="D629">
        <v>93427</v>
      </c>
      <c r="E629" t="str">
        <f t="shared" si="9"/>
        <v>ia.assorted_string like '%93427-07-2024%' or</v>
      </c>
    </row>
    <row r="630" spans="1:5" x14ac:dyDescent="0.25">
      <c r="A630" t="s">
        <v>741</v>
      </c>
      <c r="B630" t="s">
        <v>2487</v>
      </c>
      <c r="D630">
        <v>93428</v>
      </c>
      <c r="E630" t="str">
        <f t="shared" si="9"/>
        <v>ia.assorted_string like '%93428-07-2024%' or</v>
      </c>
    </row>
    <row r="631" spans="1:5" x14ac:dyDescent="0.25">
      <c r="A631" t="s">
        <v>742</v>
      </c>
      <c r="B631" t="s">
        <v>2487</v>
      </c>
      <c r="D631">
        <v>93429</v>
      </c>
      <c r="E631" t="str">
        <f t="shared" si="9"/>
        <v>ia.assorted_string like '%93429-07-2024%' or</v>
      </c>
    </row>
    <row r="632" spans="1:5" x14ac:dyDescent="0.25">
      <c r="A632" t="s">
        <v>743</v>
      </c>
      <c r="B632" t="s">
        <v>2487</v>
      </c>
      <c r="D632">
        <v>93430</v>
      </c>
      <c r="E632" t="str">
        <f t="shared" si="9"/>
        <v>ia.assorted_string like '%93430-07-2024%' or</v>
      </c>
    </row>
    <row r="633" spans="1:5" x14ac:dyDescent="0.25">
      <c r="A633" t="s">
        <v>744</v>
      </c>
      <c r="B633" t="s">
        <v>2487</v>
      </c>
      <c r="D633">
        <v>93431</v>
      </c>
      <c r="E633" t="str">
        <f t="shared" si="9"/>
        <v>ia.assorted_string like '%93431-07-2024%' or</v>
      </c>
    </row>
    <row r="634" spans="1:5" x14ac:dyDescent="0.25">
      <c r="A634" t="s">
        <v>745</v>
      </c>
      <c r="B634" t="s">
        <v>2487</v>
      </c>
      <c r="D634">
        <v>93432</v>
      </c>
      <c r="E634" t="str">
        <f t="shared" si="9"/>
        <v>ia.assorted_string like '%93432-07-2024%' or</v>
      </c>
    </row>
    <row r="635" spans="1:5" x14ac:dyDescent="0.25">
      <c r="A635" t="s">
        <v>746</v>
      </c>
      <c r="B635" t="s">
        <v>2487</v>
      </c>
      <c r="D635">
        <v>93433</v>
      </c>
      <c r="E635" t="str">
        <f t="shared" si="9"/>
        <v>ia.assorted_string like '%93433-07-2024%' or</v>
      </c>
    </row>
    <row r="636" spans="1:5" x14ac:dyDescent="0.25">
      <c r="A636" t="s">
        <v>747</v>
      </c>
      <c r="B636" t="s">
        <v>2487</v>
      </c>
      <c r="D636">
        <v>93434</v>
      </c>
      <c r="E636" t="str">
        <f t="shared" si="9"/>
        <v>ia.assorted_string like '%93434-07-2024%' or</v>
      </c>
    </row>
    <row r="637" spans="1:5" x14ac:dyDescent="0.25">
      <c r="A637" t="s">
        <v>748</v>
      </c>
      <c r="B637" t="s">
        <v>2487</v>
      </c>
      <c r="D637">
        <v>93467</v>
      </c>
      <c r="E637" t="str">
        <f t="shared" si="9"/>
        <v>ia.assorted_string like '%93467-07-2024%' or</v>
      </c>
    </row>
    <row r="638" spans="1:5" x14ac:dyDescent="0.25">
      <c r="A638" t="s">
        <v>749</v>
      </c>
      <c r="B638" t="s">
        <v>2487</v>
      </c>
      <c r="D638">
        <v>93468</v>
      </c>
      <c r="E638" t="str">
        <f t="shared" si="9"/>
        <v>ia.assorted_string like '%93468-07-2024%' or</v>
      </c>
    </row>
    <row r="639" spans="1:5" x14ac:dyDescent="0.25">
      <c r="A639" t="s">
        <v>750</v>
      </c>
      <c r="B639" t="s">
        <v>2487</v>
      </c>
      <c r="D639">
        <v>93471</v>
      </c>
      <c r="E639" t="str">
        <f t="shared" si="9"/>
        <v>ia.assorted_string like '%93471-07-2024%' or</v>
      </c>
    </row>
    <row r="640" spans="1:5" x14ac:dyDescent="0.25">
      <c r="A640" t="s">
        <v>751</v>
      </c>
      <c r="B640" t="s">
        <v>2487</v>
      </c>
      <c r="D640">
        <v>93472</v>
      </c>
      <c r="E640" t="str">
        <f t="shared" si="9"/>
        <v>ia.assorted_string like '%93472-07-2024%' or</v>
      </c>
    </row>
    <row r="641" spans="1:5" x14ac:dyDescent="0.25">
      <c r="A641" t="s">
        <v>752</v>
      </c>
      <c r="B641" t="s">
        <v>2487</v>
      </c>
      <c r="D641">
        <v>93480</v>
      </c>
      <c r="E641" t="str">
        <f t="shared" si="9"/>
        <v>ia.assorted_string like '%93480-07-2024%' or</v>
      </c>
    </row>
    <row r="642" spans="1:5" x14ac:dyDescent="0.25">
      <c r="A642" t="s">
        <v>753</v>
      </c>
      <c r="B642" t="s">
        <v>2487</v>
      </c>
      <c r="D642">
        <v>93484</v>
      </c>
      <c r="E642" t="str">
        <f t="shared" ref="E642:E705" si="10">"ia.assorted_string like '%"&amp;D642&amp;B642&amp;"%' or"</f>
        <v>ia.assorted_string like '%93484-07-2024%' or</v>
      </c>
    </row>
    <row r="643" spans="1:5" x14ac:dyDescent="0.25">
      <c r="A643" t="s">
        <v>754</v>
      </c>
      <c r="B643" t="s">
        <v>2487</v>
      </c>
      <c r="D643">
        <v>93488</v>
      </c>
      <c r="E643" t="str">
        <f t="shared" si="10"/>
        <v>ia.assorted_string like '%93488-07-2024%' or</v>
      </c>
    </row>
    <row r="644" spans="1:5" x14ac:dyDescent="0.25">
      <c r="A644" t="s">
        <v>755</v>
      </c>
      <c r="B644" t="s">
        <v>2487</v>
      </c>
      <c r="D644">
        <v>93489</v>
      </c>
      <c r="E644" t="str">
        <f t="shared" si="10"/>
        <v>ia.assorted_string like '%93489-07-2024%' or</v>
      </c>
    </row>
    <row r="645" spans="1:5" x14ac:dyDescent="0.25">
      <c r="A645" t="s">
        <v>756</v>
      </c>
      <c r="B645" t="s">
        <v>2487</v>
      </c>
      <c r="D645">
        <v>93490</v>
      </c>
      <c r="E645" t="str">
        <f t="shared" si="10"/>
        <v>ia.assorted_string like '%93490-07-2024%' or</v>
      </c>
    </row>
    <row r="646" spans="1:5" x14ac:dyDescent="0.25">
      <c r="A646" t="s">
        <v>757</v>
      </c>
      <c r="B646" t="s">
        <v>2487</v>
      </c>
      <c r="D646">
        <v>93491</v>
      </c>
      <c r="E646" t="str">
        <f t="shared" si="10"/>
        <v>ia.assorted_string like '%93491-07-2024%' or</v>
      </c>
    </row>
    <row r="647" spans="1:5" x14ac:dyDescent="0.25">
      <c r="A647" t="s">
        <v>758</v>
      </c>
      <c r="B647" t="s">
        <v>2487</v>
      </c>
      <c r="D647">
        <v>93492</v>
      </c>
      <c r="E647" t="str">
        <f t="shared" si="10"/>
        <v>ia.assorted_string like '%93492-07-2024%' or</v>
      </c>
    </row>
    <row r="648" spans="1:5" x14ac:dyDescent="0.25">
      <c r="A648" t="s">
        <v>759</v>
      </c>
      <c r="B648" t="s">
        <v>2487</v>
      </c>
      <c r="D648">
        <v>93498</v>
      </c>
      <c r="E648" t="str">
        <f t="shared" si="10"/>
        <v>ia.assorted_string like '%93498-07-2024%' or</v>
      </c>
    </row>
    <row r="649" spans="1:5" x14ac:dyDescent="0.25">
      <c r="A649" t="s">
        <v>760</v>
      </c>
      <c r="B649" t="s">
        <v>2487</v>
      </c>
      <c r="D649">
        <v>93499</v>
      </c>
      <c r="E649" t="str">
        <f t="shared" si="10"/>
        <v>ia.assorted_string like '%93499-07-2024%' or</v>
      </c>
    </row>
    <row r="650" spans="1:5" x14ac:dyDescent="0.25">
      <c r="A650" t="s">
        <v>761</v>
      </c>
      <c r="B650" t="s">
        <v>2487</v>
      </c>
      <c r="D650">
        <v>93501</v>
      </c>
      <c r="E650" t="str">
        <f t="shared" si="10"/>
        <v>ia.assorted_string like '%93501-07-2024%' or</v>
      </c>
    </row>
    <row r="651" spans="1:5" x14ac:dyDescent="0.25">
      <c r="A651" t="s">
        <v>762</v>
      </c>
      <c r="B651" t="s">
        <v>2487</v>
      </c>
      <c r="D651">
        <v>93502</v>
      </c>
      <c r="E651" t="str">
        <f t="shared" si="10"/>
        <v>ia.assorted_string like '%93502-07-2024%' or</v>
      </c>
    </row>
    <row r="652" spans="1:5" x14ac:dyDescent="0.25">
      <c r="A652" t="s">
        <v>763</v>
      </c>
      <c r="B652" t="s">
        <v>2487</v>
      </c>
      <c r="D652">
        <v>93503</v>
      </c>
      <c r="E652" t="str">
        <f t="shared" si="10"/>
        <v>ia.assorted_string like '%93503-07-2024%' or</v>
      </c>
    </row>
    <row r="653" spans="1:5" x14ac:dyDescent="0.25">
      <c r="A653" t="s">
        <v>764</v>
      </c>
      <c r="B653" t="s">
        <v>2487</v>
      </c>
      <c r="D653">
        <v>93504</v>
      </c>
      <c r="E653" t="str">
        <f t="shared" si="10"/>
        <v>ia.assorted_string like '%93504-07-2024%' or</v>
      </c>
    </row>
    <row r="654" spans="1:5" x14ac:dyDescent="0.25">
      <c r="A654" t="s">
        <v>765</v>
      </c>
      <c r="B654" t="s">
        <v>2487</v>
      </c>
      <c r="D654">
        <v>93505</v>
      </c>
      <c r="E654" t="str">
        <f t="shared" si="10"/>
        <v>ia.assorted_string like '%93505-07-2024%' or</v>
      </c>
    </row>
    <row r="655" spans="1:5" x14ac:dyDescent="0.25">
      <c r="A655" t="s">
        <v>766</v>
      </c>
      <c r="B655" t="s">
        <v>2487</v>
      </c>
      <c r="D655">
        <v>93510</v>
      </c>
      <c r="E655" t="str">
        <f t="shared" si="10"/>
        <v>ia.assorted_string like '%93510-07-2024%' or</v>
      </c>
    </row>
    <row r="656" spans="1:5" x14ac:dyDescent="0.25">
      <c r="A656" t="s">
        <v>767</v>
      </c>
      <c r="B656" t="s">
        <v>2487</v>
      </c>
      <c r="D656">
        <v>93511</v>
      </c>
      <c r="E656" t="str">
        <f t="shared" si="10"/>
        <v>ia.assorted_string like '%93511-07-2024%' or</v>
      </c>
    </row>
    <row r="657" spans="1:5" x14ac:dyDescent="0.25">
      <c r="A657" t="s">
        <v>768</v>
      </c>
      <c r="B657" t="s">
        <v>2487</v>
      </c>
      <c r="D657">
        <v>93513</v>
      </c>
      <c r="E657" t="str">
        <f t="shared" si="10"/>
        <v>ia.assorted_string like '%93513-07-2024%' or</v>
      </c>
    </row>
    <row r="658" spans="1:5" x14ac:dyDescent="0.25">
      <c r="A658" t="s">
        <v>769</v>
      </c>
      <c r="B658" t="s">
        <v>2487</v>
      </c>
      <c r="D658">
        <v>93514</v>
      </c>
      <c r="E658" t="str">
        <f t="shared" si="10"/>
        <v>ia.assorted_string like '%93514-07-2024%' or</v>
      </c>
    </row>
    <row r="659" spans="1:5" x14ac:dyDescent="0.25">
      <c r="A659" t="s">
        <v>770</v>
      </c>
      <c r="B659" t="s">
        <v>2487</v>
      </c>
      <c r="D659">
        <v>93517</v>
      </c>
      <c r="E659" t="str">
        <f t="shared" si="10"/>
        <v>ia.assorted_string like '%93517-07-2024%' or</v>
      </c>
    </row>
    <row r="660" spans="1:5" x14ac:dyDescent="0.25">
      <c r="A660" t="s">
        <v>771</v>
      </c>
      <c r="B660" t="s">
        <v>2487</v>
      </c>
      <c r="D660">
        <v>93518</v>
      </c>
      <c r="E660" t="str">
        <f t="shared" si="10"/>
        <v>ia.assorted_string like '%93518-07-2024%' or</v>
      </c>
    </row>
    <row r="661" spans="1:5" x14ac:dyDescent="0.25">
      <c r="A661" t="s">
        <v>772</v>
      </c>
      <c r="B661" t="s">
        <v>2487</v>
      </c>
      <c r="D661">
        <v>93519</v>
      </c>
      <c r="E661" t="str">
        <f t="shared" si="10"/>
        <v>ia.assorted_string like '%93519-07-2024%' or</v>
      </c>
    </row>
    <row r="662" spans="1:5" x14ac:dyDescent="0.25">
      <c r="A662" t="s">
        <v>773</v>
      </c>
      <c r="B662" t="s">
        <v>2487</v>
      </c>
      <c r="D662">
        <v>93522</v>
      </c>
      <c r="E662" t="str">
        <f t="shared" si="10"/>
        <v>ia.assorted_string like '%93522-07-2024%' or</v>
      </c>
    </row>
    <row r="663" spans="1:5" x14ac:dyDescent="0.25">
      <c r="A663" t="s">
        <v>774</v>
      </c>
      <c r="B663" t="s">
        <v>2487</v>
      </c>
      <c r="D663">
        <v>93523</v>
      </c>
      <c r="E663" t="str">
        <f t="shared" si="10"/>
        <v>ia.assorted_string like '%93523-07-2024%' or</v>
      </c>
    </row>
    <row r="664" spans="1:5" x14ac:dyDescent="0.25">
      <c r="A664" t="s">
        <v>775</v>
      </c>
      <c r="B664" t="s">
        <v>2487</v>
      </c>
      <c r="D664">
        <v>93524</v>
      </c>
      <c r="E664" t="str">
        <f t="shared" si="10"/>
        <v>ia.assorted_string like '%93524-07-2024%' or</v>
      </c>
    </row>
    <row r="665" spans="1:5" x14ac:dyDescent="0.25">
      <c r="A665" t="s">
        <v>776</v>
      </c>
      <c r="B665" t="s">
        <v>2487</v>
      </c>
      <c r="D665">
        <v>93525</v>
      </c>
      <c r="E665" t="str">
        <f t="shared" si="10"/>
        <v>ia.assorted_string like '%93525-07-2024%' or</v>
      </c>
    </row>
    <row r="666" spans="1:5" x14ac:dyDescent="0.25">
      <c r="A666" t="s">
        <v>777</v>
      </c>
      <c r="B666" t="s">
        <v>2487</v>
      </c>
      <c r="D666">
        <v>93526</v>
      </c>
      <c r="E666" t="str">
        <f t="shared" si="10"/>
        <v>ia.assorted_string like '%93526-07-2024%' or</v>
      </c>
    </row>
    <row r="667" spans="1:5" x14ac:dyDescent="0.25">
      <c r="A667" t="s">
        <v>778</v>
      </c>
      <c r="B667" t="s">
        <v>2487</v>
      </c>
      <c r="D667">
        <v>93528</v>
      </c>
      <c r="E667" t="str">
        <f t="shared" si="10"/>
        <v>ia.assorted_string like '%93528-07-2024%' or</v>
      </c>
    </row>
    <row r="668" spans="1:5" x14ac:dyDescent="0.25">
      <c r="A668" t="s">
        <v>779</v>
      </c>
      <c r="B668" t="s">
        <v>2487</v>
      </c>
      <c r="D668">
        <v>93533</v>
      </c>
      <c r="E668" t="str">
        <f t="shared" si="10"/>
        <v>ia.assorted_string like '%93533-07-2024%' or</v>
      </c>
    </row>
    <row r="669" spans="1:5" x14ac:dyDescent="0.25">
      <c r="A669" t="s">
        <v>780</v>
      </c>
      <c r="B669" t="s">
        <v>2487</v>
      </c>
      <c r="D669">
        <v>93536</v>
      </c>
      <c r="E669" t="str">
        <f t="shared" si="10"/>
        <v>ia.assorted_string like '%93536-07-2024%' or</v>
      </c>
    </row>
    <row r="670" spans="1:5" x14ac:dyDescent="0.25">
      <c r="A670" t="s">
        <v>781</v>
      </c>
      <c r="B670" t="s">
        <v>2487</v>
      </c>
      <c r="D670">
        <v>93537</v>
      </c>
      <c r="E670" t="str">
        <f t="shared" si="10"/>
        <v>ia.assorted_string like '%93537-07-2024%' or</v>
      </c>
    </row>
    <row r="671" spans="1:5" x14ac:dyDescent="0.25">
      <c r="A671" t="s">
        <v>782</v>
      </c>
      <c r="B671" t="s">
        <v>2487</v>
      </c>
      <c r="D671">
        <v>93539</v>
      </c>
      <c r="E671" t="str">
        <f t="shared" si="10"/>
        <v>ia.assorted_string like '%93539-07-2024%' or</v>
      </c>
    </row>
    <row r="672" spans="1:5" x14ac:dyDescent="0.25">
      <c r="A672" t="s">
        <v>783</v>
      </c>
      <c r="B672" t="s">
        <v>2487</v>
      </c>
      <c r="D672">
        <v>93540</v>
      </c>
      <c r="E672" t="str">
        <f t="shared" si="10"/>
        <v>ia.assorted_string like '%93540-07-2024%' or</v>
      </c>
    </row>
    <row r="673" spans="1:5" x14ac:dyDescent="0.25">
      <c r="A673" t="s">
        <v>784</v>
      </c>
      <c r="B673" t="s">
        <v>2487</v>
      </c>
      <c r="D673">
        <v>93541</v>
      </c>
      <c r="E673" t="str">
        <f t="shared" si="10"/>
        <v>ia.assorted_string like '%93541-07-2024%' or</v>
      </c>
    </row>
    <row r="674" spans="1:5" x14ac:dyDescent="0.25">
      <c r="A674" t="s">
        <v>785</v>
      </c>
      <c r="B674" t="s">
        <v>2487</v>
      </c>
      <c r="D674">
        <v>93542</v>
      </c>
      <c r="E674" t="str">
        <f t="shared" si="10"/>
        <v>ia.assorted_string like '%93542-07-2024%' or</v>
      </c>
    </row>
    <row r="675" spans="1:5" x14ac:dyDescent="0.25">
      <c r="A675" t="s">
        <v>786</v>
      </c>
      <c r="B675" t="s">
        <v>2487</v>
      </c>
      <c r="D675">
        <v>93543</v>
      </c>
      <c r="E675" t="str">
        <f t="shared" si="10"/>
        <v>ia.assorted_string like '%93543-07-2024%' or</v>
      </c>
    </row>
    <row r="676" spans="1:5" x14ac:dyDescent="0.25">
      <c r="A676" t="s">
        <v>787</v>
      </c>
      <c r="B676" t="s">
        <v>2487</v>
      </c>
      <c r="D676">
        <v>93544</v>
      </c>
      <c r="E676" t="str">
        <f t="shared" si="10"/>
        <v>ia.assorted_string like '%93544-07-2024%' or</v>
      </c>
    </row>
    <row r="677" spans="1:5" x14ac:dyDescent="0.25">
      <c r="A677" t="s">
        <v>788</v>
      </c>
      <c r="B677" t="s">
        <v>2487</v>
      </c>
      <c r="D677">
        <v>93545</v>
      </c>
      <c r="E677" t="str">
        <f t="shared" si="10"/>
        <v>ia.assorted_string like '%93545-07-2024%' or</v>
      </c>
    </row>
    <row r="678" spans="1:5" x14ac:dyDescent="0.25">
      <c r="A678" t="s">
        <v>789</v>
      </c>
      <c r="B678" t="s">
        <v>2487</v>
      </c>
      <c r="D678">
        <v>93546</v>
      </c>
      <c r="E678" t="str">
        <f t="shared" si="10"/>
        <v>ia.assorted_string like '%93546-07-2024%' or</v>
      </c>
    </row>
    <row r="679" spans="1:5" x14ac:dyDescent="0.25">
      <c r="A679" t="s">
        <v>790</v>
      </c>
      <c r="B679" t="s">
        <v>2487</v>
      </c>
      <c r="D679">
        <v>93547</v>
      </c>
      <c r="E679" t="str">
        <f t="shared" si="10"/>
        <v>ia.assorted_string like '%93547-07-2024%' or</v>
      </c>
    </row>
    <row r="680" spans="1:5" x14ac:dyDescent="0.25">
      <c r="A680" t="s">
        <v>791</v>
      </c>
      <c r="B680" t="s">
        <v>2487</v>
      </c>
      <c r="D680">
        <v>93549</v>
      </c>
      <c r="E680" t="str">
        <f t="shared" si="10"/>
        <v>ia.assorted_string like '%93549-07-2024%' or</v>
      </c>
    </row>
    <row r="681" spans="1:5" x14ac:dyDescent="0.25">
      <c r="A681" t="s">
        <v>792</v>
      </c>
      <c r="B681" t="s">
        <v>2487</v>
      </c>
      <c r="D681">
        <v>93550</v>
      </c>
      <c r="E681" t="str">
        <f t="shared" si="10"/>
        <v>ia.assorted_string like '%93550-07-2024%' or</v>
      </c>
    </row>
    <row r="682" spans="1:5" x14ac:dyDescent="0.25">
      <c r="A682" t="s">
        <v>793</v>
      </c>
      <c r="B682" t="s">
        <v>2487</v>
      </c>
      <c r="D682">
        <v>93551</v>
      </c>
      <c r="E682" t="str">
        <f t="shared" si="10"/>
        <v>ia.assorted_string like '%93551-07-2024%' or</v>
      </c>
    </row>
    <row r="683" spans="1:5" x14ac:dyDescent="0.25">
      <c r="A683" t="s">
        <v>794</v>
      </c>
      <c r="B683" t="s">
        <v>2487</v>
      </c>
      <c r="D683">
        <v>93552</v>
      </c>
      <c r="E683" t="str">
        <f t="shared" si="10"/>
        <v>ia.assorted_string like '%93552-07-2024%' or</v>
      </c>
    </row>
    <row r="684" spans="1:5" x14ac:dyDescent="0.25">
      <c r="A684" t="s">
        <v>795</v>
      </c>
      <c r="B684" t="s">
        <v>2487</v>
      </c>
      <c r="D684">
        <v>93554</v>
      </c>
      <c r="E684" t="str">
        <f t="shared" si="10"/>
        <v>ia.assorted_string like '%93554-07-2024%' or</v>
      </c>
    </row>
    <row r="685" spans="1:5" x14ac:dyDescent="0.25">
      <c r="A685" t="s">
        <v>796</v>
      </c>
      <c r="B685" t="s">
        <v>2487</v>
      </c>
      <c r="D685">
        <v>93555</v>
      </c>
      <c r="E685" t="str">
        <f t="shared" si="10"/>
        <v>ia.assorted_string like '%93555-07-2024%' or</v>
      </c>
    </row>
    <row r="686" spans="1:5" x14ac:dyDescent="0.25">
      <c r="A686" t="s">
        <v>797</v>
      </c>
      <c r="B686" t="s">
        <v>2487</v>
      </c>
      <c r="D686">
        <v>93556</v>
      </c>
      <c r="E686" t="str">
        <f t="shared" si="10"/>
        <v>ia.assorted_string like '%93556-07-2024%' or</v>
      </c>
    </row>
    <row r="687" spans="1:5" x14ac:dyDescent="0.25">
      <c r="A687" t="s">
        <v>798</v>
      </c>
      <c r="B687" t="s">
        <v>2487</v>
      </c>
      <c r="D687">
        <v>93557</v>
      </c>
      <c r="E687" t="str">
        <f t="shared" si="10"/>
        <v>ia.assorted_string like '%93557-07-2024%' or</v>
      </c>
    </row>
    <row r="688" spans="1:5" x14ac:dyDescent="0.25">
      <c r="A688" t="s">
        <v>799</v>
      </c>
      <c r="B688" t="s">
        <v>2487</v>
      </c>
      <c r="D688">
        <v>93558</v>
      </c>
      <c r="E688" t="str">
        <f t="shared" si="10"/>
        <v>ia.assorted_string like '%93558-07-2024%' or</v>
      </c>
    </row>
    <row r="689" spans="1:5" x14ac:dyDescent="0.25">
      <c r="A689" t="s">
        <v>800</v>
      </c>
      <c r="B689" t="s">
        <v>2487</v>
      </c>
      <c r="D689">
        <v>93559</v>
      </c>
      <c r="E689" t="str">
        <f t="shared" si="10"/>
        <v>ia.assorted_string like '%93559-07-2024%' or</v>
      </c>
    </row>
    <row r="690" spans="1:5" x14ac:dyDescent="0.25">
      <c r="A690" t="s">
        <v>801</v>
      </c>
      <c r="B690" t="s">
        <v>2487</v>
      </c>
      <c r="D690">
        <v>93568</v>
      </c>
      <c r="E690" t="str">
        <f t="shared" si="10"/>
        <v>ia.assorted_string like '%93568-07-2024%' or</v>
      </c>
    </row>
    <row r="691" spans="1:5" x14ac:dyDescent="0.25">
      <c r="A691" t="s">
        <v>802</v>
      </c>
      <c r="B691" t="s">
        <v>2487</v>
      </c>
      <c r="D691">
        <v>93569</v>
      </c>
      <c r="E691" t="str">
        <f t="shared" si="10"/>
        <v>ia.assorted_string like '%93569-07-2024%' or</v>
      </c>
    </row>
    <row r="692" spans="1:5" x14ac:dyDescent="0.25">
      <c r="A692" t="s">
        <v>803</v>
      </c>
      <c r="B692" t="s">
        <v>2487</v>
      </c>
      <c r="D692">
        <v>93570</v>
      </c>
      <c r="E692" t="str">
        <f t="shared" si="10"/>
        <v>ia.assorted_string like '%93570-07-2024%' or</v>
      </c>
    </row>
    <row r="693" spans="1:5" x14ac:dyDescent="0.25">
      <c r="A693" t="s">
        <v>804</v>
      </c>
      <c r="B693" t="s">
        <v>2487</v>
      </c>
      <c r="D693">
        <v>93578</v>
      </c>
      <c r="E693" t="str">
        <f t="shared" si="10"/>
        <v>ia.assorted_string like '%93578-07-2024%' or</v>
      </c>
    </row>
    <row r="694" spans="1:5" x14ac:dyDescent="0.25">
      <c r="A694" t="s">
        <v>805</v>
      </c>
      <c r="B694" t="s">
        <v>2487</v>
      </c>
      <c r="D694">
        <v>93583</v>
      </c>
      <c r="E694" t="str">
        <f t="shared" si="10"/>
        <v>ia.assorted_string like '%93583-07-2024%' or</v>
      </c>
    </row>
    <row r="695" spans="1:5" x14ac:dyDescent="0.25">
      <c r="A695" t="s">
        <v>806</v>
      </c>
      <c r="B695" t="s">
        <v>2487</v>
      </c>
      <c r="D695">
        <v>93586</v>
      </c>
      <c r="E695" t="str">
        <f t="shared" si="10"/>
        <v>ia.assorted_string like '%93586-07-2024%' or</v>
      </c>
    </row>
    <row r="696" spans="1:5" x14ac:dyDescent="0.25">
      <c r="A696" t="s">
        <v>807</v>
      </c>
      <c r="B696" t="s">
        <v>2487</v>
      </c>
      <c r="D696">
        <v>93587</v>
      </c>
      <c r="E696" t="str">
        <f t="shared" si="10"/>
        <v>ia.assorted_string like '%93587-07-2024%' or</v>
      </c>
    </row>
    <row r="697" spans="1:5" x14ac:dyDescent="0.25">
      <c r="A697" t="s">
        <v>808</v>
      </c>
      <c r="B697" t="s">
        <v>2487</v>
      </c>
      <c r="D697">
        <v>93606</v>
      </c>
      <c r="E697" t="str">
        <f t="shared" si="10"/>
        <v>ia.assorted_string like '%93606-07-2024%' or</v>
      </c>
    </row>
    <row r="698" spans="1:5" x14ac:dyDescent="0.25">
      <c r="A698" t="s">
        <v>809</v>
      </c>
      <c r="B698" t="s">
        <v>2487</v>
      </c>
      <c r="D698">
        <v>93612</v>
      </c>
      <c r="E698" t="str">
        <f t="shared" si="10"/>
        <v>ia.assorted_string like '%93612-07-2024%' or</v>
      </c>
    </row>
    <row r="699" spans="1:5" x14ac:dyDescent="0.25">
      <c r="A699" t="s">
        <v>810</v>
      </c>
      <c r="B699" t="s">
        <v>2487</v>
      </c>
      <c r="D699">
        <v>93615</v>
      </c>
      <c r="E699" t="str">
        <f t="shared" si="10"/>
        <v>ia.assorted_string like '%93615-07-2024%' or</v>
      </c>
    </row>
    <row r="700" spans="1:5" x14ac:dyDescent="0.25">
      <c r="A700" t="s">
        <v>811</v>
      </c>
      <c r="B700" t="s">
        <v>2487</v>
      </c>
      <c r="D700">
        <v>93616</v>
      </c>
      <c r="E700" t="str">
        <f t="shared" si="10"/>
        <v>ia.assorted_string like '%93616-07-2024%' or</v>
      </c>
    </row>
    <row r="701" spans="1:5" x14ac:dyDescent="0.25">
      <c r="A701" t="s">
        <v>812</v>
      </c>
      <c r="B701" t="s">
        <v>2487</v>
      </c>
      <c r="D701">
        <v>93619</v>
      </c>
      <c r="E701" t="str">
        <f t="shared" si="10"/>
        <v>ia.assorted_string like '%93619-07-2024%' or</v>
      </c>
    </row>
    <row r="702" spans="1:5" x14ac:dyDescent="0.25">
      <c r="A702" t="s">
        <v>813</v>
      </c>
      <c r="B702" t="s">
        <v>2487</v>
      </c>
      <c r="D702">
        <v>93620</v>
      </c>
      <c r="E702" t="str">
        <f t="shared" si="10"/>
        <v>ia.assorted_string like '%93620-07-2024%' or</v>
      </c>
    </row>
    <row r="703" spans="1:5" x14ac:dyDescent="0.25">
      <c r="A703" t="s">
        <v>814</v>
      </c>
      <c r="B703" t="s">
        <v>2487</v>
      </c>
      <c r="D703">
        <v>93621</v>
      </c>
      <c r="E703" t="str">
        <f t="shared" si="10"/>
        <v>ia.assorted_string like '%93621-07-2024%' or</v>
      </c>
    </row>
    <row r="704" spans="1:5" x14ac:dyDescent="0.25">
      <c r="A704" t="s">
        <v>815</v>
      </c>
      <c r="B704" t="s">
        <v>2487</v>
      </c>
      <c r="D704">
        <v>93622</v>
      </c>
      <c r="E704" t="str">
        <f t="shared" si="10"/>
        <v>ia.assorted_string like '%93622-07-2024%' or</v>
      </c>
    </row>
    <row r="705" spans="1:5" x14ac:dyDescent="0.25">
      <c r="A705" t="s">
        <v>816</v>
      </c>
      <c r="B705" t="s">
        <v>2487</v>
      </c>
      <c r="D705">
        <v>93623</v>
      </c>
      <c r="E705" t="str">
        <f t="shared" si="10"/>
        <v>ia.assorted_string like '%93623-07-2024%' or</v>
      </c>
    </row>
    <row r="706" spans="1:5" x14ac:dyDescent="0.25">
      <c r="A706" t="s">
        <v>817</v>
      </c>
      <c r="B706" t="s">
        <v>2487</v>
      </c>
      <c r="D706">
        <v>93624</v>
      </c>
      <c r="E706" t="str">
        <f t="shared" ref="E706:E769" si="11">"ia.assorted_string like '%"&amp;D706&amp;B706&amp;"%' or"</f>
        <v>ia.assorted_string like '%93624-07-2024%' or</v>
      </c>
    </row>
    <row r="707" spans="1:5" x14ac:dyDescent="0.25">
      <c r="A707" t="s">
        <v>818</v>
      </c>
      <c r="B707" t="s">
        <v>2487</v>
      </c>
      <c r="D707">
        <v>93629</v>
      </c>
      <c r="E707" t="str">
        <f t="shared" si="11"/>
        <v>ia.assorted_string like '%93629-07-2024%' or</v>
      </c>
    </row>
    <row r="708" spans="1:5" x14ac:dyDescent="0.25">
      <c r="A708" t="s">
        <v>819</v>
      </c>
      <c r="B708" t="s">
        <v>2487</v>
      </c>
      <c r="D708">
        <v>93633</v>
      </c>
      <c r="E708" t="str">
        <f t="shared" si="11"/>
        <v>ia.assorted_string like '%93633-07-2024%' or</v>
      </c>
    </row>
    <row r="709" spans="1:5" x14ac:dyDescent="0.25">
      <c r="A709" t="s">
        <v>820</v>
      </c>
      <c r="B709" t="s">
        <v>2487</v>
      </c>
      <c r="D709">
        <v>93634</v>
      </c>
      <c r="E709" t="str">
        <f t="shared" si="11"/>
        <v>ia.assorted_string like '%93634-07-2024%' or</v>
      </c>
    </row>
    <row r="710" spans="1:5" x14ac:dyDescent="0.25">
      <c r="A710" t="s">
        <v>821</v>
      </c>
      <c r="B710" t="s">
        <v>2487</v>
      </c>
      <c r="D710">
        <v>93636</v>
      </c>
      <c r="E710" t="str">
        <f t="shared" si="11"/>
        <v>ia.assorted_string like '%93636-07-2024%' or</v>
      </c>
    </row>
    <row r="711" spans="1:5" x14ac:dyDescent="0.25">
      <c r="A711" t="s">
        <v>822</v>
      </c>
      <c r="B711" t="s">
        <v>2487</v>
      </c>
      <c r="D711">
        <v>93637</v>
      </c>
      <c r="E711" t="str">
        <f t="shared" si="11"/>
        <v>ia.assorted_string like '%93637-07-2024%' or</v>
      </c>
    </row>
    <row r="712" spans="1:5" x14ac:dyDescent="0.25">
      <c r="A712" t="s">
        <v>823</v>
      </c>
      <c r="B712" t="s">
        <v>2487</v>
      </c>
      <c r="D712">
        <v>93639</v>
      </c>
      <c r="E712" t="str">
        <f t="shared" si="11"/>
        <v>ia.assorted_string like '%93639-07-2024%' or</v>
      </c>
    </row>
    <row r="713" spans="1:5" x14ac:dyDescent="0.25">
      <c r="A713" t="s">
        <v>824</v>
      </c>
      <c r="B713" t="s">
        <v>2487</v>
      </c>
      <c r="D713">
        <v>93640</v>
      </c>
      <c r="E713" t="str">
        <f t="shared" si="11"/>
        <v>ia.assorted_string like '%93640-07-2024%' or</v>
      </c>
    </row>
    <row r="714" spans="1:5" x14ac:dyDescent="0.25">
      <c r="A714" t="s">
        <v>825</v>
      </c>
      <c r="B714" t="s">
        <v>2487</v>
      </c>
      <c r="D714">
        <v>93646</v>
      </c>
      <c r="E714" t="str">
        <f t="shared" si="11"/>
        <v>ia.assorted_string like '%93646-07-2024%' or</v>
      </c>
    </row>
    <row r="715" spans="1:5" x14ac:dyDescent="0.25">
      <c r="A715" t="s">
        <v>826</v>
      </c>
      <c r="B715" t="s">
        <v>2487</v>
      </c>
      <c r="D715">
        <v>93648</v>
      </c>
      <c r="E715" t="str">
        <f t="shared" si="11"/>
        <v>ia.assorted_string like '%93648-07-2024%' or</v>
      </c>
    </row>
    <row r="716" spans="1:5" x14ac:dyDescent="0.25">
      <c r="A716" t="s">
        <v>827</v>
      </c>
      <c r="B716" t="s">
        <v>2487</v>
      </c>
      <c r="D716">
        <v>93649</v>
      </c>
      <c r="E716" t="str">
        <f t="shared" si="11"/>
        <v>ia.assorted_string like '%93649-07-2024%' or</v>
      </c>
    </row>
    <row r="717" spans="1:5" x14ac:dyDescent="0.25">
      <c r="A717" t="s">
        <v>828</v>
      </c>
      <c r="B717" t="s">
        <v>2487</v>
      </c>
      <c r="D717">
        <v>93650</v>
      </c>
      <c r="E717" t="str">
        <f t="shared" si="11"/>
        <v>ia.assorted_string like '%93650-07-2024%' or</v>
      </c>
    </row>
    <row r="718" spans="1:5" x14ac:dyDescent="0.25">
      <c r="A718" t="s">
        <v>829</v>
      </c>
      <c r="B718" t="s">
        <v>2487</v>
      </c>
      <c r="D718">
        <v>93655</v>
      </c>
      <c r="E718" t="str">
        <f t="shared" si="11"/>
        <v>ia.assorted_string like '%93655-07-2024%' or</v>
      </c>
    </row>
    <row r="719" spans="1:5" x14ac:dyDescent="0.25">
      <c r="A719" t="s">
        <v>830</v>
      </c>
      <c r="B719" t="s">
        <v>2487</v>
      </c>
      <c r="D719">
        <v>93656</v>
      </c>
      <c r="E719" t="str">
        <f t="shared" si="11"/>
        <v>ia.assorted_string like '%93656-07-2024%' or</v>
      </c>
    </row>
    <row r="720" spans="1:5" x14ac:dyDescent="0.25">
      <c r="A720" t="s">
        <v>831</v>
      </c>
      <c r="B720" t="s">
        <v>2487</v>
      </c>
      <c r="D720">
        <v>93662</v>
      </c>
      <c r="E720" t="str">
        <f t="shared" si="11"/>
        <v>ia.assorted_string like '%93662-07-2024%' or</v>
      </c>
    </row>
    <row r="721" spans="1:5" x14ac:dyDescent="0.25">
      <c r="A721" t="s">
        <v>832</v>
      </c>
      <c r="B721" t="s">
        <v>2487</v>
      </c>
      <c r="D721">
        <v>93663</v>
      </c>
      <c r="E721" t="str">
        <f t="shared" si="11"/>
        <v>ia.assorted_string like '%93663-07-2024%' or</v>
      </c>
    </row>
    <row r="722" spans="1:5" x14ac:dyDescent="0.25">
      <c r="A722" t="s">
        <v>833</v>
      </c>
      <c r="B722" t="s">
        <v>2487</v>
      </c>
      <c r="D722">
        <v>93664</v>
      </c>
      <c r="E722" t="str">
        <f t="shared" si="11"/>
        <v>ia.assorted_string like '%93664-07-2024%' or</v>
      </c>
    </row>
    <row r="723" spans="1:5" x14ac:dyDescent="0.25">
      <c r="A723" t="s">
        <v>834</v>
      </c>
      <c r="B723" t="s">
        <v>2487</v>
      </c>
      <c r="D723">
        <v>93665</v>
      </c>
      <c r="E723" t="str">
        <f t="shared" si="11"/>
        <v>ia.assorted_string like '%93665-07-2024%' or</v>
      </c>
    </row>
    <row r="724" spans="1:5" x14ac:dyDescent="0.25">
      <c r="A724" t="s">
        <v>835</v>
      </c>
      <c r="B724" t="s">
        <v>2487</v>
      </c>
      <c r="D724">
        <v>93666</v>
      </c>
      <c r="E724" t="str">
        <f t="shared" si="11"/>
        <v>ia.assorted_string like '%93666-07-2024%' or</v>
      </c>
    </row>
    <row r="725" spans="1:5" x14ac:dyDescent="0.25">
      <c r="A725" t="s">
        <v>836</v>
      </c>
      <c r="B725" t="s">
        <v>2487</v>
      </c>
      <c r="D725">
        <v>93677</v>
      </c>
      <c r="E725" t="str">
        <f t="shared" si="11"/>
        <v>ia.assorted_string like '%93677-07-2024%' or</v>
      </c>
    </row>
    <row r="726" spans="1:5" x14ac:dyDescent="0.25">
      <c r="A726" t="s">
        <v>837</v>
      </c>
      <c r="B726" t="s">
        <v>2487</v>
      </c>
      <c r="D726">
        <v>93679</v>
      </c>
      <c r="E726" t="str">
        <f t="shared" si="11"/>
        <v>ia.assorted_string like '%93679-07-2024%' or</v>
      </c>
    </row>
    <row r="727" spans="1:5" x14ac:dyDescent="0.25">
      <c r="A727" t="s">
        <v>838</v>
      </c>
      <c r="B727" t="s">
        <v>2487</v>
      </c>
      <c r="D727">
        <v>93680</v>
      </c>
      <c r="E727" t="str">
        <f t="shared" si="11"/>
        <v>ia.assorted_string like '%93680-07-2024%' or</v>
      </c>
    </row>
    <row r="728" spans="1:5" x14ac:dyDescent="0.25">
      <c r="A728" t="s">
        <v>839</v>
      </c>
      <c r="B728" t="s">
        <v>2487</v>
      </c>
      <c r="D728">
        <v>93681</v>
      </c>
      <c r="E728" t="str">
        <f t="shared" si="11"/>
        <v>ia.assorted_string like '%93681-07-2024%' or</v>
      </c>
    </row>
    <row r="729" spans="1:5" x14ac:dyDescent="0.25">
      <c r="A729" t="s">
        <v>840</v>
      </c>
      <c r="B729" t="s">
        <v>2487</v>
      </c>
      <c r="D729">
        <v>93682</v>
      </c>
      <c r="E729" t="str">
        <f t="shared" si="11"/>
        <v>ia.assorted_string like '%93682-07-2024%' or</v>
      </c>
    </row>
    <row r="730" spans="1:5" x14ac:dyDescent="0.25">
      <c r="A730" t="s">
        <v>841</v>
      </c>
      <c r="B730" t="s">
        <v>2487</v>
      </c>
      <c r="D730">
        <v>93683</v>
      </c>
      <c r="E730" t="str">
        <f t="shared" si="11"/>
        <v>ia.assorted_string like '%93683-07-2024%' or</v>
      </c>
    </row>
    <row r="731" spans="1:5" x14ac:dyDescent="0.25">
      <c r="A731" t="s">
        <v>842</v>
      </c>
      <c r="B731" t="s">
        <v>2487</v>
      </c>
      <c r="D731">
        <v>93686</v>
      </c>
      <c r="E731" t="str">
        <f t="shared" si="11"/>
        <v>ia.assorted_string like '%93686-07-2024%' or</v>
      </c>
    </row>
    <row r="732" spans="1:5" x14ac:dyDescent="0.25">
      <c r="A732" t="s">
        <v>843</v>
      </c>
      <c r="B732" t="s">
        <v>2487</v>
      </c>
      <c r="D732">
        <v>93687</v>
      </c>
      <c r="E732" t="str">
        <f t="shared" si="11"/>
        <v>ia.assorted_string like '%93687-07-2024%' or</v>
      </c>
    </row>
    <row r="733" spans="1:5" x14ac:dyDescent="0.25">
      <c r="A733" t="s">
        <v>844</v>
      </c>
      <c r="B733" t="s">
        <v>2487</v>
      </c>
      <c r="D733">
        <v>93689</v>
      </c>
      <c r="E733" t="str">
        <f t="shared" si="11"/>
        <v>ia.assorted_string like '%93689-07-2024%' or</v>
      </c>
    </row>
    <row r="734" spans="1:5" x14ac:dyDescent="0.25">
      <c r="A734" t="s">
        <v>845</v>
      </c>
      <c r="B734" t="s">
        <v>2487</v>
      </c>
      <c r="D734">
        <v>93690</v>
      </c>
      <c r="E734" t="str">
        <f t="shared" si="11"/>
        <v>ia.assorted_string like '%93690-07-2024%' or</v>
      </c>
    </row>
    <row r="735" spans="1:5" x14ac:dyDescent="0.25">
      <c r="A735" t="s">
        <v>846</v>
      </c>
      <c r="B735" t="s">
        <v>2487</v>
      </c>
      <c r="D735">
        <v>93692</v>
      </c>
      <c r="E735" t="str">
        <f t="shared" si="11"/>
        <v>ia.assorted_string like '%93692-07-2024%' or</v>
      </c>
    </row>
    <row r="736" spans="1:5" x14ac:dyDescent="0.25">
      <c r="A736" t="s">
        <v>847</v>
      </c>
      <c r="B736" t="s">
        <v>2487</v>
      </c>
      <c r="D736">
        <v>93693</v>
      </c>
      <c r="E736" t="str">
        <f t="shared" si="11"/>
        <v>ia.assorted_string like '%93693-07-2024%' or</v>
      </c>
    </row>
    <row r="737" spans="1:5" x14ac:dyDescent="0.25">
      <c r="A737" t="s">
        <v>848</v>
      </c>
      <c r="B737" t="s">
        <v>2487</v>
      </c>
      <c r="D737">
        <v>93695</v>
      </c>
      <c r="E737" t="str">
        <f t="shared" si="11"/>
        <v>ia.assorted_string like '%93695-07-2024%' or</v>
      </c>
    </row>
    <row r="738" spans="1:5" x14ac:dyDescent="0.25">
      <c r="A738" t="s">
        <v>849</v>
      </c>
      <c r="B738" t="s">
        <v>2487</v>
      </c>
      <c r="D738">
        <v>93697</v>
      </c>
      <c r="E738" t="str">
        <f t="shared" si="11"/>
        <v>ia.assorted_string like '%93697-07-2024%' or</v>
      </c>
    </row>
    <row r="739" spans="1:5" x14ac:dyDescent="0.25">
      <c r="A739" t="s">
        <v>850</v>
      </c>
      <c r="B739" t="s">
        <v>2487</v>
      </c>
      <c r="D739">
        <v>93699</v>
      </c>
      <c r="E739" t="str">
        <f t="shared" si="11"/>
        <v>ia.assorted_string like '%93699-07-2024%' or</v>
      </c>
    </row>
    <row r="740" spans="1:5" x14ac:dyDescent="0.25">
      <c r="A740" t="s">
        <v>851</v>
      </c>
      <c r="B740" t="s">
        <v>2487</v>
      </c>
      <c r="D740">
        <v>93700</v>
      </c>
      <c r="E740" t="str">
        <f t="shared" si="11"/>
        <v>ia.assorted_string like '%93700-07-2024%' or</v>
      </c>
    </row>
    <row r="741" spans="1:5" x14ac:dyDescent="0.25">
      <c r="A741" t="s">
        <v>852</v>
      </c>
      <c r="B741" t="s">
        <v>2487</v>
      </c>
      <c r="D741">
        <v>93705</v>
      </c>
      <c r="E741" t="str">
        <f t="shared" si="11"/>
        <v>ia.assorted_string like '%93705-07-2024%' or</v>
      </c>
    </row>
    <row r="742" spans="1:5" x14ac:dyDescent="0.25">
      <c r="A742" t="s">
        <v>853</v>
      </c>
      <c r="B742" t="s">
        <v>2487</v>
      </c>
      <c r="D742">
        <v>93706</v>
      </c>
      <c r="E742" t="str">
        <f t="shared" si="11"/>
        <v>ia.assorted_string like '%93706-07-2024%' or</v>
      </c>
    </row>
    <row r="743" spans="1:5" x14ac:dyDescent="0.25">
      <c r="A743" t="s">
        <v>854</v>
      </c>
      <c r="B743" t="s">
        <v>2487</v>
      </c>
      <c r="D743">
        <v>93707</v>
      </c>
      <c r="E743" t="str">
        <f t="shared" si="11"/>
        <v>ia.assorted_string like '%93707-07-2024%' or</v>
      </c>
    </row>
    <row r="744" spans="1:5" x14ac:dyDescent="0.25">
      <c r="A744" t="s">
        <v>855</v>
      </c>
      <c r="B744" t="s">
        <v>2487</v>
      </c>
      <c r="D744">
        <v>93708</v>
      </c>
      <c r="E744" t="str">
        <f t="shared" si="11"/>
        <v>ia.assorted_string like '%93708-07-2024%' or</v>
      </c>
    </row>
    <row r="745" spans="1:5" x14ac:dyDescent="0.25">
      <c r="A745" t="s">
        <v>856</v>
      </c>
      <c r="B745" t="s">
        <v>2487</v>
      </c>
      <c r="D745">
        <v>93709</v>
      </c>
      <c r="E745" t="str">
        <f t="shared" si="11"/>
        <v>ia.assorted_string like '%93709-07-2024%' or</v>
      </c>
    </row>
    <row r="746" spans="1:5" x14ac:dyDescent="0.25">
      <c r="A746" t="s">
        <v>857</v>
      </c>
      <c r="B746" t="s">
        <v>2487</v>
      </c>
      <c r="D746">
        <v>93712</v>
      </c>
      <c r="E746" t="str">
        <f t="shared" si="11"/>
        <v>ia.assorted_string like '%93712-07-2024%' or</v>
      </c>
    </row>
    <row r="747" spans="1:5" x14ac:dyDescent="0.25">
      <c r="A747" t="s">
        <v>858</v>
      </c>
      <c r="B747" t="s">
        <v>2487</v>
      </c>
      <c r="D747">
        <v>93713</v>
      </c>
      <c r="E747" t="str">
        <f t="shared" si="11"/>
        <v>ia.assorted_string like '%93713-07-2024%' or</v>
      </c>
    </row>
    <row r="748" spans="1:5" x14ac:dyDescent="0.25">
      <c r="A748" t="s">
        <v>859</v>
      </c>
      <c r="B748" t="s">
        <v>2487</v>
      </c>
      <c r="D748">
        <v>93716</v>
      </c>
      <c r="E748" t="str">
        <f t="shared" si="11"/>
        <v>ia.assorted_string like '%93716-07-2024%' or</v>
      </c>
    </row>
    <row r="749" spans="1:5" x14ac:dyDescent="0.25">
      <c r="A749" t="s">
        <v>860</v>
      </c>
      <c r="B749" t="s">
        <v>2487</v>
      </c>
      <c r="D749">
        <v>93717</v>
      </c>
      <c r="E749" t="str">
        <f t="shared" si="11"/>
        <v>ia.assorted_string like '%93717-07-2024%' or</v>
      </c>
    </row>
    <row r="750" spans="1:5" x14ac:dyDescent="0.25">
      <c r="A750" t="s">
        <v>861</v>
      </c>
      <c r="B750" t="s">
        <v>2487</v>
      </c>
      <c r="D750">
        <v>93718</v>
      </c>
      <c r="E750" t="str">
        <f t="shared" si="11"/>
        <v>ia.assorted_string like '%93718-07-2024%' or</v>
      </c>
    </row>
    <row r="751" spans="1:5" x14ac:dyDescent="0.25">
      <c r="A751" t="s">
        <v>862</v>
      </c>
      <c r="B751" t="s">
        <v>2487</v>
      </c>
      <c r="D751">
        <v>93725</v>
      </c>
      <c r="E751" t="str">
        <f t="shared" si="11"/>
        <v>ia.assorted_string like '%93725-07-2024%' or</v>
      </c>
    </row>
    <row r="752" spans="1:5" x14ac:dyDescent="0.25">
      <c r="A752" t="s">
        <v>863</v>
      </c>
      <c r="B752" t="s">
        <v>2487</v>
      </c>
      <c r="D752">
        <v>93734</v>
      </c>
      <c r="E752" t="str">
        <f t="shared" si="11"/>
        <v>ia.assorted_string like '%93734-07-2024%' or</v>
      </c>
    </row>
    <row r="753" spans="1:5" x14ac:dyDescent="0.25">
      <c r="A753" t="s">
        <v>864</v>
      </c>
      <c r="B753" t="s">
        <v>2487</v>
      </c>
      <c r="D753">
        <v>93736</v>
      </c>
      <c r="E753" t="str">
        <f t="shared" si="11"/>
        <v>ia.assorted_string like '%93736-07-2024%' or</v>
      </c>
    </row>
    <row r="754" spans="1:5" x14ac:dyDescent="0.25">
      <c r="A754" t="s">
        <v>865</v>
      </c>
      <c r="B754" t="s">
        <v>2487</v>
      </c>
      <c r="D754">
        <v>93744</v>
      </c>
      <c r="E754" t="str">
        <f t="shared" si="11"/>
        <v>ia.assorted_string like '%93744-07-2024%' or</v>
      </c>
    </row>
    <row r="755" spans="1:5" x14ac:dyDescent="0.25">
      <c r="A755" t="s">
        <v>866</v>
      </c>
      <c r="B755" t="s">
        <v>2487</v>
      </c>
      <c r="D755">
        <v>93746</v>
      </c>
      <c r="E755" t="str">
        <f t="shared" si="11"/>
        <v>ia.assorted_string like '%93746-07-2024%' or</v>
      </c>
    </row>
    <row r="756" spans="1:5" x14ac:dyDescent="0.25">
      <c r="A756" t="s">
        <v>867</v>
      </c>
      <c r="B756" t="s">
        <v>2487</v>
      </c>
      <c r="D756">
        <v>93752</v>
      </c>
      <c r="E756" t="str">
        <f t="shared" si="11"/>
        <v>ia.assorted_string like '%93752-07-2024%' or</v>
      </c>
    </row>
    <row r="757" spans="1:5" x14ac:dyDescent="0.25">
      <c r="A757" t="s">
        <v>868</v>
      </c>
      <c r="B757" t="s">
        <v>2487</v>
      </c>
      <c r="D757">
        <v>93754</v>
      </c>
      <c r="E757" t="str">
        <f t="shared" si="11"/>
        <v>ia.assorted_string like '%93754-07-2024%' or</v>
      </c>
    </row>
    <row r="758" spans="1:5" x14ac:dyDescent="0.25">
      <c r="A758" t="s">
        <v>869</v>
      </c>
      <c r="B758" t="s">
        <v>2487</v>
      </c>
      <c r="D758">
        <v>93765</v>
      </c>
      <c r="E758" t="str">
        <f t="shared" si="11"/>
        <v>ia.assorted_string like '%93765-07-2024%' or</v>
      </c>
    </row>
    <row r="759" spans="1:5" x14ac:dyDescent="0.25">
      <c r="A759" t="s">
        <v>870</v>
      </c>
      <c r="B759" t="s">
        <v>2487</v>
      </c>
      <c r="D759">
        <v>93767</v>
      </c>
      <c r="E759" t="str">
        <f t="shared" si="11"/>
        <v>ia.assorted_string like '%93767-07-2024%' or</v>
      </c>
    </row>
    <row r="760" spans="1:5" x14ac:dyDescent="0.25">
      <c r="A760" t="s">
        <v>871</v>
      </c>
      <c r="B760" t="s">
        <v>2487</v>
      </c>
      <c r="D760">
        <v>93771</v>
      </c>
      <c r="E760" t="str">
        <f t="shared" si="11"/>
        <v>ia.assorted_string like '%93771-07-2024%' or</v>
      </c>
    </row>
    <row r="761" spans="1:5" x14ac:dyDescent="0.25">
      <c r="A761" t="s">
        <v>872</v>
      </c>
      <c r="B761" t="s">
        <v>2487</v>
      </c>
      <c r="D761">
        <v>93773</v>
      </c>
      <c r="E761" t="str">
        <f t="shared" si="11"/>
        <v>ia.assorted_string like '%93773-07-2024%' or</v>
      </c>
    </row>
    <row r="762" spans="1:5" x14ac:dyDescent="0.25">
      <c r="A762" t="s">
        <v>873</v>
      </c>
      <c r="B762" t="s">
        <v>2487</v>
      </c>
      <c r="D762">
        <v>93774</v>
      </c>
      <c r="E762" t="str">
        <f t="shared" si="11"/>
        <v>ia.assorted_string like '%93774-07-2024%' or</v>
      </c>
    </row>
    <row r="763" spans="1:5" x14ac:dyDescent="0.25">
      <c r="A763" t="s">
        <v>874</v>
      </c>
      <c r="B763" t="s">
        <v>2487</v>
      </c>
      <c r="D763">
        <v>93777</v>
      </c>
      <c r="E763" t="str">
        <f t="shared" si="11"/>
        <v>ia.assorted_string like '%93777-07-2024%' or</v>
      </c>
    </row>
    <row r="764" spans="1:5" x14ac:dyDescent="0.25">
      <c r="A764" t="s">
        <v>875</v>
      </c>
      <c r="B764" t="s">
        <v>2487</v>
      </c>
      <c r="D764">
        <v>93779</v>
      </c>
      <c r="E764" t="str">
        <f t="shared" si="11"/>
        <v>ia.assorted_string like '%93779-07-2024%' or</v>
      </c>
    </row>
    <row r="765" spans="1:5" x14ac:dyDescent="0.25">
      <c r="A765" t="s">
        <v>876</v>
      </c>
      <c r="B765" t="s">
        <v>2487</v>
      </c>
      <c r="D765">
        <v>93780</v>
      </c>
      <c r="E765" t="str">
        <f t="shared" si="11"/>
        <v>ia.assorted_string like '%93780-07-2024%' or</v>
      </c>
    </row>
    <row r="766" spans="1:5" x14ac:dyDescent="0.25">
      <c r="A766" t="s">
        <v>877</v>
      </c>
      <c r="B766" t="s">
        <v>2487</v>
      </c>
      <c r="D766">
        <v>93781</v>
      </c>
      <c r="E766" t="str">
        <f t="shared" si="11"/>
        <v>ia.assorted_string like '%93781-07-2024%' or</v>
      </c>
    </row>
    <row r="767" spans="1:5" x14ac:dyDescent="0.25">
      <c r="A767" t="s">
        <v>878</v>
      </c>
      <c r="B767" t="s">
        <v>2487</v>
      </c>
      <c r="D767">
        <v>93783</v>
      </c>
      <c r="E767" t="str">
        <f t="shared" si="11"/>
        <v>ia.assorted_string like '%93783-07-2024%' or</v>
      </c>
    </row>
    <row r="768" spans="1:5" x14ac:dyDescent="0.25">
      <c r="A768" t="s">
        <v>879</v>
      </c>
      <c r="B768" t="s">
        <v>2487</v>
      </c>
      <c r="D768">
        <v>93784</v>
      </c>
      <c r="E768" t="str">
        <f t="shared" si="11"/>
        <v>ia.assorted_string like '%93784-07-2024%' or</v>
      </c>
    </row>
    <row r="769" spans="1:5" x14ac:dyDescent="0.25">
      <c r="A769" t="s">
        <v>880</v>
      </c>
      <c r="B769" t="s">
        <v>2487</v>
      </c>
      <c r="D769">
        <v>93789</v>
      </c>
      <c r="E769" t="str">
        <f t="shared" si="11"/>
        <v>ia.assorted_string like '%93789-07-2024%' or</v>
      </c>
    </row>
    <row r="770" spans="1:5" x14ac:dyDescent="0.25">
      <c r="A770" t="s">
        <v>881</v>
      </c>
      <c r="B770" t="s">
        <v>2487</v>
      </c>
      <c r="D770">
        <v>93792</v>
      </c>
      <c r="E770" t="str">
        <f t="shared" ref="E770:E833" si="12">"ia.assorted_string like '%"&amp;D770&amp;B770&amp;"%' or"</f>
        <v>ia.assorted_string like '%93792-07-2024%' or</v>
      </c>
    </row>
    <row r="771" spans="1:5" x14ac:dyDescent="0.25">
      <c r="A771" t="s">
        <v>882</v>
      </c>
      <c r="B771" t="s">
        <v>2487</v>
      </c>
      <c r="D771">
        <v>93793</v>
      </c>
      <c r="E771" t="str">
        <f t="shared" si="12"/>
        <v>ia.assorted_string like '%93793-07-2024%' or</v>
      </c>
    </row>
    <row r="772" spans="1:5" x14ac:dyDescent="0.25">
      <c r="A772" t="s">
        <v>883</v>
      </c>
      <c r="B772" t="s">
        <v>2487</v>
      </c>
      <c r="D772">
        <v>93794</v>
      </c>
      <c r="E772" t="str">
        <f t="shared" si="12"/>
        <v>ia.assorted_string like '%93794-07-2024%' or</v>
      </c>
    </row>
    <row r="773" spans="1:5" x14ac:dyDescent="0.25">
      <c r="A773" t="s">
        <v>884</v>
      </c>
      <c r="B773" t="s">
        <v>2487</v>
      </c>
      <c r="D773">
        <v>93796</v>
      </c>
      <c r="E773" t="str">
        <f t="shared" si="12"/>
        <v>ia.assorted_string like '%93796-07-2024%' or</v>
      </c>
    </row>
    <row r="774" spans="1:5" x14ac:dyDescent="0.25">
      <c r="A774" t="s">
        <v>885</v>
      </c>
      <c r="B774" t="s">
        <v>2487</v>
      </c>
      <c r="D774">
        <v>93797</v>
      </c>
      <c r="E774" t="str">
        <f t="shared" si="12"/>
        <v>ia.assorted_string like '%93797-07-2024%' or</v>
      </c>
    </row>
    <row r="775" spans="1:5" x14ac:dyDescent="0.25">
      <c r="A775" t="s">
        <v>886</v>
      </c>
      <c r="B775" t="s">
        <v>2487</v>
      </c>
      <c r="D775">
        <v>93800</v>
      </c>
      <c r="E775" t="str">
        <f t="shared" si="12"/>
        <v>ia.assorted_string like '%93800-07-2024%' or</v>
      </c>
    </row>
    <row r="776" spans="1:5" x14ac:dyDescent="0.25">
      <c r="A776" t="s">
        <v>887</v>
      </c>
      <c r="B776" t="s">
        <v>2487</v>
      </c>
      <c r="D776">
        <v>93804</v>
      </c>
      <c r="E776" t="str">
        <f t="shared" si="12"/>
        <v>ia.assorted_string like '%93804-07-2024%' or</v>
      </c>
    </row>
    <row r="777" spans="1:5" x14ac:dyDescent="0.25">
      <c r="A777" t="s">
        <v>888</v>
      </c>
      <c r="B777" t="s">
        <v>2487</v>
      </c>
      <c r="D777">
        <v>93812</v>
      </c>
      <c r="E777" t="str">
        <f t="shared" si="12"/>
        <v>ia.assorted_string like '%93812-07-2024%' or</v>
      </c>
    </row>
    <row r="778" spans="1:5" x14ac:dyDescent="0.25">
      <c r="A778" t="s">
        <v>889</v>
      </c>
      <c r="B778" t="s">
        <v>2487</v>
      </c>
      <c r="D778">
        <v>93814</v>
      </c>
      <c r="E778" t="str">
        <f t="shared" si="12"/>
        <v>ia.assorted_string like '%93814-07-2024%' or</v>
      </c>
    </row>
    <row r="779" spans="1:5" x14ac:dyDescent="0.25">
      <c r="A779" t="s">
        <v>890</v>
      </c>
      <c r="B779" t="s">
        <v>2487</v>
      </c>
      <c r="D779">
        <v>93819</v>
      </c>
      <c r="E779" t="str">
        <f t="shared" si="12"/>
        <v>ia.assorted_string like '%93819-07-2024%' or</v>
      </c>
    </row>
    <row r="780" spans="1:5" x14ac:dyDescent="0.25">
      <c r="A780" t="s">
        <v>891</v>
      </c>
      <c r="B780" t="s">
        <v>2487</v>
      </c>
      <c r="D780">
        <v>93838</v>
      </c>
      <c r="E780" t="str">
        <f t="shared" si="12"/>
        <v>ia.assorted_string like '%93838-07-2024%' or</v>
      </c>
    </row>
    <row r="781" spans="1:5" x14ac:dyDescent="0.25">
      <c r="A781" t="s">
        <v>892</v>
      </c>
      <c r="B781" t="s">
        <v>2487</v>
      </c>
      <c r="D781">
        <v>93841</v>
      </c>
      <c r="E781" t="str">
        <f t="shared" si="12"/>
        <v>ia.assorted_string like '%93841-07-2024%' or</v>
      </c>
    </row>
    <row r="782" spans="1:5" x14ac:dyDescent="0.25">
      <c r="A782" t="s">
        <v>893</v>
      </c>
      <c r="B782" t="s">
        <v>2487</v>
      </c>
      <c r="D782">
        <v>93848</v>
      </c>
      <c r="E782" t="str">
        <f t="shared" si="12"/>
        <v>ia.assorted_string like '%93848-07-2024%' or</v>
      </c>
    </row>
    <row r="783" spans="1:5" x14ac:dyDescent="0.25">
      <c r="A783" t="s">
        <v>894</v>
      </c>
      <c r="B783" t="s">
        <v>2487</v>
      </c>
      <c r="D783">
        <v>93856</v>
      </c>
      <c r="E783" t="str">
        <f t="shared" si="12"/>
        <v>ia.assorted_string like '%93856-07-2024%' or</v>
      </c>
    </row>
    <row r="784" spans="1:5" x14ac:dyDescent="0.25">
      <c r="A784" t="s">
        <v>895</v>
      </c>
      <c r="B784" t="s">
        <v>2487</v>
      </c>
      <c r="D784">
        <v>93857</v>
      </c>
      <c r="E784" t="str">
        <f t="shared" si="12"/>
        <v>ia.assorted_string like '%93857-07-2024%' or</v>
      </c>
    </row>
    <row r="785" spans="1:5" x14ac:dyDescent="0.25">
      <c r="A785" t="s">
        <v>896</v>
      </c>
      <c r="B785" t="s">
        <v>2487</v>
      </c>
      <c r="D785">
        <v>93859</v>
      </c>
      <c r="E785" t="str">
        <f t="shared" si="12"/>
        <v>ia.assorted_string like '%93859-07-2024%' or</v>
      </c>
    </row>
    <row r="786" spans="1:5" x14ac:dyDescent="0.25">
      <c r="A786" t="s">
        <v>897</v>
      </c>
      <c r="B786" t="s">
        <v>2487</v>
      </c>
      <c r="D786">
        <v>93860</v>
      </c>
      <c r="E786" t="str">
        <f t="shared" si="12"/>
        <v>ia.assorted_string like '%93860-07-2024%' or</v>
      </c>
    </row>
    <row r="787" spans="1:5" x14ac:dyDescent="0.25">
      <c r="A787" t="s">
        <v>898</v>
      </c>
      <c r="B787" t="s">
        <v>2487</v>
      </c>
      <c r="D787">
        <v>93864</v>
      </c>
      <c r="E787" t="str">
        <f t="shared" si="12"/>
        <v>ia.assorted_string like '%93864-07-2024%' or</v>
      </c>
    </row>
    <row r="788" spans="1:5" x14ac:dyDescent="0.25">
      <c r="A788" t="s">
        <v>899</v>
      </c>
      <c r="B788" t="s">
        <v>2487</v>
      </c>
      <c r="D788">
        <v>93874</v>
      </c>
      <c r="E788" t="str">
        <f t="shared" si="12"/>
        <v>ia.assorted_string like '%93874-07-2024%' or</v>
      </c>
    </row>
    <row r="789" spans="1:5" x14ac:dyDescent="0.25">
      <c r="A789" t="s">
        <v>900</v>
      </c>
      <c r="B789" t="s">
        <v>2487</v>
      </c>
      <c r="D789">
        <v>93875</v>
      </c>
      <c r="E789" t="str">
        <f t="shared" si="12"/>
        <v>ia.assorted_string like '%93875-07-2024%' or</v>
      </c>
    </row>
    <row r="790" spans="1:5" x14ac:dyDescent="0.25">
      <c r="A790" t="s">
        <v>901</v>
      </c>
      <c r="B790" t="s">
        <v>2487</v>
      </c>
      <c r="D790">
        <v>93877</v>
      </c>
      <c r="E790" t="str">
        <f t="shared" si="12"/>
        <v>ia.assorted_string like '%93877-07-2024%' or</v>
      </c>
    </row>
    <row r="791" spans="1:5" x14ac:dyDescent="0.25">
      <c r="A791" t="s">
        <v>902</v>
      </c>
      <c r="B791" t="s">
        <v>2487</v>
      </c>
      <c r="D791">
        <v>93880</v>
      </c>
      <c r="E791" t="str">
        <f t="shared" si="12"/>
        <v>ia.assorted_string like '%93880-07-2024%' or</v>
      </c>
    </row>
    <row r="792" spans="1:5" x14ac:dyDescent="0.25">
      <c r="A792" t="s">
        <v>903</v>
      </c>
      <c r="B792" t="s">
        <v>2487</v>
      </c>
      <c r="D792">
        <v>93886</v>
      </c>
      <c r="E792" t="str">
        <f t="shared" si="12"/>
        <v>ia.assorted_string like '%93886-07-2024%' or</v>
      </c>
    </row>
    <row r="793" spans="1:5" x14ac:dyDescent="0.25">
      <c r="A793" t="s">
        <v>904</v>
      </c>
      <c r="B793" t="s">
        <v>2487</v>
      </c>
      <c r="D793">
        <v>93888</v>
      </c>
      <c r="E793" t="str">
        <f t="shared" si="12"/>
        <v>ia.assorted_string like '%93888-07-2024%' or</v>
      </c>
    </row>
    <row r="794" spans="1:5" x14ac:dyDescent="0.25">
      <c r="A794" t="s">
        <v>905</v>
      </c>
      <c r="B794" t="s">
        <v>2487</v>
      </c>
      <c r="D794">
        <v>93892</v>
      </c>
      <c r="E794" t="str">
        <f t="shared" si="12"/>
        <v>ia.assorted_string like '%93892-07-2024%' or</v>
      </c>
    </row>
    <row r="795" spans="1:5" x14ac:dyDescent="0.25">
      <c r="A795" t="s">
        <v>906</v>
      </c>
      <c r="B795" t="s">
        <v>2487</v>
      </c>
      <c r="D795">
        <v>93893</v>
      </c>
      <c r="E795" t="str">
        <f t="shared" si="12"/>
        <v>ia.assorted_string like '%93893-07-2024%' or</v>
      </c>
    </row>
    <row r="796" spans="1:5" x14ac:dyDescent="0.25">
      <c r="A796" t="s">
        <v>907</v>
      </c>
      <c r="B796" t="s">
        <v>2487</v>
      </c>
      <c r="D796">
        <v>93897</v>
      </c>
      <c r="E796" t="str">
        <f t="shared" si="12"/>
        <v>ia.assorted_string like '%93897-07-2024%' or</v>
      </c>
    </row>
    <row r="797" spans="1:5" x14ac:dyDescent="0.25">
      <c r="A797" t="s">
        <v>908</v>
      </c>
      <c r="B797" t="s">
        <v>2487</v>
      </c>
      <c r="D797">
        <v>93898</v>
      </c>
      <c r="E797" t="str">
        <f t="shared" si="12"/>
        <v>ia.assorted_string like '%93898-07-2024%' or</v>
      </c>
    </row>
    <row r="798" spans="1:5" x14ac:dyDescent="0.25">
      <c r="A798" t="s">
        <v>909</v>
      </c>
      <c r="B798" t="s">
        <v>2487</v>
      </c>
      <c r="D798">
        <v>93901</v>
      </c>
      <c r="E798" t="str">
        <f t="shared" si="12"/>
        <v>ia.assorted_string like '%93901-07-2024%' or</v>
      </c>
    </row>
    <row r="799" spans="1:5" x14ac:dyDescent="0.25">
      <c r="A799" t="s">
        <v>910</v>
      </c>
      <c r="B799" t="s">
        <v>2487</v>
      </c>
      <c r="D799">
        <v>93903</v>
      </c>
      <c r="E799" t="str">
        <f t="shared" si="12"/>
        <v>ia.assorted_string like '%93903-07-2024%' or</v>
      </c>
    </row>
    <row r="800" spans="1:5" x14ac:dyDescent="0.25">
      <c r="A800" t="s">
        <v>911</v>
      </c>
      <c r="B800" t="s">
        <v>2487</v>
      </c>
      <c r="D800">
        <v>93905</v>
      </c>
      <c r="E800" t="str">
        <f t="shared" si="12"/>
        <v>ia.assorted_string like '%93905-07-2024%' or</v>
      </c>
    </row>
    <row r="801" spans="1:5" x14ac:dyDescent="0.25">
      <c r="A801" t="s">
        <v>912</v>
      </c>
      <c r="B801" t="s">
        <v>2487</v>
      </c>
      <c r="D801">
        <v>93908</v>
      </c>
      <c r="E801" t="str">
        <f t="shared" si="12"/>
        <v>ia.assorted_string like '%93908-07-2024%' or</v>
      </c>
    </row>
    <row r="802" spans="1:5" x14ac:dyDescent="0.25">
      <c r="A802" t="s">
        <v>913</v>
      </c>
      <c r="B802" t="s">
        <v>2487</v>
      </c>
      <c r="D802">
        <v>93909</v>
      </c>
      <c r="E802" t="str">
        <f t="shared" si="12"/>
        <v>ia.assorted_string like '%93909-07-2024%' or</v>
      </c>
    </row>
    <row r="803" spans="1:5" x14ac:dyDescent="0.25">
      <c r="A803" t="s">
        <v>914</v>
      </c>
      <c r="B803" t="s">
        <v>2487</v>
      </c>
      <c r="D803">
        <v>93910</v>
      </c>
      <c r="E803" t="str">
        <f t="shared" si="12"/>
        <v>ia.assorted_string like '%93910-07-2024%' or</v>
      </c>
    </row>
    <row r="804" spans="1:5" x14ac:dyDescent="0.25">
      <c r="A804" t="s">
        <v>915</v>
      </c>
      <c r="B804" t="s">
        <v>2487</v>
      </c>
      <c r="D804">
        <v>93912</v>
      </c>
      <c r="E804" t="str">
        <f t="shared" si="12"/>
        <v>ia.assorted_string like '%93912-07-2024%' or</v>
      </c>
    </row>
    <row r="805" spans="1:5" x14ac:dyDescent="0.25">
      <c r="A805" t="s">
        <v>916</v>
      </c>
      <c r="B805" t="s">
        <v>2487</v>
      </c>
      <c r="D805">
        <v>93913</v>
      </c>
      <c r="E805" t="str">
        <f t="shared" si="12"/>
        <v>ia.assorted_string like '%93913-07-2024%' or</v>
      </c>
    </row>
    <row r="806" spans="1:5" x14ac:dyDescent="0.25">
      <c r="A806" t="s">
        <v>917</v>
      </c>
      <c r="B806" t="s">
        <v>2487</v>
      </c>
      <c r="D806">
        <v>93914</v>
      </c>
      <c r="E806" t="str">
        <f t="shared" si="12"/>
        <v>ia.assorted_string like '%93914-07-2024%' or</v>
      </c>
    </row>
    <row r="807" spans="1:5" x14ac:dyDescent="0.25">
      <c r="A807" t="s">
        <v>918</v>
      </c>
      <c r="B807" t="s">
        <v>2487</v>
      </c>
      <c r="D807">
        <v>93915</v>
      </c>
      <c r="E807" t="str">
        <f t="shared" si="12"/>
        <v>ia.assorted_string like '%93915-07-2024%' or</v>
      </c>
    </row>
    <row r="808" spans="1:5" x14ac:dyDescent="0.25">
      <c r="A808" t="s">
        <v>919</v>
      </c>
      <c r="B808" t="s">
        <v>2487</v>
      </c>
      <c r="D808">
        <v>93918</v>
      </c>
      <c r="E808" t="str">
        <f t="shared" si="12"/>
        <v>ia.assorted_string like '%93918-07-2024%' or</v>
      </c>
    </row>
    <row r="809" spans="1:5" x14ac:dyDescent="0.25">
      <c r="A809" t="s">
        <v>920</v>
      </c>
      <c r="B809" t="s">
        <v>2487</v>
      </c>
      <c r="D809">
        <v>93919</v>
      </c>
      <c r="E809" t="str">
        <f t="shared" si="12"/>
        <v>ia.assorted_string like '%93919-07-2024%' or</v>
      </c>
    </row>
    <row r="810" spans="1:5" x14ac:dyDescent="0.25">
      <c r="A810" t="s">
        <v>921</v>
      </c>
      <c r="B810" t="s">
        <v>2487</v>
      </c>
      <c r="D810">
        <v>93920</v>
      </c>
      <c r="E810" t="str">
        <f t="shared" si="12"/>
        <v>ia.assorted_string like '%93920-07-2024%' or</v>
      </c>
    </row>
    <row r="811" spans="1:5" x14ac:dyDescent="0.25">
      <c r="A811" t="s">
        <v>922</v>
      </c>
      <c r="B811" t="s">
        <v>2487</v>
      </c>
      <c r="D811">
        <v>93922</v>
      </c>
      <c r="E811" t="str">
        <f t="shared" si="12"/>
        <v>ia.assorted_string like '%93922-07-2024%' or</v>
      </c>
    </row>
    <row r="812" spans="1:5" x14ac:dyDescent="0.25">
      <c r="A812" t="s">
        <v>923</v>
      </c>
      <c r="B812" t="s">
        <v>2487</v>
      </c>
      <c r="D812">
        <v>93923</v>
      </c>
      <c r="E812" t="str">
        <f t="shared" si="12"/>
        <v>ia.assorted_string like '%93923-07-2024%' or</v>
      </c>
    </row>
    <row r="813" spans="1:5" x14ac:dyDescent="0.25">
      <c r="A813" t="s">
        <v>924</v>
      </c>
      <c r="B813" t="s">
        <v>2487</v>
      </c>
      <c r="D813">
        <v>93924</v>
      </c>
      <c r="E813" t="str">
        <f t="shared" si="12"/>
        <v>ia.assorted_string like '%93924-07-2024%' or</v>
      </c>
    </row>
    <row r="814" spans="1:5" x14ac:dyDescent="0.25">
      <c r="A814" t="s">
        <v>925</v>
      </c>
      <c r="B814" t="s">
        <v>2487</v>
      </c>
      <c r="D814">
        <v>93925</v>
      </c>
      <c r="E814" t="str">
        <f t="shared" si="12"/>
        <v>ia.assorted_string like '%93925-07-2024%' or</v>
      </c>
    </row>
    <row r="815" spans="1:5" x14ac:dyDescent="0.25">
      <c r="A815" t="s">
        <v>926</v>
      </c>
      <c r="B815" t="s">
        <v>2487</v>
      </c>
      <c r="D815">
        <v>93931</v>
      </c>
      <c r="E815" t="str">
        <f t="shared" si="12"/>
        <v>ia.assorted_string like '%93931-07-2024%' or</v>
      </c>
    </row>
    <row r="816" spans="1:5" x14ac:dyDescent="0.25">
      <c r="A816" t="s">
        <v>927</v>
      </c>
      <c r="B816" t="s">
        <v>2487</v>
      </c>
      <c r="D816">
        <v>93932</v>
      </c>
      <c r="E816" t="str">
        <f t="shared" si="12"/>
        <v>ia.assorted_string like '%93932-07-2024%' or</v>
      </c>
    </row>
    <row r="817" spans="1:5" x14ac:dyDescent="0.25">
      <c r="A817" t="s">
        <v>928</v>
      </c>
      <c r="B817" t="s">
        <v>2487</v>
      </c>
      <c r="D817">
        <v>93934</v>
      </c>
      <c r="E817" t="str">
        <f t="shared" si="12"/>
        <v>ia.assorted_string like '%93934-07-2024%' or</v>
      </c>
    </row>
    <row r="818" spans="1:5" x14ac:dyDescent="0.25">
      <c r="A818" t="s">
        <v>929</v>
      </c>
      <c r="B818" t="s">
        <v>2487</v>
      </c>
      <c r="D818">
        <v>93935</v>
      </c>
      <c r="E818" t="str">
        <f t="shared" si="12"/>
        <v>ia.assorted_string like '%93935-07-2024%' or</v>
      </c>
    </row>
    <row r="819" spans="1:5" x14ac:dyDescent="0.25">
      <c r="A819" t="s">
        <v>930</v>
      </c>
      <c r="B819" t="s">
        <v>2487</v>
      </c>
      <c r="D819">
        <v>93936</v>
      </c>
      <c r="E819" t="str">
        <f t="shared" si="12"/>
        <v>ia.assorted_string like '%93936-07-2024%' or</v>
      </c>
    </row>
    <row r="820" spans="1:5" x14ac:dyDescent="0.25">
      <c r="A820" t="s">
        <v>931</v>
      </c>
      <c r="B820" t="s">
        <v>2487</v>
      </c>
      <c r="D820">
        <v>93937</v>
      </c>
      <c r="E820" t="str">
        <f t="shared" si="12"/>
        <v>ia.assorted_string like '%93937-07-2024%' or</v>
      </c>
    </row>
    <row r="821" spans="1:5" x14ac:dyDescent="0.25">
      <c r="A821" t="s">
        <v>932</v>
      </c>
      <c r="B821" t="s">
        <v>2487</v>
      </c>
      <c r="D821">
        <v>93938</v>
      </c>
      <c r="E821" t="str">
        <f t="shared" si="12"/>
        <v>ia.assorted_string like '%93938-07-2024%' or</v>
      </c>
    </row>
    <row r="822" spans="1:5" x14ac:dyDescent="0.25">
      <c r="A822" t="s">
        <v>933</v>
      </c>
      <c r="B822" t="s">
        <v>2487</v>
      </c>
      <c r="D822">
        <v>93944</v>
      </c>
      <c r="E822" t="str">
        <f t="shared" si="12"/>
        <v>ia.assorted_string like '%93944-07-2024%' or</v>
      </c>
    </row>
    <row r="823" spans="1:5" x14ac:dyDescent="0.25">
      <c r="A823" t="s">
        <v>934</v>
      </c>
      <c r="B823" t="s">
        <v>2487</v>
      </c>
      <c r="D823">
        <v>93945</v>
      </c>
      <c r="E823" t="str">
        <f t="shared" si="12"/>
        <v>ia.assorted_string like '%93945-07-2024%' or</v>
      </c>
    </row>
    <row r="824" spans="1:5" x14ac:dyDescent="0.25">
      <c r="A824" t="s">
        <v>935</v>
      </c>
      <c r="B824" t="s">
        <v>2487</v>
      </c>
      <c r="D824">
        <v>93946</v>
      </c>
      <c r="E824" t="str">
        <f t="shared" si="12"/>
        <v>ia.assorted_string like '%93946-07-2024%' or</v>
      </c>
    </row>
    <row r="825" spans="1:5" x14ac:dyDescent="0.25">
      <c r="A825" t="s">
        <v>936</v>
      </c>
      <c r="B825" t="s">
        <v>2487</v>
      </c>
      <c r="D825">
        <v>93948</v>
      </c>
      <c r="E825" t="str">
        <f t="shared" si="12"/>
        <v>ia.assorted_string like '%93948-07-2024%' or</v>
      </c>
    </row>
    <row r="826" spans="1:5" x14ac:dyDescent="0.25">
      <c r="A826" t="s">
        <v>937</v>
      </c>
      <c r="B826" t="s">
        <v>2487</v>
      </c>
      <c r="D826">
        <v>93949</v>
      </c>
      <c r="E826" t="str">
        <f t="shared" si="12"/>
        <v>ia.assorted_string like '%93949-07-2024%' or</v>
      </c>
    </row>
    <row r="827" spans="1:5" x14ac:dyDescent="0.25">
      <c r="A827" t="s">
        <v>938</v>
      </c>
      <c r="B827" t="s">
        <v>2487</v>
      </c>
      <c r="D827">
        <v>93950</v>
      </c>
      <c r="E827" t="str">
        <f t="shared" si="12"/>
        <v>ia.assorted_string like '%93950-07-2024%' or</v>
      </c>
    </row>
    <row r="828" spans="1:5" x14ac:dyDescent="0.25">
      <c r="A828" t="s">
        <v>939</v>
      </c>
      <c r="B828" t="s">
        <v>2487</v>
      </c>
      <c r="D828">
        <v>93951</v>
      </c>
      <c r="E828" t="str">
        <f t="shared" si="12"/>
        <v>ia.assorted_string like '%93951-07-2024%' or</v>
      </c>
    </row>
    <row r="829" spans="1:5" x14ac:dyDescent="0.25">
      <c r="A829" t="s">
        <v>940</v>
      </c>
      <c r="B829" t="s">
        <v>2487</v>
      </c>
      <c r="D829">
        <v>93952</v>
      </c>
      <c r="E829" t="str">
        <f t="shared" si="12"/>
        <v>ia.assorted_string like '%93952-07-2024%' or</v>
      </c>
    </row>
    <row r="830" spans="1:5" x14ac:dyDescent="0.25">
      <c r="A830" t="s">
        <v>941</v>
      </c>
      <c r="B830" t="s">
        <v>2487</v>
      </c>
      <c r="D830">
        <v>93953</v>
      </c>
      <c r="E830" t="str">
        <f t="shared" si="12"/>
        <v>ia.assorted_string like '%93953-07-2024%' or</v>
      </c>
    </row>
    <row r="831" spans="1:5" x14ac:dyDescent="0.25">
      <c r="A831" t="s">
        <v>942</v>
      </c>
      <c r="B831" t="s">
        <v>2487</v>
      </c>
      <c r="D831">
        <v>93955</v>
      </c>
      <c r="E831" t="str">
        <f t="shared" si="12"/>
        <v>ia.assorted_string like '%93955-07-2024%' or</v>
      </c>
    </row>
    <row r="832" spans="1:5" x14ac:dyDescent="0.25">
      <c r="A832" t="s">
        <v>943</v>
      </c>
      <c r="B832" t="s">
        <v>2487</v>
      </c>
      <c r="D832">
        <v>93956</v>
      </c>
      <c r="E832" t="str">
        <f t="shared" si="12"/>
        <v>ia.assorted_string like '%93956-07-2024%' or</v>
      </c>
    </row>
    <row r="833" spans="1:5" x14ac:dyDescent="0.25">
      <c r="A833" t="s">
        <v>944</v>
      </c>
      <c r="B833" t="s">
        <v>2487</v>
      </c>
      <c r="D833">
        <v>93957</v>
      </c>
      <c r="E833" t="str">
        <f t="shared" si="12"/>
        <v>ia.assorted_string like '%93957-07-2024%' or</v>
      </c>
    </row>
    <row r="834" spans="1:5" x14ac:dyDescent="0.25">
      <c r="A834" t="s">
        <v>945</v>
      </c>
      <c r="B834" t="s">
        <v>2487</v>
      </c>
      <c r="D834">
        <v>93958</v>
      </c>
      <c r="E834" t="str">
        <f t="shared" ref="E834:E897" si="13">"ia.assorted_string like '%"&amp;D834&amp;B834&amp;"%' or"</f>
        <v>ia.assorted_string like '%93958-07-2024%' or</v>
      </c>
    </row>
    <row r="835" spans="1:5" x14ac:dyDescent="0.25">
      <c r="A835" t="s">
        <v>946</v>
      </c>
      <c r="B835" t="s">
        <v>2487</v>
      </c>
      <c r="D835">
        <v>93959</v>
      </c>
      <c r="E835" t="str">
        <f t="shared" si="13"/>
        <v>ia.assorted_string like '%93959-07-2024%' or</v>
      </c>
    </row>
    <row r="836" spans="1:5" x14ac:dyDescent="0.25">
      <c r="A836" t="s">
        <v>947</v>
      </c>
      <c r="B836" t="s">
        <v>2487</v>
      </c>
      <c r="D836">
        <v>93960</v>
      </c>
      <c r="E836" t="str">
        <f t="shared" si="13"/>
        <v>ia.assorted_string like '%93960-07-2024%' or</v>
      </c>
    </row>
    <row r="837" spans="1:5" x14ac:dyDescent="0.25">
      <c r="A837" t="s">
        <v>948</v>
      </c>
      <c r="B837" t="s">
        <v>2487</v>
      </c>
      <c r="D837">
        <v>93961</v>
      </c>
      <c r="E837" t="str">
        <f t="shared" si="13"/>
        <v>ia.assorted_string like '%93961-07-2024%' or</v>
      </c>
    </row>
    <row r="838" spans="1:5" x14ac:dyDescent="0.25">
      <c r="A838" t="s">
        <v>949</v>
      </c>
      <c r="B838" t="s">
        <v>2487</v>
      </c>
      <c r="D838">
        <v>93962</v>
      </c>
      <c r="E838" t="str">
        <f t="shared" si="13"/>
        <v>ia.assorted_string like '%93962-07-2024%' or</v>
      </c>
    </row>
    <row r="839" spans="1:5" x14ac:dyDescent="0.25">
      <c r="A839" t="s">
        <v>950</v>
      </c>
      <c r="B839" t="s">
        <v>2487</v>
      </c>
      <c r="D839">
        <v>93963</v>
      </c>
      <c r="E839" t="str">
        <f t="shared" si="13"/>
        <v>ia.assorted_string like '%93963-07-2024%' or</v>
      </c>
    </row>
    <row r="840" spans="1:5" x14ac:dyDescent="0.25">
      <c r="A840" t="s">
        <v>951</v>
      </c>
      <c r="B840" t="s">
        <v>2487</v>
      </c>
      <c r="D840">
        <v>93964</v>
      </c>
      <c r="E840" t="str">
        <f t="shared" si="13"/>
        <v>ia.assorted_string like '%93964-07-2024%' or</v>
      </c>
    </row>
    <row r="841" spans="1:5" x14ac:dyDescent="0.25">
      <c r="A841" t="s">
        <v>952</v>
      </c>
      <c r="B841" t="s">
        <v>2487</v>
      </c>
      <c r="D841">
        <v>93965</v>
      </c>
      <c r="E841" t="str">
        <f t="shared" si="13"/>
        <v>ia.assorted_string like '%93965-07-2024%' or</v>
      </c>
    </row>
    <row r="842" spans="1:5" x14ac:dyDescent="0.25">
      <c r="A842" t="s">
        <v>953</v>
      </c>
      <c r="B842" t="s">
        <v>2487</v>
      </c>
      <c r="D842">
        <v>93966</v>
      </c>
      <c r="E842" t="str">
        <f t="shared" si="13"/>
        <v>ia.assorted_string like '%93966-07-2024%' or</v>
      </c>
    </row>
    <row r="843" spans="1:5" x14ac:dyDescent="0.25">
      <c r="A843" t="s">
        <v>954</v>
      </c>
      <c r="B843" t="s">
        <v>2487</v>
      </c>
      <c r="D843">
        <v>93967</v>
      </c>
      <c r="E843" t="str">
        <f t="shared" si="13"/>
        <v>ia.assorted_string like '%93967-07-2024%' or</v>
      </c>
    </row>
    <row r="844" spans="1:5" x14ac:dyDescent="0.25">
      <c r="A844" t="s">
        <v>955</v>
      </c>
      <c r="B844" t="s">
        <v>2487</v>
      </c>
      <c r="D844">
        <v>93968</v>
      </c>
      <c r="E844" t="str">
        <f t="shared" si="13"/>
        <v>ia.assorted_string like '%93968-07-2024%' or</v>
      </c>
    </row>
    <row r="845" spans="1:5" x14ac:dyDescent="0.25">
      <c r="A845" t="s">
        <v>956</v>
      </c>
      <c r="B845" t="s">
        <v>2487</v>
      </c>
      <c r="D845">
        <v>93969</v>
      </c>
      <c r="E845" t="str">
        <f t="shared" si="13"/>
        <v>ia.assorted_string like '%93969-07-2024%' or</v>
      </c>
    </row>
    <row r="846" spans="1:5" x14ac:dyDescent="0.25">
      <c r="A846" t="s">
        <v>957</v>
      </c>
      <c r="B846" t="s">
        <v>2487</v>
      </c>
      <c r="D846">
        <v>93974</v>
      </c>
      <c r="E846" t="str">
        <f t="shared" si="13"/>
        <v>ia.assorted_string like '%93974-07-2024%' or</v>
      </c>
    </row>
    <row r="847" spans="1:5" x14ac:dyDescent="0.25">
      <c r="A847" t="s">
        <v>958</v>
      </c>
      <c r="B847" t="s">
        <v>2487</v>
      </c>
      <c r="D847">
        <v>93975</v>
      </c>
      <c r="E847" t="str">
        <f t="shared" si="13"/>
        <v>ia.assorted_string like '%93975-07-2024%' or</v>
      </c>
    </row>
    <row r="848" spans="1:5" x14ac:dyDescent="0.25">
      <c r="A848" t="s">
        <v>959</v>
      </c>
      <c r="B848" t="s">
        <v>2487</v>
      </c>
      <c r="D848">
        <v>93982</v>
      </c>
      <c r="E848" t="str">
        <f t="shared" si="13"/>
        <v>ia.assorted_string like '%93982-07-2024%' or</v>
      </c>
    </row>
    <row r="849" spans="1:5" x14ac:dyDescent="0.25">
      <c r="A849" t="s">
        <v>960</v>
      </c>
      <c r="B849" t="s">
        <v>2487</v>
      </c>
      <c r="D849">
        <v>93983</v>
      </c>
      <c r="E849" t="str">
        <f t="shared" si="13"/>
        <v>ia.assorted_string like '%93983-07-2024%' or</v>
      </c>
    </row>
    <row r="850" spans="1:5" x14ac:dyDescent="0.25">
      <c r="A850" t="s">
        <v>961</v>
      </c>
      <c r="B850" t="s">
        <v>2487</v>
      </c>
      <c r="D850">
        <v>93985</v>
      </c>
      <c r="E850" t="str">
        <f t="shared" si="13"/>
        <v>ia.assorted_string like '%93985-07-2024%' or</v>
      </c>
    </row>
    <row r="851" spans="1:5" x14ac:dyDescent="0.25">
      <c r="A851" t="s">
        <v>962</v>
      </c>
      <c r="B851" t="s">
        <v>2487</v>
      </c>
      <c r="D851">
        <v>93986</v>
      </c>
      <c r="E851" t="str">
        <f t="shared" si="13"/>
        <v>ia.assorted_string like '%93986-07-2024%' or</v>
      </c>
    </row>
    <row r="852" spans="1:5" x14ac:dyDescent="0.25">
      <c r="A852" t="s">
        <v>963</v>
      </c>
      <c r="B852" t="s">
        <v>2487</v>
      </c>
      <c r="D852">
        <v>93987</v>
      </c>
      <c r="E852" t="str">
        <f t="shared" si="13"/>
        <v>ia.assorted_string like '%93987-07-2024%' or</v>
      </c>
    </row>
    <row r="853" spans="1:5" x14ac:dyDescent="0.25">
      <c r="A853" t="s">
        <v>964</v>
      </c>
      <c r="B853" t="s">
        <v>2487</v>
      </c>
      <c r="D853">
        <v>93988</v>
      </c>
      <c r="E853" t="str">
        <f t="shared" si="13"/>
        <v>ia.assorted_string like '%93988-07-2024%' or</v>
      </c>
    </row>
    <row r="854" spans="1:5" x14ac:dyDescent="0.25">
      <c r="A854" t="s">
        <v>965</v>
      </c>
      <c r="B854" t="s">
        <v>2487</v>
      </c>
      <c r="D854">
        <v>93989</v>
      </c>
      <c r="E854" t="str">
        <f t="shared" si="13"/>
        <v>ia.assorted_string like '%93989-07-2024%' or</v>
      </c>
    </row>
    <row r="855" spans="1:5" x14ac:dyDescent="0.25">
      <c r="A855" t="s">
        <v>966</v>
      </c>
      <c r="B855" t="s">
        <v>2487</v>
      </c>
      <c r="D855">
        <v>93991</v>
      </c>
      <c r="E855" t="str">
        <f t="shared" si="13"/>
        <v>ia.assorted_string like '%93991-07-2024%' or</v>
      </c>
    </row>
    <row r="856" spans="1:5" x14ac:dyDescent="0.25">
      <c r="A856" t="s">
        <v>967</v>
      </c>
      <c r="B856" t="s">
        <v>2487</v>
      </c>
      <c r="D856">
        <v>93992</v>
      </c>
      <c r="E856" t="str">
        <f t="shared" si="13"/>
        <v>ia.assorted_string like '%93992-07-2024%' or</v>
      </c>
    </row>
    <row r="857" spans="1:5" x14ac:dyDescent="0.25">
      <c r="A857" t="s">
        <v>968</v>
      </c>
      <c r="B857" t="s">
        <v>2487</v>
      </c>
      <c r="D857">
        <v>93993</v>
      </c>
      <c r="E857" t="str">
        <f t="shared" si="13"/>
        <v>ia.assorted_string like '%93993-07-2024%' or</v>
      </c>
    </row>
    <row r="858" spans="1:5" x14ac:dyDescent="0.25">
      <c r="A858" t="s">
        <v>969</v>
      </c>
      <c r="B858" t="s">
        <v>2487</v>
      </c>
      <c r="D858">
        <v>93994</v>
      </c>
      <c r="E858" t="str">
        <f t="shared" si="13"/>
        <v>ia.assorted_string like '%93994-07-2024%' or</v>
      </c>
    </row>
    <row r="859" spans="1:5" x14ac:dyDescent="0.25">
      <c r="A859" t="s">
        <v>970</v>
      </c>
      <c r="B859" t="s">
        <v>2487</v>
      </c>
      <c r="D859">
        <v>94022</v>
      </c>
      <c r="E859" t="str">
        <f t="shared" si="13"/>
        <v>ia.assorted_string like '%94022-07-2024%' or</v>
      </c>
    </row>
    <row r="860" spans="1:5" x14ac:dyDescent="0.25">
      <c r="A860" t="s">
        <v>971</v>
      </c>
      <c r="B860" t="s">
        <v>2487</v>
      </c>
      <c r="D860">
        <v>94030</v>
      </c>
      <c r="E860" t="str">
        <f t="shared" si="13"/>
        <v>ia.assorted_string like '%94030-07-2024%' or</v>
      </c>
    </row>
    <row r="861" spans="1:5" x14ac:dyDescent="0.25">
      <c r="A861" t="s">
        <v>972</v>
      </c>
      <c r="B861" t="s">
        <v>2487</v>
      </c>
      <c r="D861">
        <v>94031</v>
      </c>
      <c r="E861" t="str">
        <f t="shared" si="13"/>
        <v>ia.assorted_string like '%94031-07-2024%' or</v>
      </c>
    </row>
    <row r="862" spans="1:5" x14ac:dyDescent="0.25">
      <c r="A862" t="s">
        <v>973</v>
      </c>
      <c r="B862" t="s">
        <v>2487</v>
      </c>
      <c r="D862">
        <v>94036</v>
      </c>
      <c r="E862" t="str">
        <f t="shared" si="13"/>
        <v>ia.assorted_string like '%94036-07-2024%' or</v>
      </c>
    </row>
    <row r="863" spans="1:5" x14ac:dyDescent="0.25">
      <c r="A863" t="s">
        <v>974</v>
      </c>
      <c r="B863" t="s">
        <v>2487</v>
      </c>
      <c r="D863">
        <v>94039</v>
      </c>
      <c r="E863" t="str">
        <f t="shared" si="13"/>
        <v>ia.assorted_string like '%94039-07-2024%' or</v>
      </c>
    </row>
    <row r="864" spans="1:5" x14ac:dyDescent="0.25">
      <c r="A864" t="s">
        <v>975</v>
      </c>
      <c r="B864" t="s">
        <v>2487</v>
      </c>
      <c r="D864">
        <v>94040</v>
      </c>
      <c r="E864" t="str">
        <f t="shared" si="13"/>
        <v>ia.assorted_string like '%94040-07-2024%' or</v>
      </c>
    </row>
    <row r="865" spans="1:5" x14ac:dyDescent="0.25">
      <c r="A865" t="s">
        <v>976</v>
      </c>
      <c r="B865" t="s">
        <v>2487</v>
      </c>
      <c r="D865">
        <v>94041</v>
      </c>
      <c r="E865" t="str">
        <f t="shared" si="13"/>
        <v>ia.assorted_string like '%94041-07-2024%' or</v>
      </c>
    </row>
    <row r="866" spans="1:5" x14ac:dyDescent="0.25">
      <c r="A866" t="s">
        <v>977</v>
      </c>
      <c r="B866" t="s">
        <v>2487</v>
      </c>
      <c r="D866">
        <v>94043</v>
      </c>
      <c r="E866" t="str">
        <f t="shared" si="13"/>
        <v>ia.assorted_string like '%94043-07-2024%' or</v>
      </c>
    </row>
    <row r="867" spans="1:5" x14ac:dyDescent="0.25">
      <c r="A867" t="s">
        <v>978</v>
      </c>
      <c r="B867" t="s">
        <v>2487</v>
      </c>
      <c r="D867">
        <v>94047</v>
      </c>
      <c r="E867" t="str">
        <f t="shared" si="13"/>
        <v>ia.assorted_string like '%94047-07-2024%' or</v>
      </c>
    </row>
    <row r="868" spans="1:5" x14ac:dyDescent="0.25">
      <c r="A868" t="s">
        <v>979</v>
      </c>
      <c r="B868" t="s">
        <v>2487</v>
      </c>
      <c r="D868">
        <v>94049</v>
      </c>
      <c r="E868" t="str">
        <f t="shared" si="13"/>
        <v>ia.assorted_string like '%94049-07-2024%' or</v>
      </c>
    </row>
    <row r="869" spans="1:5" x14ac:dyDescent="0.25">
      <c r="A869" t="s">
        <v>980</v>
      </c>
      <c r="B869" t="s">
        <v>2487</v>
      </c>
      <c r="D869">
        <v>94052</v>
      </c>
      <c r="E869" t="str">
        <f t="shared" si="13"/>
        <v>ia.assorted_string like '%94052-07-2024%' or</v>
      </c>
    </row>
    <row r="870" spans="1:5" x14ac:dyDescent="0.25">
      <c r="A870" t="s">
        <v>981</v>
      </c>
      <c r="B870" t="s">
        <v>2487</v>
      </c>
      <c r="D870">
        <v>94053</v>
      </c>
      <c r="E870" t="str">
        <f t="shared" si="13"/>
        <v>ia.assorted_string like '%94053-07-2024%' or</v>
      </c>
    </row>
    <row r="871" spans="1:5" x14ac:dyDescent="0.25">
      <c r="A871" t="s">
        <v>982</v>
      </c>
      <c r="B871" t="s">
        <v>2487</v>
      </c>
      <c r="D871">
        <v>94054</v>
      </c>
      <c r="E871" t="str">
        <f t="shared" si="13"/>
        <v>ia.assorted_string like '%94054-07-2024%' or</v>
      </c>
    </row>
    <row r="872" spans="1:5" x14ac:dyDescent="0.25">
      <c r="A872" t="s">
        <v>983</v>
      </c>
      <c r="B872" t="s">
        <v>2487</v>
      </c>
      <c r="D872">
        <v>94055</v>
      </c>
      <c r="E872" t="str">
        <f t="shared" si="13"/>
        <v>ia.assorted_string like '%94055-07-2024%' or</v>
      </c>
    </row>
    <row r="873" spans="1:5" x14ac:dyDescent="0.25">
      <c r="A873" t="s">
        <v>984</v>
      </c>
      <c r="B873" t="s">
        <v>2487</v>
      </c>
      <c r="D873">
        <v>94056</v>
      </c>
      <c r="E873" t="str">
        <f t="shared" si="13"/>
        <v>ia.assorted_string like '%94056-07-2024%' or</v>
      </c>
    </row>
    <row r="874" spans="1:5" x14ac:dyDescent="0.25">
      <c r="A874" t="s">
        <v>985</v>
      </c>
      <c r="B874" t="s">
        <v>2487</v>
      </c>
      <c r="D874">
        <v>94058</v>
      </c>
      <c r="E874" t="str">
        <f t="shared" si="13"/>
        <v>ia.assorted_string like '%94058-07-2024%' or</v>
      </c>
    </row>
    <row r="875" spans="1:5" x14ac:dyDescent="0.25">
      <c r="A875" t="s">
        <v>986</v>
      </c>
      <c r="B875" t="s">
        <v>2487</v>
      </c>
      <c r="D875">
        <v>94059</v>
      </c>
      <c r="E875" t="str">
        <f t="shared" si="13"/>
        <v>ia.assorted_string like '%94059-07-2024%' or</v>
      </c>
    </row>
    <row r="876" spans="1:5" x14ac:dyDescent="0.25">
      <c r="A876" t="s">
        <v>987</v>
      </c>
      <c r="B876" t="s">
        <v>2487</v>
      </c>
      <c r="D876">
        <v>94060</v>
      </c>
      <c r="E876" t="str">
        <f t="shared" si="13"/>
        <v>ia.assorted_string like '%94060-07-2024%' or</v>
      </c>
    </row>
    <row r="877" spans="1:5" x14ac:dyDescent="0.25">
      <c r="A877" t="s">
        <v>988</v>
      </c>
      <c r="B877" t="s">
        <v>2487</v>
      </c>
      <c r="D877">
        <v>94074</v>
      </c>
      <c r="E877" t="str">
        <f t="shared" si="13"/>
        <v>ia.assorted_string like '%94074-07-2024%' or</v>
      </c>
    </row>
    <row r="878" spans="1:5" x14ac:dyDescent="0.25">
      <c r="A878" t="s">
        <v>989</v>
      </c>
      <c r="B878" t="s">
        <v>2487</v>
      </c>
      <c r="D878">
        <v>94075</v>
      </c>
      <c r="E878" t="str">
        <f t="shared" si="13"/>
        <v>ia.assorted_string like '%94075-07-2024%' or</v>
      </c>
    </row>
    <row r="879" spans="1:5" x14ac:dyDescent="0.25">
      <c r="A879" t="s">
        <v>990</v>
      </c>
      <c r="B879" t="s">
        <v>2487</v>
      </c>
      <c r="D879">
        <v>94080</v>
      </c>
      <c r="E879" t="str">
        <f t="shared" si="13"/>
        <v>ia.assorted_string like '%94080-07-2024%' or</v>
      </c>
    </row>
    <row r="880" spans="1:5" x14ac:dyDescent="0.25">
      <c r="A880" t="s">
        <v>991</v>
      </c>
      <c r="B880" t="s">
        <v>2487</v>
      </c>
      <c r="D880">
        <v>94081</v>
      </c>
      <c r="E880" t="str">
        <f t="shared" si="13"/>
        <v>ia.assorted_string like '%94081-07-2024%' or</v>
      </c>
    </row>
    <row r="881" spans="1:5" x14ac:dyDescent="0.25">
      <c r="A881" t="s">
        <v>992</v>
      </c>
      <c r="B881" t="s">
        <v>2487</v>
      </c>
      <c r="D881">
        <v>94082</v>
      </c>
      <c r="E881" t="str">
        <f t="shared" si="13"/>
        <v>ia.assorted_string like '%94082-07-2024%' or</v>
      </c>
    </row>
    <row r="882" spans="1:5" x14ac:dyDescent="0.25">
      <c r="A882" t="s">
        <v>993</v>
      </c>
      <c r="B882" t="s">
        <v>2487</v>
      </c>
      <c r="D882">
        <v>94083</v>
      </c>
      <c r="E882" t="str">
        <f t="shared" si="13"/>
        <v>ia.assorted_string like '%94083-07-2024%' or</v>
      </c>
    </row>
    <row r="883" spans="1:5" x14ac:dyDescent="0.25">
      <c r="A883" t="s">
        <v>994</v>
      </c>
      <c r="B883" t="s">
        <v>2487</v>
      </c>
      <c r="D883">
        <v>94093</v>
      </c>
      <c r="E883" t="str">
        <f t="shared" si="13"/>
        <v>ia.assorted_string like '%94093-07-2024%' or</v>
      </c>
    </row>
    <row r="884" spans="1:5" x14ac:dyDescent="0.25">
      <c r="A884" t="s">
        <v>995</v>
      </c>
      <c r="B884" t="s">
        <v>2487</v>
      </c>
      <c r="D884">
        <v>94094</v>
      </c>
      <c r="E884" t="str">
        <f t="shared" si="13"/>
        <v>ia.assorted_string like '%94094-07-2024%' or</v>
      </c>
    </row>
    <row r="885" spans="1:5" x14ac:dyDescent="0.25">
      <c r="A885" t="s">
        <v>996</v>
      </c>
      <c r="B885" t="s">
        <v>2487</v>
      </c>
      <c r="D885">
        <v>94098</v>
      </c>
      <c r="E885" t="str">
        <f t="shared" si="13"/>
        <v>ia.assorted_string like '%94098-07-2024%' or</v>
      </c>
    </row>
    <row r="886" spans="1:5" x14ac:dyDescent="0.25">
      <c r="A886" t="s">
        <v>997</v>
      </c>
      <c r="B886" t="s">
        <v>2487</v>
      </c>
      <c r="D886">
        <v>94099</v>
      </c>
      <c r="E886" t="str">
        <f t="shared" si="13"/>
        <v>ia.assorted_string like '%94099-07-2024%' or</v>
      </c>
    </row>
    <row r="887" spans="1:5" x14ac:dyDescent="0.25">
      <c r="A887" t="s">
        <v>998</v>
      </c>
      <c r="B887" t="s">
        <v>2487</v>
      </c>
      <c r="D887">
        <v>94100</v>
      </c>
      <c r="E887" t="str">
        <f t="shared" si="13"/>
        <v>ia.assorted_string like '%94100-07-2024%' or</v>
      </c>
    </row>
    <row r="888" spans="1:5" x14ac:dyDescent="0.25">
      <c r="A888" t="s">
        <v>999</v>
      </c>
      <c r="B888" t="s">
        <v>2487</v>
      </c>
      <c r="D888">
        <v>94101</v>
      </c>
      <c r="E888" t="str">
        <f t="shared" si="13"/>
        <v>ia.assorted_string like '%94101-07-2024%' or</v>
      </c>
    </row>
    <row r="889" spans="1:5" x14ac:dyDescent="0.25">
      <c r="A889" t="s">
        <v>1000</v>
      </c>
      <c r="B889" t="s">
        <v>2487</v>
      </c>
      <c r="D889">
        <v>94102</v>
      </c>
      <c r="E889" t="str">
        <f t="shared" si="13"/>
        <v>ia.assorted_string like '%94102-07-2024%' or</v>
      </c>
    </row>
    <row r="890" spans="1:5" x14ac:dyDescent="0.25">
      <c r="A890" t="s">
        <v>1001</v>
      </c>
      <c r="B890" t="s">
        <v>2487</v>
      </c>
      <c r="D890">
        <v>94103</v>
      </c>
      <c r="E890" t="str">
        <f t="shared" si="13"/>
        <v>ia.assorted_string like '%94103-07-2024%' or</v>
      </c>
    </row>
    <row r="891" spans="1:5" x14ac:dyDescent="0.25">
      <c r="A891" t="s">
        <v>1002</v>
      </c>
      <c r="B891" t="s">
        <v>2487</v>
      </c>
      <c r="D891">
        <v>94130</v>
      </c>
      <c r="E891" t="str">
        <f t="shared" si="13"/>
        <v>ia.assorted_string like '%94130-07-2024%' or</v>
      </c>
    </row>
    <row r="892" spans="1:5" x14ac:dyDescent="0.25">
      <c r="A892" t="s">
        <v>1003</v>
      </c>
      <c r="B892" t="s">
        <v>2487</v>
      </c>
      <c r="D892">
        <v>94135</v>
      </c>
      <c r="E892" t="str">
        <f t="shared" si="13"/>
        <v>ia.assorted_string like '%94135-07-2024%' or</v>
      </c>
    </row>
    <row r="893" spans="1:5" x14ac:dyDescent="0.25">
      <c r="A893" t="s">
        <v>1004</v>
      </c>
      <c r="B893" t="s">
        <v>2487</v>
      </c>
      <c r="D893">
        <v>94136</v>
      </c>
      <c r="E893" t="str">
        <f t="shared" si="13"/>
        <v>ia.assorted_string like '%94136-07-2024%' or</v>
      </c>
    </row>
    <row r="894" spans="1:5" x14ac:dyDescent="0.25">
      <c r="A894" t="s">
        <v>1005</v>
      </c>
      <c r="B894" t="s">
        <v>2487</v>
      </c>
      <c r="D894">
        <v>94142</v>
      </c>
      <c r="E894" t="str">
        <f t="shared" si="13"/>
        <v>ia.assorted_string like '%94142-07-2024%' or</v>
      </c>
    </row>
    <row r="895" spans="1:5" x14ac:dyDescent="0.25">
      <c r="A895" t="s">
        <v>1006</v>
      </c>
      <c r="B895" t="s">
        <v>2487</v>
      </c>
      <c r="D895">
        <v>94144</v>
      </c>
      <c r="E895" t="str">
        <f t="shared" si="13"/>
        <v>ia.assorted_string like '%94144-07-2024%' or</v>
      </c>
    </row>
    <row r="896" spans="1:5" x14ac:dyDescent="0.25">
      <c r="A896" t="s">
        <v>1007</v>
      </c>
      <c r="B896" t="s">
        <v>2487</v>
      </c>
      <c r="D896">
        <v>94145</v>
      </c>
      <c r="E896" t="str">
        <f t="shared" si="13"/>
        <v>ia.assorted_string like '%94145-07-2024%' or</v>
      </c>
    </row>
    <row r="897" spans="1:5" x14ac:dyDescent="0.25">
      <c r="A897" t="s">
        <v>1008</v>
      </c>
      <c r="B897" t="s">
        <v>2487</v>
      </c>
      <c r="D897">
        <v>94146</v>
      </c>
      <c r="E897" t="str">
        <f t="shared" si="13"/>
        <v>ia.assorted_string like '%94146-07-2024%' or</v>
      </c>
    </row>
    <row r="898" spans="1:5" x14ac:dyDescent="0.25">
      <c r="A898" t="s">
        <v>1009</v>
      </c>
      <c r="B898" t="s">
        <v>2487</v>
      </c>
      <c r="D898">
        <v>94148</v>
      </c>
      <c r="E898" t="str">
        <f t="shared" ref="E898:E960" si="14">"ia.assorted_string like '%"&amp;D898&amp;B898&amp;"%' or"</f>
        <v>ia.assorted_string like '%94148-07-2024%' or</v>
      </c>
    </row>
    <row r="899" spans="1:5" x14ac:dyDescent="0.25">
      <c r="A899" t="s">
        <v>1010</v>
      </c>
      <c r="B899" t="s">
        <v>2487</v>
      </c>
      <c r="D899">
        <v>94149</v>
      </c>
      <c r="E899" t="str">
        <f t="shared" si="14"/>
        <v>ia.assorted_string like '%94149-07-2024%' or</v>
      </c>
    </row>
    <row r="900" spans="1:5" x14ac:dyDescent="0.25">
      <c r="A900" t="s">
        <v>1011</v>
      </c>
      <c r="B900" t="s">
        <v>2487</v>
      </c>
      <c r="D900">
        <v>94151</v>
      </c>
      <c r="E900" t="str">
        <f t="shared" si="14"/>
        <v>ia.assorted_string like '%94151-07-2024%' or</v>
      </c>
    </row>
    <row r="901" spans="1:5" x14ac:dyDescent="0.25">
      <c r="A901" t="s">
        <v>1012</v>
      </c>
      <c r="B901" t="s">
        <v>2487</v>
      </c>
      <c r="D901">
        <v>94152</v>
      </c>
      <c r="E901" t="str">
        <f t="shared" si="14"/>
        <v>ia.assorted_string like '%94152-07-2024%' or</v>
      </c>
    </row>
    <row r="902" spans="1:5" x14ac:dyDescent="0.25">
      <c r="A902" t="s">
        <v>1013</v>
      </c>
      <c r="B902" t="s">
        <v>2487</v>
      </c>
      <c r="D902">
        <v>94153</v>
      </c>
      <c r="E902" t="str">
        <f t="shared" si="14"/>
        <v>ia.assorted_string like '%94153-07-2024%' or</v>
      </c>
    </row>
    <row r="903" spans="1:5" x14ac:dyDescent="0.25">
      <c r="A903" t="s">
        <v>1014</v>
      </c>
      <c r="B903" t="s">
        <v>2487</v>
      </c>
      <c r="D903">
        <v>94154</v>
      </c>
      <c r="E903" t="str">
        <f t="shared" si="14"/>
        <v>ia.assorted_string like '%94154-07-2024%' or</v>
      </c>
    </row>
    <row r="904" spans="1:5" x14ac:dyDescent="0.25">
      <c r="A904" t="s">
        <v>1015</v>
      </c>
      <c r="B904" t="s">
        <v>2487</v>
      </c>
      <c r="D904">
        <v>94156</v>
      </c>
      <c r="E904" t="str">
        <f t="shared" si="14"/>
        <v>ia.assorted_string like '%94156-07-2024%' or</v>
      </c>
    </row>
    <row r="905" spans="1:5" x14ac:dyDescent="0.25">
      <c r="A905" t="s">
        <v>1016</v>
      </c>
      <c r="B905" t="s">
        <v>2487</v>
      </c>
      <c r="D905">
        <v>94157</v>
      </c>
      <c r="E905" t="str">
        <f t="shared" si="14"/>
        <v>ia.assorted_string like '%94157-07-2024%' or</v>
      </c>
    </row>
    <row r="906" spans="1:5" x14ac:dyDescent="0.25">
      <c r="A906" t="s">
        <v>1017</v>
      </c>
      <c r="B906" t="s">
        <v>2487</v>
      </c>
      <c r="D906">
        <v>94159</v>
      </c>
      <c r="E906" t="str">
        <f t="shared" si="14"/>
        <v>ia.assorted_string like '%94159-07-2024%' or</v>
      </c>
    </row>
    <row r="907" spans="1:5" x14ac:dyDescent="0.25">
      <c r="A907" t="s">
        <v>1018</v>
      </c>
      <c r="B907" t="s">
        <v>2487</v>
      </c>
      <c r="D907">
        <v>94161</v>
      </c>
      <c r="E907" t="str">
        <f t="shared" si="14"/>
        <v>ia.assorted_string like '%94161-07-2024%' or</v>
      </c>
    </row>
    <row r="908" spans="1:5" x14ac:dyDescent="0.25">
      <c r="A908" t="s">
        <v>1019</v>
      </c>
      <c r="B908" t="s">
        <v>2487</v>
      </c>
      <c r="D908">
        <v>94163</v>
      </c>
      <c r="E908" t="str">
        <f t="shared" si="14"/>
        <v>ia.assorted_string like '%94163-07-2024%' or</v>
      </c>
    </row>
    <row r="909" spans="1:5" x14ac:dyDescent="0.25">
      <c r="A909" t="s">
        <v>1020</v>
      </c>
      <c r="B909" t="s">
        <v>2487</v>
      </c>
      <c r="D909">
        <v>94165</v>
      </c>
      <c r="E909" t="str">
        <f t="shared" si="14"/>
        <v>ia.assorted_string like '%94165-07-2024%' or</v>
      </c>
    </row>
    <row r="910" spans="1:5" x14ac:dyDescent="0.25">
      <c r="A910" t="s">
        <v>1021</v>
      </c>
      <c r="B910" t="s">
        <v>2487</v>
      </c>
      <c r="D910">
        <v>94173</v>
      </c>
      <c r="E910" t="str">
        <f t="shared" si="14"/>
        <v>ia.assorted_string like '%94173-07-2024%' or</v>
      </c>
    </row>
    <row r="911" spans="1:5" x14ac:dyDescent="0.25">
      <c r="A911" t="s">
        <v>1022</v>
      </c>
      <c r="B911" t="s">
        <v>2487</v>
      </c>
      <c r="D911">
        <v>94175</v>
      </c>
      <c r="E911" t="str">
        <f t="shared" si="14"/>
        <v>ia.assorted_string like '%94175-07-2024%' or</v>
      </c>
    </row>
    <row r="912" spans="1:5" x14ac:dyDescent="0.25">
      <c r="A912" t="s">
        <v>1023</v>
      </c>
      <c r="B912" t="s">
        <v>2487</v>
      </c>
      <c r="D912">
        <v>94180</v>
      </c>
      <c r="E912" t="str">
        <f t="shared" si="14"/>
        <v>ia.assorted_string like '%94180-07-2024%' or</v>
      </c>
    </row>
    <row r="913" spans="1:5" x14ac:dyDescent="0.25">
      <c r="A913" t="s">
        <v>1024</v>
      </c>
      <c r="B913" t="s">
        <v>2487</v>
      </c>
      <c r="D913">
        <v>94181</v>
      </c>
      <c r="E913" t="str">
        <f t="shared" si="14"/>
        <v>ia.assorted_string like '%94181-07-2024%' or</v>
      </c>
    </row>
    <row r="914" spans="1:5" x14ac:dyDescent="0.25">
      <c r="A914" t="s">
        <v>1025</v>
      </c>
      <c r="B914" t="s">
        <v>2487</v>
      </c>
      <c r="D914">
        <v>94200</v>
      </c>
      <c r="E914" t="str">
        <f t="shared" si="14"/>
        <v>ia.assorted_string like '%94200-07-2024%' or</v>
      </c>
    </row>
    <row r="915" spans="1:5" x14ac:dyDescent="0.25">
      <c r="A915" t="s">
        <v>1026</v>
      </c>
      <c r="B915" t="s">
        <v>2487</v>
      </c>
      <c r="D915">
        <v>94204</v>
      </c>
      <c r="E915" t="str">
        <f t="shared" si="14"/>
        <v>ia.assorted_string like '%94204-07-2024%' or</v>
      </c>
    </row>
    <row r="916" spans="1:5" x14ac:dyDescent="0.25">
      <c r="A916" t="s">
        <v>1027</v>
      </c>
      <c r="B916" t="s">
        <v>2487</v>
      </c>
      <c r="D916">
        <v>94216</v>
      </c>
      <c r="E916" t="str">
        <f t="shared" si="14"/>
        <v>ia.assorted_string like '%94216-07-2024%' or</v>
      </c>
    </row>
    <row r="917" spans="1:5" x14ac:dyDescent="0.25">
      <c r="A917" t="s">
        <v>1028</v>
      </c>
      <c r="B917" t="s">
        <v>2487</v>
      </c>
      <c r="D917">
        <v>94222</v>
      </c>
      <c r="E917" t="str">
        <f t="shared" si="14"/>
        <v>ia.assorted_string like '%94222-07-2024%' or</v>
      </c>
    </row>
    <row r="918" spans="1:5" x14ac:dyDescent="0.25">
      <c r="A918" t="s">
        <v>1029</v>
      </c>
      <c r="B918" t="s">
        <v>2487</v>
      </c>
      <c r="D918">
        <v>94223</v>
      </c>
      <c r="E918" t="str">
        <f t="shared" si="14"/>
        <v>ia.assorted_string like '%94223-07-2024%' or</v>
      </c>
    </row>
    <row r="919" spans="1:5" x14ac:dyDescent="0.25">
      <c r="A919" t="s">
        <v>1030</v>
      </c>
      <c r="B919" t="s">
        <v>2487</v>
      </c>
      <c r="D919">
        <v>94227</v>
      </c>
      <c r="E919" t="str">
        <f t="shared" si="14"/>
        <v>ia.assorted_string like '%94227-07-2024%' or</v>
      </c>
    </row>
    <row r="920" spans="1:5" x14ac:dyDescent="0.25">
      <c r="A920" t="s">
        <v>1031</v>
      </c>
      <c r="B920" t="s">
        <v>2487</v>
      </c>
      <c r="D920">
        <v>94229</v>
      </c>
      <c r="E920" t="str">
        <f t="shared" si="14"/>
        <v>ia.assorted_string like '%94229-07-2024%' or</v>
      </c>
    </row>
    <row r="921" spans="1:5" x14ac:dyDescent="0.25">
      <c r="A921" t="s">
        <v>1032</v>
      </c>
      <c r="B921" t="s">
        <v>2487</v>
      </c>
      <c r="D921">
        <v>94231</v>
      </c>
      <c r="E921" t="str">
        <f t="shared" si="14"/>
        <v>ia.assorted_string like '%94231-07-2024%' or</v>
      </c>
    </row>
    <row r="922" spans="1:5" x14ac:dyDescent="0.25">
      <c r="A922" t="s">
        <v>1033</v>
      </c>
      <c r="B922" t="s">
        <v>2487</v>
      </c>
      <c r="D922">
        <v>94232</v>
      </c>
      <c r="E922" t="str">
        <f t="shared" si="14"/>
        <v>ia.assorted_string like '%94232-07-2024%' or</v>
      </c>
    </row>
    <row r="923" spans="1:5" x14ac:dyDescent="0.25">
      <c r="A923" t="s">
        <v>1034</v>
      </c>
      <c r="B923" t="s">
        <v>2487</v>
      </c>
      <c r="D923">
        <v>94238</v>
      </c>
      <c r="E923" t="str">
        <f t="shared" si="14"/>
        <v>ia.assorted_string like '%94238-07-2024%' or</v>
      </c>
    </row>
    <row r="924" spans="1:5" x14ac:dyDescent="0.25">
      <c r="A924" t="s">
        <v>1035</v>
      </c>
      <c r="B924" t="s">
        <v>2487</v>
      </c>
      <c r="D924">
        <v>94239</v>
      </c>
      <c r="E924" t="str">
        <f t="shared" si="14"/>
        <v>ia.assorted_string like '%94239-07-2024%' or</v>
      </c>
    </row>
    <row r="925" spans="1:5" x14ac:dyDescent="0.25">
      <c r="A925" t="s">
        <v>1036</v>
      </c>
      <c r="B925" t="s">
        <v>2487</v>
      </c>
      <c r="D925">
        <v>94251</v>
      </c>
      <c r="E925" t="str">
        <f t="shared" si="14"/>
        <v>ia.assorted_string like '%94251-07-2024%' or</v>
      </c>
    </row>
    <row r="926" spans="1:5" x14ac:dyDescent="0.25">
      <c r="A926" t="s">
        <v>1037</v>
      </c>
      <c r="B926" t="s">
        <v>2487</v>
      </c>
      <c r="D926">
        <v>94252</v>
      </c>
      <c r="E926" t="str">
        <f t="shared" si="14"/>
        <v>ia.assorted_string like '%94252-07-2024%' or</v>
      </c>
    </row>
    <row r="927" spans="1:5" x14ac:dyDescent="0.25">
      <c r="A927" t="s">
        <v>1038</v>
      </c>
      <c r="B927" t="s">
        <v>2487</v>
      </c>
      <c r="D927">
        <v>94255</v>
      </c>
      <c r="E927" t="str">
        <f t="shared" si="14"/>
        <v>ia.assorted_string like '%94255-07-2024%' or</v>
      </c>
    </row>
    <row r="928" spans="1:5" x14ac:dyDescent="0.25">
      <c r="A928" t="s">
        <v>1039</v>
      </c>
      <c r="B928" t="s">
        <v>2487</v>
      </c>
      <c r="D928">
        <v>94273</v>
      </c>
      <c r="E928" t="str">
        <f t="shared" si="14"/>
        <v>ia.assorted_string like '%94273-07-2024%' or</v>
      </c>
    </row>
    <row r="929" spans="1:5" x14ac:dyDescent="0.25">
      <c r="A929" t="s">
        <v>1040</v>
      </c>
      <c r="B929" t="s">
        <v>2487</v>
      </c>
      <c r="D929">
        <v>94274</v>
      </c>
      <c r="E929" t="str">
        <f t="shared" si="14"/>
        <v>ia.assorted_string like '%94274-07-2024%' or</v>
      </c>
    </row>
    <row r="930" spans="1:5" x14ac:dyDescent="0.25">
      <c r="A930" t="s">
        <v>1041</v>
      </c>
      <c r="B930" t="s">
        <v>2487</v>
      </c>
      <c r="D930">
        <v>94276</v>
      </c>
      <c r="E930" t="str">
        <f t="shared" si="14"/>
        <v>ia.assorted_string like '%94276-07-2024%' or</v>
      </c>
    </row>
    <row r="931" spans="1:5" x14ac:dyDescent="0.25">
      <c r="A931" t="s">
        <v>1042</v>
      </c>
      <c r="B931" t="s">
        <v>2487</v>
      </c>
      <c r="D931">
        <v>94278</v>
      </c>
      <c r="E931" t="str">
        <f t="shared" si="14"/>
        <v>ia.assorted_string like '%94278-07-2024%' or</v>
      </c>
    </row>
    <row r="932" spans="1:5" x14ac:dyDescent="0.25">
      <c r="A932" t="s">
        <v>1043</v>
      </c>
      <c r="B932" t="s">
        <v>2487</v>
      </c>
      <c r="D932">
        <v>94280</v>
      </c>
      <c r="E932" t="str">
        <f t="shared" si="14"/>
        <v>ia.assorted_string like '%94280-07-2024%' or</v>
      </c>
    </row>
    <row r="933" spans="1:5" x14ac:dyDescent="0.25">
      <c r="A933" t="s">
        <v>1044</v>
      </c>
      <c r="B933" t="s">
        <v>2487</v>
      </c>
      <c r="D933">
        <v>94281</v>
      </c>
      <c r="E933" t="str">
        <f t="shared" si="14"/>
        <v>ia.assorted_string like '%94281-07-2024%' or</v>
      </c>
    </row>
    <row r="934" spans="1:5" x14ac:dyDescent="0.25">
      <c r="A934" t="s">
        <v>1045</v>
      </c>
      <c r="B934" t="s">
        <v>2487</v>
      </c>
      <c r="D934">
        <v>94283</v>
      </c>
      <c r="E934" t="str">
        <f t="shared" si="14"/>
        <v>ia.assorted_string like '%94283-07-2024%' or</v>
      </c>
    </row>
    <row r="935" spans="1:5" x14ac:dyDescent="0.25">
      <c r="A935" t="s">
        <v>1046</v>
      </c>
      <c r="B935" t="s">
        <v>2487</v>
      </c>
      <c r="D935">
        <v>94285</v>
      </c>
      <c r="E935" t="str">
        <f t="shared" si="14"/>
        <v>ia.assorted_string like '%94285-07-2024%' or</v>
      </c>
    </row>
    <row r="936" spans="1:5" x14ac:dyDescent="0.25">
      <c r="A936" t="s">
        <v>1047</v>
      </c>
      <c r="B936" t="s">
        <v>2487</v>
      </c>
      <c r="D936">
        <v>94287</v>
      </c>
      <c r="E936" t="str">
        <f t="shared" si="14"/>
        <v>ia.assorted_string like '%94287-07-2024%' or</v>
      </c>
    </row>
    <row r="937" spans="1:5" x14ac:dyDescent="0.25">
      <c r="A937" t="s">
        <v>1048</v>
      </c>
      <c r="B937" t="s">
        <v>2487</v>
      </c>
      <c r="D937">
        <v>94290</v>
      </c>
      <c r="E937" t="str">
        <f t="shared" si="14"/>
        <v>ia.assorted_string like '%94290-07-2024%' or</v>
      </c>
    </row>
    <row r="938" spans="1:5" x14ac:dyDescent="0.25">
      <c r="A938" t="s">
        <v>1049</v>
      </c>
      <c r="B938" t="s">
        <v>2487</v>
      </c>
      <c r="D938">
        <v>94292</v>
      </c>
      <c r="E938" t="str">
        <f t="shared" si="14"/>
        <v>ia.assorted_string like '%94292-07-2024%' or</v>
      </c>
    </row>
    <row r="939" spans="1:5" x14ac:dyDescent="0.25">
      <c r="A939" t="s">
        <v>1050</v>
      </c>
      <c r="B939" t="s">
        <v>2487</v>
      </c>
      <c r="D939">
        <v>94293</v>
      </c>
      <c r="E939" t="str">
        <f t="shared" si="14"/>
        <v>ia.assorted_string like '%94293-07-2024%' or</v>
      </c>
    </row>
    <row r="940" spans="1:5" x14ac:dyDescent="0.25">
      <c r="A940" t="s">
        <v>1051</v>
      </c>
      <c r="B940" t="s">
        <v>2487</v>
      </c>
      <c r="D940">
        <v>94311</v>
      </c>
      <c r="E940" t="str">
        <f t="shared" si="14"/>
        <v>ia.assorted_string like '%94311-07-2024%' or</v>
      </c>
    </row>
    <row r="941" spans="1:5" x14ac:dyDescent="0.25">
      <c r="A941" t="s">
        <v>1052</v>
      </c>
      <c r="B941" t="s">
        <v>2487</v>
      </c>
      <c r="D941">
        <v>94312</v>
      </c>
      <c r="E941" t="str">
        <f t="shared" si="14"/>
        <v>ia.assorted_string like '%94312-07-2024%' or</v>
      </c>
    </row>
    <row r="942" spans="1:5" x14ac:dyDescent="0.25">
      <c r="A942" t="s">
        <v>1053</v>
      </c>
      <c r="B942" t="s">
        <v>2487</v>
      </c>
      <c r="D942">
        <v>94313</v>
      </c>
      <c r="E942" t="str">
        <f t="shared" si="14"/>
        <v>ia.assorted_string like '%94313-07-2024%' or</v>
      </c>
    </row>
    <row r="943" spans="1:5" x14ac:dyDescent="0.25">
      <c r="A943" t="s">
        <v>1054</v>
      </c>
      <c r="B943" t="s">
        <v>2487</v>
      </c>
      <c r="D943">
        <v>94315</v>
      </c>
      <c r="E943" t="str">
        <f t="shared" si="14"/>
        <v>ia.assorted_string like '%94315-07-2024%' or</v>
      </c>
    </row>
    <row r="944" spans="1:5" x14ac:dyDescent="0.25">
      <c r="A944" t="s">
        <v>1055</v>
      </c>
      <c r="B944" t="s">
        <v>2487</v>
      </c>
      <c r="D944">
        <v>94316</v>
      </c>
      <c r="E944" t="str">
        <f t="shared" si="14"/>
        <v>ia.assorted_string like '%94316-07-2024%' or</v>
      </c>
    </row>
    <row r="945" spans="1:5" x14ac:dyDescent="0.25">
      <c r="A945" t="s">
        <v>1056</v>
      </c>
      <c r="B945" t="s">
        <v>2487</v>
      </c>
      <c r="D945">
        <v>94317</v>
      </c>
      <c r="E945" t="str">
        <f t="shared" si="14"/>
        <v>ia.assorted_string like '%94317-07-2024%' or</v>
      </c>
    </row>
    <row r="946" spans="1:5" x14ac:dyDescent="0.25">
      <c r="A946" t="s">
        <v>1057</v>
      </c>
      <c r="B946" t="s">
        <v>2488</v>
      </c>
      <c r="D946">
        <v>94387</v>
      </c>
      <c r="E946" t="str">
        <f t="shared" si="14"/>
        <v>ia.assorted_string like '%94387-08-2024%' or</v>
      </c>
    </row>
    <row r="947" spans="1:5" x14ac:dyDescent="0.25">
      <c r="A947" t="s">
        <v>1058</v>
      </c>
      <c r="B947" t="s">
        <v>2488</v>
      </c>
      <c r="D947">
        <v>94393</v>
      </c>
      <c r="E947" t="str">
        <f t="shared" si="14"/>
        <v>ia.assorted_string like '%94393-08-2024%' or</v>
      </c>
    </row>
    <row r="948" spans="1:5" x14ac:dyDescent="0.25">
      <c r="A948" t="s">
        <v>1059</v>
      </c>
      <c r="B948" t="s">
        <v>2488</v>
      </c>
      <c r="D948">
        <v>94395</v>
      </c>
      <c r="E948" t="str">
        <f t="shared" si="14"/>
        <v>ia.assorted_string like '%94395-08-2024%' or</v>
      </c>
    </row>
    <row r="949" spans="1:5" x14ac:dyDescent="0.25">
      <c r="A949" t="s">
        <v>1060</v>
      </c>
      <c r="B949" t="s">
        <v>2488</v>
      </c>
      <c r="D949">
        <v>94402</v>
      </c>
      <c r="E949" t="str">
        <f t="shared" si="14"/>
        <v>ia.assorted_string like '%94402-08-2024%' or</v>
      </c>
    </row>
    <row r="950" spans="1:5" x14ac:dyDescent="0.25">
      <c r="A950" t="s">
        <v>1061</v>
      </c>
      <c r="B950" t="s">
        <v>2488</v>
      </c>
      <c r="D950">
        <v>94404</v>
      </c>
      <c r="E950" t="str">
        <f t="shared" si="14"/>
        <v>ia.assorted_string like '%94404-08-2024%' or</v>
      </c>
    </row>
    <row r="951" spans="1:5" x14ac:dyDescent="0.25">
      <c r="A951" t="s">
        <v>1062</v>
      </c>
      <c r="B951" t="s">
        <v>2488</v>
      </c>
      <c r="D951">
        <v>94413</v>
      </c>
      <c r="E951" t="str">
        <f t="shared" si="14"/>
        <v>ia.assorted_string like '%94413-08-2024%' or</v>
      </c>
    </row>
    <row r="952" spans="1:5" x14ac:dyDescent="0.25">
      <c r="A952" t="s">
        <v>1063</v>
      </c>
      <c r="B952" t="s">
        <v>2488</v>
      </c>
      <c r="D952">
        <v>94418</v>
      </c>
      <c r="E952" t="str">
        <f t="shared" si="14"/>
        <v>ia.assorted_string like '%94418-08-2024%' or</v>
      </c>
    </row>
    <row r="953" spans="1:5" x14ac:dyDescent="0.25">
      <c r="A953" t="s">
        <v>1064</v>
      </c>
      <c r="B953" t="s">
        <v>2488</v>
      </c>
      <c r="D953">
        <v>94420</v>
      </c>
      <c r="E953" t="str">
        <f t="shared" si="14"/>
        <v>ia.assorted_string like '%94420-08-2024%' or</v>
      </c>
    </row>
    <row r="954" spans="1:5" x14ac:dyDescent="0.25">
      <c r="A954" t="s">
        <v>1065</v>
      </c>
      <c r="B954" t="s">
        <v>2488</v>
      </c>
      <c r="D954">
        <v>94424</v>
      </c>
      <c r="E954" t="str">
        <f t="shared" si="14"/>
        <v>ia.assorted_string like '%94424-08-2024%' or</v>
      </c>
    </row>
    <row r="955" spans="1:5" x14ac:dyDescent="0.25">
      <c r="A955" t="s">
        <v>1066</v>
      </c>
      <c r="B955" t="s">
        <v>2488</v>
      </c>
      <c r="D955">
        <v>94425</v>
      </c>
      <c r="E955" t="str">
        <f t="shared" si="14"/>
        <v>ia.assorted_string like '%94425-08-2024%' or</v>
      </c>
    </row>
    <row r="956" spans="1:5" x14ac:dyDescent="0.25">
      <c r="A956" t="s">
        <v>1067</v>
      </c>
      <c r="B956" t="s">
        <v>2488</v>
      </c>
      <c r="D956">
        <v>94428</v>
      </c>
      <c r="E956" t="str">
        <f t="shared" si="14"/>
        <v>ia.assorted_string like '%94428-08-2024%' or</v>
      </c>
    </row>
    <row r="957" spans="1:5" x14ac:dyDescent="0.25">
      <c r="A957" t="s">
        <v>1068</v>
      </c>
      <c r="B957" t="s">
        <v>2488</v>
      </c>
      <c r="D957">
        <v>94429</v>
      </c>
      <c r="E957" t="str">
        <f t="shared" si="14"/>
        <v>ia.assorted_string like '%94429-08-2024%' or</v>
      </c>
    </row>
    <row r="958" spans="1:5" x14ac:dyDescent="0.25">
      <c r="A958" t="s">
        <v>1069</v>
      </c>
      <c r="B958" t="s">
        <v>2488</v>
      </c>
      <c r="D958">
        <v>94434</v>
      </c>
      <c r="E958" t="str">
        <f t="shared" si="14"/>
        <v>ia.assorted_string like '%94434-08-2024%' or</v>
      </c>
    </row>
    <row r="959" spans="1:5" x14ac:dyDescent="0.25">
      <c r="A959" t="s">
        <v>1070</v>
      </c>
      <c r="B959" t="s">
        <v>2488</v>
      </c>
      <c r="D959">
        <v>94435</v>
      </c>
      <c r="E959" t="str">
        <f t="shared" si="14"/>
        <v>ia.assorted_string like '%94435-08-2024%' or</v>
      </c>
    </row>
    <row r="960" spans="1:5" x14ac:dyDescent="0.25">
      <c r="A960" t="s">
        <v>2484</v>
      </c>
      <c r="B960" t="s">
        <v>2487</v>
      </c>
      <c r="D960">
        <v>93424</v>
      </c>
      <c r="E960" t="str">
        <f t="shared" si="14"/>
        <v>ia.assorted_string like '%93424-07-2024%'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Invoice</vt:lpstr>
      <vt:lpstr>Summary</vt:lpstr>
      <vt:lpstr>Detail</vt:lpstr>
      <vt:lpstr>PREMIUM</vt:lpstr>
      <vt:lpstr>working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Tariq</dc:creator>
  <cp:lastModifiedBy>IT User Software</cp:lastModifiedBy>
  <cp:lastPrinted>2024-09-06T11:52:33Z</cp:lastPrinted>
  <dcterms:created xsi:type="dcterms:W3CDTF">2015-06-05T18:17:20Z</dcterms:created>
  <dcterms:modified xsi:type="dcterms:W3CDTF">2024-10-01T06:08:11Z</dcterms:modified>
</cp:coreProperties>
</file>